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30" yWindow="-14400" windowWidth="17380" windowHeight="13770" tabRatio="600" firstSheet="6"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0.16295216</v>
                </pt>
                <pt idx="90">
                  <v>0.246949548</v>
                </pt>
                <pt idx="91">
                  <v>2.13335896</v>
                </pt>
                <pt idx="92">
                  <v>1.086185939</v>
                </pt>
                <pt idx="93">
                  <v>1.304079422</v>
                </pt>
                <pt idx="94">
                  <v>2.822567926</v>
                </pt>
                <pt idx="95">
                  <v>2.844528694</v>
                </pt>
                <pt idx="96">
                  <v>3.506447527</v>
                </pt>
                <pt idx="97">
                  <v>3.208519955</v>
                </pt>
                <pt idx="98">
                  <v>3.551112085</v>
                </pt>
                <pt idx="99">
                  <v>2.480861965</v>
                </pt>
                <pt idx="100">
                  <v>3.372146816</v>
                </pt>
                <pt idx="101">
                  <v>2.800181482</v>
                </pt>
                <pt idx="102">
                  <v>0.745330443</v>
                </pt>
                <pt idx="103">
                  <v>0.813965899</v>
                </pt>
                <pt idx="104">
                  <v>-0.262160346</v>
                </pt>
                <pt idx="105">
                  <v>-1.72769643</v>
                </pt>
                <pt idx="106">
                  <v>-1.422856274</v>
                </pt>
                <pt idx="107">
                  <v>-1.438164644</v>
                </pt>
                <pt idx="108">
                  <v>-0.681350495</v>
                </pt>
                <pt idx="109">
                  <v>-0.843671056</v>
                </pt>
                <pt idx="110">
                  <v>-0.027338374</v>
                </pt>
                <pt idx="111">
                  <v>0.325730197</v>
                </pt>
                <pt idx="112">
                  <v>-0.43532005</v>
                </pt>
                <pt idx="113">
                  <v>2.665256037</v>
                </pt>
                <pt idx="114">
                  <v>2.760524102</v>
                </pt>
                <pt idx="115">
                  <v>2.240779723</v>
                </pt>
                <pt idx="116">
                  <v>3.200928618</v>
                </pt>
                <pt idx="117">
                  <v>2.226228012</v>
                </pt>
                <pt idx="118">
                  <v>0.985984816</v>
                </pt>
                <pt idx="119">
                  <v>-0.139949814</v>
                </pt>
                <pt idx="120">
                  <v>-1.443059733</v>
                </pt>
                <pt idx="121">
                  <v>-1.99992335</v>
                </pt>
                <pt idx="122">
                  <v>-0.463070222</v>
                </pt>
                <pt idx="123">
                  <v>0.9516177729999999</v>
                </pt>
                <pt idx="124">
                  <v>1.580458812</v>
                </pt>
                <pt idx="125">
                  <v>1.472042815</v>
                </pt>
                <pt idx="126">
                  <v>1.346377889</v>
                </pt>
                <pt idx="127">
                  <v>1.327033247</v>
                </pt>
                <pt idx="128">
                  <v>2.150081282</v>
                </pt>
                <pt idx="129">
                  <v>2.833193832</v>
                </pt>
                <pt idx="130">
                  <v>2.146101271</v>
                </pt>
                <pt idx="131">
                  <v>2.469795688</v>
                </pt>
                <pt idx="132">
                  <v>1.173832423</v>
                </pt>
                <pt idx="133">
                  <v>0.952673332</v>
                </pt>
                <pt idx="134">
                  <v>1.719482304</v>
                </pt>
                <pt idx="135">
                  <v>2.127563892</v>
                </pt>
                <pt idx="136">
                  <v>2.50249241</v>
                </pt>
                <pt idx="137">
                  <v>2.138269945</v>
                </pt>
                <pt idx="138">
                  <v>1.505119747</v>
                </pt>
                <pt idx="139">
                  <v>0.288549707</v>
                </pt>
                <pt idx="140">
                  <v>1.464532045</v>
                </pt>
                <pt idx="141">
                  <v>1.976653678</v>
                </pt>
                <pt idx="142">
                  <v>1.851354568</v>
                </pt>
                <pt idx="143">
                  <v>1.501673319</v>
                </pt>
                <pt idx="144">
                  <v>0.589311403</v>
                </pt>
                <pt idx="145">
                  <v>0.288153569</v>
                </pt>
                <pt idx="146">
                  <v>-0.341231462</v>
                </pt>
                <pt idx="147">
                  <v>-1.042552389</v>
                </pt>
                <pt idx="148">
                  <v>-3.898598606</v>
                </pt>
                <pt idx="149">
                  <v>-8.843954337</v>
                </pt>
                <pt idx="150">
                  <v>-6.517426769</v>
                </pt>
                <pt idx="151">
                  <v>-5.384301198</v>
                </pt>
                <pt idx="152">
                  <v>-1.786649552</v>
                </pt>
                <pt idx="153">
                  <v>4.257040872</v>
                </pt>
                <pt idx="154">
                  <v>3.487603477</v>
                </pt>
                <pt idx="155">
                  <v>5.410995316</v>
                </pt>
                <pt idx="156">
                  <v>3.264024095</v>
                </pt>
                <pt idx="157">
                  <v>1.114304367</v>
                </pt>
                <pt idx="158">
                  <v>-0.943237097</v>
                </pt>
                <pt idx="159">
                  <v>-0.343492658</v>
                </pt>
                <pt idx="160">
                  <v>0.331731709</v>
                </pt>
                <pt idx="161">
                  <v>2.805707574</v>
                </pt>
                <pt idx="162">
                  <v>2.764349917</v>
                </pt>
                <pt idx="163">
                  <v>-0.054714261</v>
                </pt>
                <pt idx="164">
                  <v>0.008187297</v>
                </pt>
                <pt idx="165">
                  <v>0.006946168</v>
                </pt>
                <pt idx="166">
                  <v>1.842122899</v>
                </pt>
                <pt idx="167">
                  <v>3.206956392</v>
                </pt>
                <pt idx="168">
                  <v>3.151541065</v>
                </pt>
                <pt idx="169">
                  <v>2.574495826</v>
                </pt>
                <pt idx="170">
                  <v>-0.174956095</v>
                </pt>
                <pt idx="171">
                  <v>-1.041854496</v>
                </pt>
                <pt idx="172">
                  <v>-0.460053991</v>
                </pt>
                <pt idx="173">
                  <v>0.266936974</v>
                </pt>
                <pt idx="174">
                  <v>2.249236669</v>
                </pt>
                <pt idx="175">
                  <v>2.26330075</v>
                </pt>
                <pt idx="176">
                  <v>1.622543333</v>
                </pt>
                <pt idx="177">
                  <v>0.811757715</v>
                </pt>
                <pt idx="178">
                  <v>0.515448308</v>
                </pt>
                <pt idx="179">
                  <v>0.6177170320000001</v>
                </pt>
                <pt idx="180">
                  <v>0.939776898</v>
                </pt>
                <pt idx="181">
                  <v>1.005949886</v>
                </pt>
                <pt idx="182">
                  <v>1.51507058</v>
                </pt>
                <pt idx="183">
                  <v>2.173076927</v>
                </pt>
                <pt idx="184">
                  <v>2.137124611</v>
                </pt>
                <pt idx="185">
                  <v>1.41109454</v>
                </pt>
                <pt idx="186">
                  <v>1.368028037</v>
                </pt>
                <pt idx="187">
                  <v>0.011103436</v>
                </pt>
                <pt idx="188">
                  <v>-0.238224393</v>
                </pt>
                <pt idx="189">
                  <v>-0.121214261</v>
                </pt>
                <pt idx="190">
                  <v>-0.102274926</v>
                </pt>
                <pt idx="191">
                  <v>0.633529629</v>
                </pt>
                <pt idx="192">
                  <v>-1.995288488</v>
                </pt>
                <pt idx="193">
                  <v>-1.79469798</v>
                </pt>
                <pt idx="194">
                  <v>-9.886718931000001</v>
                </pt>
                <pt idx="195">
                  <v>-5.034554452</v>
                </pt>
                <pt idx="196">
                  <v>-0.518241561</v>
                </pt>
                <pt idx="197">
                  <v>-1.096159639</v>
                </pt>
                <pt idx="198">
                  <v>7.812062282</v>
                </pt>
                <pt idx="199">
                  <v>1.701549071</v>
                </pt>
                <pt idx="200">
                  <v>0.931898472</v>
                </pt>
                <pt idx="201">
                  <v>0.628347276</v>
                </pt>
                <pt idx="202">
                  <v>1.433213555</v>
                </pt>
                <pt idx="203">
                  <v>1.525178493</v>
                </pt>
                <pt idx="204">
                  <v>0.433210967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0.16295216</v>
                </pt>
                <pt idx="90">
                  <v>0.246949548</v>
                </pt>
                <pt idx="91">
                  <v>2.13335896</v>
                </pt>
                <pt idx="92">
                  <v>1.086185939</v>
                </pt>
                <pt idx="93">
                  <v>1.304079422</v>
                </pt>
                <pt idx="94">
                  <v>2.822567926</v>
                </pt>
                <pt idx="95">
                  <v>2.844528694</v>
                </pt>
                <pt idx="96">
                  <v>3.506447527</v>
                </pt>
                <pt idx="97">
                  <v>3.208519955</v>
                </pt>
                <pt idx="98">
                  <v>3.551112085</v>
                </pt>
                <pt idx="99">
                  <v>2.480861965</v>
                </pt>
                <pt idx="100">
                  <v>3.372146816</v>
                </pt>
                <pt idx="101">
                  <v>2.800181482</v>
                </pt>
                <pt idx="102">
                  <v>0.745330443</v>
                </pt>
                <pt idx="103">
                  <v>0.813965899</v>
                </pt>
                <pt idx="104">
                  <v>-0.262160346</v>
                </pt>
                <pt idx="105">
                  <v>-1.72769643</v>
                </pt>
                <pt idx="106">
                  <v>-1.422856274</v>
                </pt>
                <pt idx="107">
                  <v>-1.438164644</v>
                </pt>
                <pt idx="108">
                  <v>-0.681350495</v>
                </pt>
                <pt idx="109">
                  <v>-0.843671056</v>
                </pt>
                <pt idx="110">
                  <v>-0.027338374</v>
                </pt>
                <pt idx="111">
                  <v>0.325730197</v>
                </pt>
                <pt idx="112">
                  <v>-0.43532005</v>
                </pt>
                <pt idx="113">
                  <v>2.665256037</v>
                </pt>
                <pt idx="114">
                  <v>2.760524102</v>
                </pt>
                <pt idx="115">
                  <v>2.240779723</v>
                </pt>
                <pt idx="116">
                  <v>3.200928618</v>
                </pt>
                <pt idx="117">
                  <v>2.226228012</v>
                </pt>
                <pt idx="118">
                  <v>0.985984816</v>
                </pt>
                <pt idx="119">
                  <v>-0.139949814</v>
                </pt>
                <pt idx="120">
                  <v>-1.443059733</v>
                </pt>
                <pt idx="121">
                  <v>-1.99992335</v>
                </pt>
                <pt idx="122">
                  <v>-0.463070222</v>
                </pt>
                <pt idx="123">
                  <v>0.9516177729999999</v>
                </pt>
                <pt idx="124">
                  <v>1.580458812</v>
                </pt>
                <pt idx="125">
                  <v>1.472042815</v>
                </pt>
                <pt idx="126">
                  <v>1.346377889</v>
                </pt>
                <pt idx="127">
                  <v>1.327033247</v>
                </pt>
                <pt idx="128">
                  <v>2.150081282</v>
                </pt>
                <pt idx="129">
                  <v>2.833193832</v>
                </pt>
                <pt idx="130">
                  <v>2.146101271</v>
                </pt>
                <pt idx="131">
                  <v>2.469795688</v>
                </pt>
                <pt idx="132">
                  <v>1.173832423</v>
                </pt>
                <pt idx="133">
                  <v>0.952673332</v>
                </pt>
                <pt idx="134">
                  <v>1.719482304</v>
                </pt>
                <pt idx="135">
                  <v>2.127563892</v>
                </pt>
                <pt idx="136">
                  <v>2.50249241</v>
                </pt>
                <pt idx="137">
                  <v>2.138269945</v>
                </pt>
                <pt idx="138">
                  <v>1.505119747</v>
                </pt>
                <pt idx="139">
                  <v>0.288549707</v>
                </pt>
                <pt idx="140">
                  <v>1.464532045</v>
                </pt>
                <pt idx="141">
                  <v>1.976653678</v>
                </pt>
                <pt idx="142">
                  <v>1.851354568</v>
                </pt>
                <pt idx="143">
                  <v>1.501673319</v>
                </pt>
                <pt idx="144">
                  <v>0.589311403</v>
                </pt>
                <pt idx="145">
                  <v>0.288153569</v>
                </pt>
                <pt idx="146">
                  <v>-0.341231462</v>
                </pt>
                <pt idx="147">
                  <v>-1.042552389</v>
                </pt>
                <pt idx="148">
                  <v>-3.898598606</v>
                </pt>
                <pt idx="149">
                  <v>-8.843954337</v>
                </pt>
                <pt idx="150">
                  <v>-6.517426769</v>
                </pt>
                <pt idx="151">
                  <v>-5.384301198</v>
                </pt>
                <pt idx="152">
                  <v>-1.786649552</v>
                </pt>
                <pt idx="153">
                  <v>4.257040872</v>
                </pt>
                <pt idx="154">
                  <v>3.487603477</v>
                </pt>
                <pt idx="155">
                  <v>5.410995316</v>
                </pt>
                <pt idx="156">
                  <v>3.264024095</v>
                </pt>
                <pt idx="157">
                  <v>1.114304367</v>
                </pt>
                <pt idx="158">
                  <v>-0.943237097</v>
                </pt>
                <pt idx="159">
                  <v>-0.343492658</v>
                </pt>
                <pt idx="160">
                  <v>0.331731709</v>
                </pt>
                <pt idx="161">
                  <v>2.805707574</v>
                </pt>
                <pt idx="162">
                  <v>2.764349917</v>
                </pt>
                <pt idx="163">
                  <v>-0.054714261</v>
                </pt>
                <pt idx="164">
                  <v>0.008187297</v>
                </pt>
                <pt idx="165">
                  <v>0.006946168</v>
                </pt>
                <pt idx="166">
                  <v>1.842122899</v>
                </pt>
                <pt idx="167">
                  <v>3.206956392</v>
                </pt>
                <pt idx="168">
                  <v>3.151541065</v>
                </pt>
                <pt idx="169">
                  <v>2.574495826</v>
                </pt>
                <pt idx="170">
                  <v>-0.174956095</v>
                </pt>
                <pt idx="171">
                  <v>-1.041854496</v>
                </pt>
                <pt idx="172">
                  <v>-0.460053991</v>
                </pt>
                <pt idx="173">
                  <v>0.266936974</v>
                </pt>
                <pt idx="174">
                  <v>2.249236669</v>
                </pt>
                <pt idx="175">
                  <v>2.26330075</v>
                </pt>
                <pt idx="176">
                  <v>1.622543333</v>
                </pt>
                <pt idx="177">
                  <v>0.811757715</v>
                </pt>
                <pt idx="178">
                  <v>0.515448308</v>
                </pt>
                <pt idx="179">
                  <v>0.6177170320000001</v>
                </pt>
                <pt idx="180">
                  <v>0.939776898</v>
                </pt>
                <pt idx="181">
                  <v>1.005949886</v>
                </pt>
                <pt idx="182">
                  <v>1.51507058</v>
                </pt>
                <pt idx="183">
                  <v>2.173076927</v>
                </pt>
                <pt idx="184">
                  <v>2.137124611</v>
                </pt>
                <pt idx="185">
                  <v>1.41109454</v>
                </pt>
                <pt idx="186">
                  <v>1.368028037</v>
                </pt>
                <pt idx="187">
                  <v>0.011103436</v>
                </pt>
                <pt idx="188">
                  <v>-0.238224393</v>
                </pt>
                <pt idx="189">
                  <v>-0.121214261</v>
                </pt>
                <pt idx="190">
                  <v>-0.102274926</v>
                </pt>
                <pt idx="191">
                  <v>0.633529629</v>
                </pt>
                <pt idx="192">
                  <v>-1.995288488</v>
                </pt>
                <pt idx="193">
                  <v>-1.79469798</v>
                </pt>
                <pt idx="194">
                  <v>-9.886718931000001</v>
                </pt>
                <pt idx="195">
                  <v>-5.034554452</v>
                </pt>
                <pt idx="196">
                  <v>-0.518241561</v>
                </pt>
                <pt idx="197">
                  <v>-1.096159639</v>
                </pt>
                <pt idx="198">
                  <v>7.812062282</v>
                </pt>
                <pt idx="199">
                  <v>1.701549071</v>
                </pt>
                <pt idx="200">
                  <v>0.931898472</v>
                </pt>
                <pt idx="201">
                  <v>0.628347276</v>
                </pt>
                <pt idx="202">
                  <v>1.433213555</v>
                </pt>
                <pt idx="203">
                  <v>1.525178493</v>
                </pt>
                <pt idx="204">
                  <v>0.433210967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pt idx="204">
                  <v>0.662349699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pt idx="64">
                  <v>44927</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0.03243337916587685</v>
                </pt>
                <pt idx="64">
                  <v>0.02675837646902424</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6.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pt idx="204">
                  <v>0.662349699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276512</colOff>
      <row>279</row>
      <rowOff>94240</rowOff>
    </from>
    <to>
      <col>12</col>
      <colOff>268432</colOff>
      <row>303</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0</colOff>
      <row>5</row>
      <rowOff>0</rowOff>
    </from>
    <to>
      <col>16</col>
      <colOff>521854</colOff>
      <row>24</row>
      <rowOff>165966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292098</colOff>
      <row>256</row>
      <rowOff>153866</rowOff>
    </from>
    <to>
      <col>13</col>
      <colOff>615461</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256686</colOff>
      <row>279</row>
      <rowOff>26132</rowOff>
    </from>
    <to>
      <col>13</col>
      <colOff>622789</colOff>
      <row>301</row>
      <rowOff>65942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0</colOff>
      <row>3</row>
      <rowOff>0</rowOff>
    </from>
    <to>
      <col>18</col>
      <colOff>323363</colOff>
      <row>24</row>
      <rowOff>93540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ables/table1.xml><?xml version="1.0" encoding="utf-8"?>
<table xmlns="http://schemas.openxmlformats.org/spreadsheetml/2006/main" id="1" name="Table13456789101112131415161734" displayName="Table13456789101112131415161734" ref="A1:C304" headerRowCount="1" totalsRowShown="0" headerRowDxfId="10" dataDxfId="9">
  <autoFilter ref="A1:C304"/>
  <tableColumns count="3">
    <tableColumn id="1" name="Data" dataDxfId="8"/>
    <tableColumn id="2" name="JPN"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4" headerRowCount="1" totalsRowShown="0" headerRowDxfId="5" dataDxfId="4">
  <autoFilter ref="A1:D304"/>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topLeftCell="A7" zoomScale="110" zoomScaleNormal="110" workbookViewId="0">
      <selection activeCell="T15" sqref="T15"/>
    </sheetView>
  </sheetViews>
  <sheetFormatPr baseColWidth="8" defaultColWidth="9.1796875" defaultRowHeight="14.5"/>
  <cols>
    <col width="5.1796875" customWidth="1" style="74" min="1" max="1"/>
    <col width="12.81640625" customWidth="1" style="74" min="2" max="10"/>
    <col width="6.6328125" customWidth="1" style="74" min="11" max="11"/>
    <col width="9.1796875" customWidth="1" style="74" min="12" max="47"/>
    <col width="9.1796875" customWidth="1" style="74" min="48" max="16384"/>
  </cols>
  <sheetData>
    <row r="1" ht="16" customHeight="1" thickBot="1">
      <c r="B1" s="77" t="n"/>
    </row>
    <row r="2" ht="16" customHeight="1" thickBot="1">
      <c r="B2" s="78" t="n"/>
      <c r="C2" s="78" t="n"/>
      <c r="D2" s="78" t="n"/>
      <c r="E2" s="78" t="n"/>
      <c r="F2" s="78" t="n"/>
      <c r="G2" s="78" t="n"/>
      <c r="H2" s="78" t="n"/>
      <c r="I2" s="78" t="n"/>
      <c r="J2" s="78" t="n"/>
    </row>
    <row r="3" ht="16" customHeight="1"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row r="11" ht="17" customHeight="1">
      <c r="B11" s="82" t="inlineStr">
        <is>
          <t>TO DO LIST</t>
        </is>
      </c>
      <c r="C11" s="83" t="n"/>
      <c r="D11" s="83" t="n"/>
      <c r="E11" s="83" t="n"/>
      <c r="F11" s="84" t="n"/>
      <c r="G11" s="82" t="inlineStr">
        <is>
          <t>Comments</t>
        </is>
      </c>
      <c r="H11" s="83" t="n"/>
      <c r="I11" s="83" t="n"/>
      <c r="J11" s="84" t="n"/>
    </row>
    <row r="12" ht="16" customHeight="1"/>
    <row r="13" ht="16" customHeight="1">
      <c r="B13" s="76" t="inlineStr">
        <is>
          <t>https://data.oecd.org/gdp/quarterly-gdp.htm#indicator-chart</t>
        </is>
      </c>
      <c r="G13" s="74" t="inlineStr">
        <is>
          <t>Data qoq</t>
        </is>
      </c>
    </row>
    <row r="14" ht="16" customHeight="1">
      <c r="B14" s="74" t="inlineStr">
        <is>
          <t>Select Quarterly GDP</t>
        </is>
      </c>
      <c r="G14" s="74" t="inlineStr">
        <is>
          <t>To update manually or with macro</t>
        </is>
      </c>
    </row>
    <row r="15" ht="16" customHeight="1">
      <c r="B15" s="74" t="inlineStr">
        <is>
          <t>Select Table</t>
        </is>
      </c>
      <c r="G15" s="74" t="inlineStr">
        <is>
          <t>In Data qoq tab</t>
        </is>
      </c>
    </row>
    <row r="16" ht="16" customHeight="1">
      <c r="B16" s="74" t="inlineStr">
        <is>
          <t>Select Percentage change, previous period</t>
        </is>
      </c>
    </row>
    <row r="17" ht="16" customHeight="1">
      <c r="B17" s="74" t="inlineStr">
        <is>
          <t>Select latest data available</t>
        </is>
      </c>
    </row>
    <row r="18" ht="16" customHeight="1"/>
    <row r="19" ht="16" customHeight="1">
      <c r="B19" s="76" t="inlineStr">
        <is>
          <t>https://data.oecd.org/gdp/quarterly-gdp.htm#indicator-chart</t>
        </is>
      </c>
      <c r="G19" s="74" t="inlineStr">
        <is>
          <t>Data yoy</t>
        </is>
      </c>
    </row>
    <row r="20" ht="16" customHeight="1">
      <c r="B20" s="74" t="inlineStr">
        <is>
          <t>Select Quarterly GDP</t>
        </is>
      </c>
      <c r="G20" s="74" t="inlineStr">
        <is>
          <t>To update manually or with macro</t>
        </is>
      </c>
    </row>
    <row r="21" ht="16" customHeight="1">
      <c r="B21" s="74" t="inlineStr">
        <is>
          <t>Select Table</t>
        </is>
      </c>
      <c r="G21" s="74" t="inlineStr">
        <is>
          <t>In Data you tab</t>
        </is>
      </c>
    </row>
    <row r="22" ht="16" customHeight="1">
      <c r="B22" s="74" t="inlineStr">
        <is>
          <t>Select Percentage change, previous year</t>
        </is>
      </c>
    </row>
    <row r="23" ht="16" customHeight="1">
      <c r="B23" s="74" t="inlineStr">
        <is>
          <t>Select latest data available</t>
        </is>
      </c>
    </row>
    <row r="24" ht="16" customHeight="1"/>
    <row r="25" ht="16" customHeight="1">
      <c r="B25" s="74" t="inlineStr">
        <is>
          <t>https://data.oecd.org/gdp/quarterly-gdp.htm</t>
        </is>
      </c>
    </row>
    <row r="26" ht="16" customHeight="1"/>
    <row r="27" ht="16" customHeight="1">
      <c r="B27" s="74"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V308"/>
  <sheetViews>
    <sheetView workbookViewId="0">
      <pane ySplit="1" topLeftCell="A287"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EA20</t>
        </is>
      </c>
      <c r="Q1" t="inlineStr">
        <is>
          <t>ESP</t>
        </is>
      </c>
      <c r="R1" t="inlineStr">
        <is>
          <t>EST</t>
        </is>
      </c>
      <c r="S1" t="inlineStr">
        <is>
          <t>EU27_2020</t>
        </is>
      </c>
      <c r="T1" t="inlineStr">
        <is>
          <t>FIN</t>
        </is>
      </c>
      <c r="U1" t="inlineStr">
        <is>
          <t>FRA</t>
        </is>
      </c>
      <c r="V1" t="inlineStr">
        <is>
          <t>G-7</t>
        </is>
      </c>
      <c r="W1" t="inlineStr">
        <is>
          <t>GBR</t>
        </is>
      </c>
      <c r="X1" t="inlineStr">
        <is>
          <t>GRC</t>
        </is>
      </c>
      <c r="Y1" t="inlineStr">
        <is>
          <t>HUN</t>
        </is>
      </c>
      <c r="Z1" t="inlineStr">
        <is>
          <t>IND</t>
        </is>
      </c>
      <c r="AA1" t="inlineStr">
        <is>
          <t>IRL</t>
        </is>
      </c>
      <c r="AB1" t="inlineStr">
        <is>
          <t>ISL</t>
        </is>
      </c>
      <c r="AC1" t="inlineStr">
        <is>
          <t>ISR</t>
        </is>
      </c>
      <c r="AD1" t="inlineStr">
        <is>
          <t>ITA</t>
        </is>
      </c>
      <c r="AE1" t="inlineStr">
        <is>
          <t>JPN</t>
        </is>
      </c>
      <c r="AF1" t="inlineStr">
        <is>
          <t>KOR</t>
        </is>
      </c>
      <c r="AG1" t="inlineStr">
        <is>
          <t>LUX</t>
        </is>
      </c>
      <c r="AH1" t="inlineStr">
        <is>
          <t>LVA</t>
        </is>
      </c>
      <c r="AI1" t="inlineStr">
        <is>
          <t>MEX</t>
        </is>
      </c>
      <c r="AJ1" t="inlineStr">
        <is>
          <t>NLD</t>
        </is>
      </c>
      <c r="AK1" t="inlineStr">
        <is>
          <t>NOR</t>
        </is>
      </c>
      <c r="AL1" t="inlineStr">
        <is>
          <t>NZL</t>
        </is>
      </c>
      <c r="AM1" t="inlineStr">
        <is>
          <t>OECD</t>
        </is>
      </c>
      <c r="AN1" t="inlineStr">
        <is>
          <t>POL</t>
        </is>
      </c>
      <c r="AO1" t="inlineStr">
        <is>
          <t>PRT</t>
        </is>
      </c>
      <c r="AP1" t="inlineStr">
        <is>
          <t>RUS</t>
        </is>
      </c>
      <c r="AQ1" t="inlineStr">
        <is>
          <t>SVK</t>
        </is>
      </c>
      <c r="AR1" t="inlineStr">
        <is>
          <t>SVN</t>
        </is>
      </c>
      <c r="AS1" t="inlineStr">
        <is>
          <t>SWE</t>
        </is>
      </c>
      <c r="AT1" t="inlineStr">
        <is>
          <t>TUR</t>
        </is>
      </c>
      <c r="AU1" t="inlineStr">
        <is>
          <t>USA</t>
        </is>
      </c>
      <c r="AV1" t="inlineStr">
        <is>
          <t>ZAF</t>
        </is>
      </c>
    </row>
    <row r="2">
      <c r="A2" t="inlineStr">
        <is>
          <t>1947-Q2</t>
        </is>
      </c>
      <c r="B2" s="87" t="n">
        <v>17349</v>
      </c>
      <c r="AU2" t="n">
        <v>-0.266705989</v>
      </c>
    </row>
    <row r="3">
      <c r="A3" t="inlineStr">
        <is>
          <t>1947-Q3</t>
        </is>
      </c>
      <c r="B3" s="87" t="n">
        <v>17441</v>
      </c>
      <c r="AU3" t="n">
        <v>-0.206503225</v>
      </c>
    </row>
    <row r="4">
      <c r="A4" t="inlineStr">
        <is>
          <t>1947-Q4</t>
        </is>
      </c>
      <c r="B4" s="87" t="n">
        <v>17533</v>
      </c>
      <c r="AU4" t="n">
        <v>1.56427638</v>
      </c>
    </row>
    <row r="5">
      <c r="A5" t="inlineStr">
        <is>
          <t>1948-Q1</t>
        </is>
      </c>
      <c r="B5" s="87" t="n">
        <v>17624</v>
      </c>
      <c r="AU5" t="n">
        <v>1.504200324</v>
      </c>
    </row>
    <row r="6">
      <c r="A6" t="inlineStr">
        <is>
          <t>1948-Q2</t>
        </is>
      </c>
      <c r="B6" s="87" t="n">
        <v>17715</v>
      </c>
      <c r="AU6" t="n">
        <v>1.650680594</v>
      </c>
    </row>
    <row r="7">
      <c r="A7" t="inlineStr">
        <is>
          <t>1948-Q3</t>
        </is>
      </c>
      <c r="B7" s="87" t="n">
        <v>17807</v>
      </c>
      <c r="AU7" t="n">
        <v>0.572930191</v>
      </c>
    </row>
    <row r="8">
      <c r="A8" t="inlineStr">
        <is>
          <t>1948-Q4</t>
        </is>
      </c>
      <c r="B8" s="87" t="n">
        <v>17899</v>
      </c>
      <c r="AU8" t="n">
        <v>0.111712158</v>
      </c>
    </row>
    <row r="9">
      <c r="A9" t="inlineStr">
        <is>
          <t>1949-Q1</t>
        </is>
      </c>
      <c r="B9" s="87" t="n">
        <v>17989</v>
      </c>
      <c r="AU9" t="n">
        <v>-1.37794649</v>
      </c>
    </row>
    <row r="10">
      <c r="A10" t="inlineStr">
        <is>
          <t>1949-Q2</t>
        </is>
      </c>
      <c r="B10" s="87" t="n">
        <v>18080</v>
      </c>
      <c r="AU10" t="n">
        <v>-0.34110093</v>
      </c>
    </row>
    <row r="11">
      <c r="A11" t="inlineStr">
        <is>
          <t>1949-Q3</t>
        </is>
      </c>
      <c r="B11" s="87" t="n">
        <v>18172</v>
      </c>
      <c r="AU11" t="n">
        <v>1.032424777</v>
      </c>
    </row>
    <row r="12">
      <c r="A12" t="inlineStr">
        <is>
          <t>1949-Q4</t>
        </is>
      </c>
      <c r="B12" s="87" t="n">
        <v>18264</v>
      </c>
      <c r="AU12" t="n">
        <v>-0.83926744</v>
      </c>
    </row>
    <row r="13">
      <c r="A13" t="inlineStr">
        <is>
          <t>1950-Q1</t>
        </is>
      </c>
      <c r="B13" s="87" t="n">
        <v>18354</v>
      </c>
      <c r="AU13" t="n">
        <v>3.930097999</v>
      </c>
    </row>
    <row r="14">
      <c r="A14" t="inlineStr">
        <is>
          <t>1950-Q2</t>
        </is>
      </c>
      <c r="B14" s="87" t="n">
        <v>18445</v>
      </c>
      <c r="AU14" t="n">
        <v>3.049810988</v>
      </c>
    </row>
    <row r="15">
      <c r="A15" t="inlineStr">
        <is>
          <t>1950-Q3</t>
        </is>
      </c>
      <c r="B15" s="87" t="n">
        <v>18537</v>
      </c>
      <c r="AU15" t="n">
        <v>3.864414603</v>
      </c>
    </row>
    <row r="16">
      <c r="A16" t="inlineStr">
        <is>
          <t>1950-Q4</t>
        </is>
      </c>
      <c r="B16" s="87" t="n">
        <v>18629</v>
      </c>
      <c r="AU16" t="n">
        <v>1.914780147</v>
      </c>
    </row>
    <row r="17">
      <c r="A17" t="inlineStr">
        <is>
          <t>1951-Q1</t>
        </is>
      </c>
      <c r="B17" s="87" t="n">
        <v>18719</v>
      </c>
      <c r="AU17" t="n">
        <v>1.358158764</v>
      </c>
    </row>
    <row r="18">
      <c r="A18" t="inlineStr">
        <is>
          <t>1951-Q2</t>
        </is>
      </c>
      <c r="B18" s="87" t="n">
        <v>18810</v>
      </c>
      <c r="AU18" t="n">
        <v>1.732710437</v>
      </c>
    </row>
    <row r="19">
      <c r="A19" t="inlineStr">
        <is>
          <t>1951-Q3</t>
        </is>
      </c>
      <c r="B19" s="87" t="n">
        <v>18902</v>
      </c>
      <c r="AU19" t="n">
        <v>2.060998798</v>
      </c>
    </row>
    <row r="20">
      <c r="A20" t="inlineStr">
        <is>
          <t>1951-Q4</t>
        </is>
      </c>
      <c r="B20" s="87" t="n">
        <v>18994</v>
      </c>
      <c r="AU20" t="n">
        <v>0.220249574</v>
      </c>
    </row>
    <row r="21">
      <c r="A21" t="inlineStr">
        <is>
          <t>1952-Q1</t>
        </is>
      </c>
      <c r="B21" s="87" t="n">
        <v>19085</v>
      </c>
      <c r="AU21" t="n">
        <v>1.068534409</v>
      </c>
    </row>
    <row r="22">
      <c r="A22" t="inlineStr">
        <is>
          <t>1952-Q2</t>
        </is>
      </c>
      <c r="B22" s="87" t="n">
        <v>19176</v>
      </c>
      <c r="AU22" t="n">
        <v>0.215396694</v>
      </c>
    </row>
    <row r="23">
      <c r="A23" t="inlineStr">
        <is>
          <t>1952-Q3</t>
        </is>
      </c>
      <c r="B23" s="87" t="n">
        <v>19268</v>
      </c>
      <c r="AU23" t="n">
        <v>0.721849215</v>
      </c>
    </row>
    <row r="24">
      <c r="A24" t="inlineStr">
        <is>
          <t>1952-Q4</t>
        </is>
      </c>
      <c r="B24" s="87" t="n">
        <v>19360</v>
      </c>
      <c r="AU24" t="n">
        <v>3.284215711</v>
      </c>
    </row>
    <row r="25">
      <c r="A25" t="inlineStr">
        <is>
          <t>1953-Q1</t>
        </is>
      </c>
      <c r="B25" s="87" t="n">
        <v>19450</v>
      </c>
      <c r="AU25" t="n">
        <v>1.858867482</v>
      </c>
    </row>
    <row r="26">
      <c r="A26" t="inlineStr">
        <is>
          <t>1953-Q2</t>
        </is>
      </c>
      <c r="B26" s="87" t="n">
        <v>19541</v>
      </c>
      <c r="AU26" t="n">
        <v>0.77293802</v>
      </c>
    </row>
    <row r="27">
      <c r="A27" t="inlineStr">
        <is>
          <t>1953-Q3</t>
        </is>
      </c>
      <c r="B27" s="87" t="n">
        <v>19633</v>
      </c>
      <c r="AU27" t="n">
        <v>-0.562677031</v>
      </c>
    </row>
    <row r="28">
      <c r="A28" t="inlineStr">
        <is>
          <t>1953-Q4</t>
        </is>
      </c>
      <c r="B28" s="87" t="n">
        <v>19725</v>
      </c>
      <c r="AU28" t="n">
        <v>-1.51394063</v>
      </c>
    </row>
    <row r="29">
      <c r="A29" t="inlineStr">
        <is>
          <t>1954-Q1</t>
        </is>
      </c>
      <c r="B29" s="87" t="n">
        <v>19815</v>
      </c>
      <c r="AU29" t="n">
        <v>-0.478023888</v>
      </c>
    </row>
    <row r="30">
      <c r="A30" t="inlineStr">
        <is>
          <t>1954-Q2</t>
        </is>
      </c>
      <c r="B30" s="87" t="n">
        <v>19906</v>
      </c>
      <c r="AU30" t="n">
        <v>0.108992196</v>
      </c>
    </row>
    <row r="31">
      <c r="A31" t="inlineStr">
        <is>
          <t>1954-Q3</t>
        </is>
      </c>
      <c r="B31" s="87" t="n">
        <v>19998</v>
      </c>
      <c r="AU31" t="n">
        <v>1.129346277</v>
      </c>
    </row>
    <row r="32">
      <c r="A32" t="inlineStr">
        <is>
          <t>1954-Q4</t>
        </is>
      </c>
      <c r="B32" s="87" t="n">
        <v>20090</v>
      </c>
      <c r="AU32" t="n">
        <v>1.956688077</v>
      </c>
    </row>
    <row r="33">
      <c r="A33" t="inlineStr">
        <is>
          <t>1955-Q1</t>
        </is>
      </c>
      <c r="B33" s="87" t="n">
        <v>20180</v>
      </c>
      <c r="AU33" t="n">
        <v>2.856234655</v>
      </c>
    </row>
    <row r="34">
      <c r="A34" t="inlineStr">
        <is>
          <t>1955-Q2</t>
        </is>
      </c>
      <c r="B34" s="87" t="n">
        <v>20271</v>
      </c>
      <c r="W34" t="n">
        <v>0.070309361</v>
      </c>
      <c r="AU34" t="n">
        <v>1.627204957</v>
      </c>
    </row>
    <row r="35">
      <c r="A35" t="inlineStr">
        <is>
          <t>1955-Q3</t>
        </is>
      </c>
      <c r="B35" s="87" t="n">
        <v>20363</v>
      </c>
      <c r="W35" t="n">
        <v>1.948748832</v>
      </c>
      <c r="AU35" t="n">
        <v>1.350464288</v>
      </c>
    </row>
    <row r="36">
      <c r="A36" t="inlineStr">
        <is>
          <t>1955-Q4</t>
        </is>
      </c>
      <c r="B36" s="87" t="n">
        <v>20455</v>
      </c>
      <c r="W36" t="n">
        <v>-0.489991897</v>
      </c>
      <c r="AU36" t="n">
        <v>0.600328737</v>
      </c>
    </row>
    <row r="37">
      <c r="A37" t="inlineStr">
        <is>
          <t>1956-Q1</t>
        </is>
      </c>
      <c r="B37" s="87" t="n">
        <v>20546</v>
      </c>
      <c r="W37" t="n">
        <v>1.219215197</v>
      </c>
      <c r="AU37" t="n">
        <v>-0.388380468</v>
      </c>
    </row>
    <row r="38">
      <c r="A38" t="inlineStr">
        <is>
          <t>1956-Q2</t>
        </is>
      </c>
      <c r="B38" s="87" t="n">
        <v>20637</v>
      </c>
      <c r="W38" t="n">
        <v>-0.239853231</v>
      </c>
      <c r="AU38" t="n">
        <v>0.8263194270000001</v>
      </c>
    </row>
    <row r="39">
      <c r="A39" t="inlineStr">
        <is>
          <t>1956-Q3</t>
        </is>
      </c>
      <c r="B39" s="87" t="n">
        <v>20729</v>
      </c>
      <c r="W39" t="n">
        <v>-0.138680575</v>
      </c>
      <c r="AU39" t="n">
        <v>-0.089839593</v>
      </c>
    </row>
    <row r="40">
      <c r="A40" t="inlineStr">
        <is>
          <t>1956-Q4</t>
        </is>
      </c>
      <c r="B40" s="87" t="n">
        <v>20821</v>
      </c>
      <c r="W40" t="n">
        <v>0.339635458</v>
      </c>
      <c r="AU40" t="n">
        <v>1.645864038</v>
      </c>
    </row>
    <row r="41">
      <c r="A41" t="inlineStr">
        <is>
          <t>1957-Q1</t>
        </is>
      </c>
      <c r="B41" s="87" t="n">
        <v>20911</v>
      </c>
      <c r="W41" t="n">
        <v>2.08055963</v>
      </c>
      <c r="AU41" t="n">
        <v>0.6402911529999999</v>
      </c>
    </row>
    <row r="42">
      <c r="A42" t="inlineStr">
        <is>
          <t>1957-Q2</t>
        </is>
      </c>
      <c r="B42" s="87" t="n">
        <v>21002</v>
      </c>
      <c r="W42" t="n">
        <v>0.028737538</v>
      </c>
      <c r="AU42" t="n">
        <v>-0.219085924</v>
      </c>
    </row>
    <row r="43">
      <c r="A43" t="inlineStr">
        <is>
          <t>1957-Q3</t>
        </is>
      </c>
      <c r="B43" s="87" t="n">
        <v>21094</v>
      </c>
      <c r="W43" t="n">
        <v>-0.59373849</v>
      </c>
      <c r="AU43" t="n">
        <v>0.980018402</v>
      </c>
    </row>
    <row r="44">
      <c r="A44" t="inlineStr">
        <is>
          <t>1957-Q4</t>
        </is>
      </c>
      <c r="B44" s="87" t="n">
        <v>21186</v>
      </c>
      <c r="W44" t="n">
        <v>0.062248044</v>
      </c>
      <c r="AU44" t="n">
        <v>-1.034279655</v>
      </c>
    </row>
    <row r="45">
      <c r="A45" t="inlineStr">
        <is>
          <t>1958-Q1</t>
        </is>
      </c>
      <c r="B45" s="87" t="n">
        <v>21276</v>
      </c>
      <c r="W45" t="n">
        <v>2.204727908</v>
      </c>
      <c r="AU45" t="n">
        <v>-2.595440045</v>
      </c>
    </row>
    <row r="46">
      <c r="A46" t="inlineStr">
        <is>
          <t>1958-Q2</t>
        </is>
      </c>
      <c r="B46" s="87" t="n">
        <v>21367</v>
      </c>
      <c r="W46" t="n">
        <v>-2.306438173</v>
      </c>
      <c r="AU46" t="n">
        <v>0.657226726</v>
      </c>
    </row>
    <row r="47">
      <c r="A47" t="inlineStr">
        <is>
          <t>1958-Q3</t>
        </is>
      </c>
      <c r="B47" s="87" t="n">
        <v>21459</v>
      </c>
      <c r="W47" t="n">
        <v>2.187328478</v>
      </c>
      <c r="AU47" t="n">
        <v>2.313217041</v>
      </c>
    </row>
    <row r="48">
      <c r="A48" t="inlineStr">
        <is>
          <t>1958-Q4</t>
        </is>
      </c>
      <c r="B48" s="87" t="n">
        <v>21551</v>
      </c>
      <c r="W48" t="n">
        <v>0.079116795</v>
      </c>
      <c r="AU48" t="n">
        <v>2.33810956</v>
      </c>
    </row>
    <row r="49">
      <c r="A49" t="inlineStr">
        <is>
          <t>1959-Q1</t>
        </is>
      </c>
      <c r="B49" s="87" t="n">
        <v>21641</v>
      </c>
      <c r="W49" t="n">
        <v>0.630258196</v>
      </c>
      <c r="AU49" t="n">
        <v>1.919552804</v>
      </c>
    </row>
    <row r="50">
      <c r="A50" t="inlineStr">
        <is>
          <t>1959-Q2</t>
        </is>
      </c>
      <c r="B50" s="87" t="n">
        <v>21732</v>
      </c>
      <c r="W50" t="n">
        <v>1.661273234</v>
      </c>
      <c r="AU50" t="n">
        <v>2.255169531</v>
      </c>
    </row>
    <row r="51">
      <c r="A51" t="inlineStr">
        <is>
          <t>1959-Q3</t>
        </is>
      </c>
      <c r="B51" s="87" t="n">
        <v>21824</v>
      </c>
      <c r="W51" t="n">
        <v>2.16016561</v>
      </c>
      <c r="AU51" t="n">
        <v>0.070560341</v>
      </c>
    </row>
    <row r="52">
      <c r="A52" t="inlineStr">
        <is>
          <t>1959-Q4</t>
        </is>
      </c>
      <c r="B52" s="87" t="n">
        <v>21916</v>
      </c>
      <c r="W52" t="n">
        <v>2.519066488</v>
      </c>
      <c r="AU52" t="n">
        <v>0.284889055</v>
      </c>
    </row>
    <row r="53">
      <c r="A53" t="inlineStr">
        <is>
          <t>1960-Q1</t>
        </is>
      </c>
      <c r="B53" s="87" t="n">
        <v>22007</v>
      </c>
      <c r="W53" t="n">
        <v>2.497106227</v>
      </c>
      <c r="AU53" t="n">
        <v>2.247714292</v>
      </c>
    </row>
    <row r="54">
      <c r="A54" t="inlineStr">
        <is>
          <t>1960-Q2</t>
        </is>
      </c>
      <c r="B54" s="87" t="n">
        <v>22098</v>
      </c>
      <c r="D54" t="n">
        <v>2.766990987</v>
      </c>
      <c r="E54" t="n">
        <v>2.339304868</v>
      </c>
      <c r="F54" t="n">
        <v>1.231744618</v>
      </c>
      <c r="I54" t="n">
        <v>2.027766777</v>
      </c>
      <c r="M54" t="n">
        <v>1.779654153</v>
      </c>
      <c r="N54" t="n">
        <v>0.622802525</v>
      </c>
      <c r="Q54" t="n">
        <v>2.055865241</v>
      </c>
      <c r="T54" t="n">
        <v>2.221381977</v>
      </c>
      <c r="U54" t="n">
        <v>0.375710027</v>
      </c>
      <c r="W54" t="n">
        <v>-0.785893541</v>
      </c>
      <c r="X54" t="n">
        <v>3.419559355</v>
      </c>
      <c r="AA54" t="n">
        <v>1.359769408</v>
      </c>
      <c r="AB54" t="n">
        <v>-0.35800593</v>
      </c>
      <c r="AD54" t="n">
        <v>1.467602899</v>
      </c>
      <c r="AE54" t="n">
        <v>0.18434399</v>
      </c>
      <c r="AF54" t="n">
        <v>4.496005439</v>
      </c>
      <c r="AG54" t="n">
        <v>1.082788292</v>
      </c>
      <c r="AI54" t="n">
        <v>0.998134871</v>
      </c>
      <c r="AJ54" t="n">
        <v>2.334749088</v>
      </c>
      <c r="AK54" t="n">
        <v>0.764860177</v>
      </c>
      <c r="AO54" t="n">
        <v>0.646962228</v>
      </c>
      <c r="AS54" t="n">
        <v>1.355257579</v>
      </c>
      <c r="AU54" t="n">
        <v>-0.539073361</v>
      </c>
      <c r="AV54" t="n">
        <v>1.630732953</v>
      </c>
    </row>
    <row r="55">
      <c r="A55" t="inlineStr">
        <is>
          <t>1960-Q3</t>
        </is>
      </c>
      <c r="B55" s="87" t="n">
        <v>22190</v>
      </c>
      <c r="D55" t="n">
        <v>0.223096015</v>
      </c>
      <c r="E55" t="n">
        <v>1.255080236</v>
      </c>
      <c r="F55" t="n">
        <v>1.223442756</v>
      </c>
      <c r="I55" t="n">
        <v>3.665931806</v>
      </c>
      <c r="M55" t="n">
        <v>3.456686475</v>
      </c>
      <c r="N55" t="n">
        <v>1.02044357</v>
      </c>
      <c r="Q55" t="n">
        <v>2.797368605</v>
      </c>
      <c r="T55" t="n">
        <v>1.115973755</v>
      </c>
      <c r="U55" t="n">
        <v>0.748560969</v>
      </c>
      <c r="W55" t="n">
        <v>1.501031751</v>
      </c>
      <c r="X55" t="n">
        <v>3.32465944</v>
      </c>
      <c r="AA55" t="n">
        <v>1.348898756</v>
      </c>
      <c r="AB55" t="n">
        <v>-0.361266351</v>
      </c>
      <c r="AD55" t="n">
        <v>1.468634793</v>
      </c>
      <c r="AE55" t="n">
        <v>3.43451683</v>
      </c>
      <c r="AF55" t="n">
        <v>-1.111562966</v>
      </c>
      <c r="AG55" t="n">
        <v>1.077075234</v>
      </c>
      <c r="AI55" t="n">
        <v>0.993700656</v>
      </c>
      <c r="AJ55" t="n">
        <v>-1.710530287</v>
      </c>
      <c r="AK55" t="n">
        <v>1.22377303</v>
      </c>
      <c r="AO55" t="n">
        <v>0.927049024</v>
      </c>
      <c r="AS55" t="n">
        <v>1.626155234</v>
      </c>
      <c r="AU55" t="n">
        <v>0.48942128</v>
      </c>
      <c r="AV55" t="n">
        <v>1.842597022</v>
      </c>
    </row>
    <row r="56">
      <c r="A56" t="inlineStr">
        <is>
          <t>1960-Q4</t>
        </is>
      </c>
      <c r="B56" s="87" t="n">
        <v>22282</v>
      </c>
      <c r="D56" t="n">
        <v>-0.196165725</v>
      </c>
      <c r="E56" t="n">
        <v>1.38629464</v>
      </c>
      <c r="F56" t="n">
        <v>1.215260222</v>
      </c>
      <c r="I56" t="n">
        <v>0.043890437</v>
      </c>
      <c r="M56" t="n">
        <v>1.022068212</v>
      </c>
      <c r="N56" t="n">
        <v>1.407604305</v>
      </c>
      <c r="Q56" t="n">
        <v>2.013018902</v>
      </c>
      <c r="T56" t="n">
        <v>1.944552909</v>
      </c>
      <c r="U56" t="n">
        <v>1.185217727</v>
      </c>
      <c r="W56" t="n">
        <v>0.699740958</v>
      </c>
      <c r="X56" t="n">
        <v>3.235265421</v>
      </c>
      <c r="AA56" t="n">
        <v>1.338218574</v>
      </c>
      <c r="AB56" t="n">
        <v>-0.364557508</v>
      </c>
      <c r="AD56" t="n">
        <v>0.076755078</v>
      </c>
      <c r="AE56" t="n">
        <v>3.843474641</v>
      </c>
      <c r="AF56" t="n">
        <v>0.596298835</v>
      </c>
      <c r="AG56" t="n">
        <v>1.071420882</v>
      </c>
      <c r="AI56" t="n">
        <v>0.989300033</v>
      </c>
      <c r="AJ56" t="n">
        <v>1.112932285</v>
      </c>
      <c r="AK56" t="n">
        <v>1.668120064</v>
      </c>
      <c r="AO56" t="n">
        <v>1.200127462</v>
      </c>
      <c r="AS56" t="n">
        <v>1.871301104</v>
      </c>
      <c r="AU56" t="n">
        <v>-1.283403329</v>
      </c>
      <c r="AV56" t="n">
        <v>0.987063209</v>
      </c>
    </row>
    <row r="57">
      <c r="A57" t="inlineStr">
        <is>
          <t>1961-Q1</t>
        </is>
      </c>
      <c r="B57" s="87" t="n">
        <v>22372</v>
      </c>
      <c r="D57" t="n">
        <v>0.29970587</v>
      </c>
      <c r="E57" t="n">
        <v>2.805841783</v>
      </c>
      <c r="F57" t="n">
        <v>1.193447231</v>
      </c>
      <c r="I57" t="n">
        <v>3.421945777</v>
      </c>
      <c r="M57" t="n">
        <v>1.011727665</v>
      </c>
      <c r="N57" t="n">
        <v>1.77996132</v>
      </c>
      <c r="Q57" t="n">
        <v>2.858310798</v>
      </c>
      <c r="T57" t="n">
        <v>3.483736152</v>
      </c>
      <c r="U57" t="n">
        <v>1.608373557</v>
      </c>
      <c r="W57" t="n">
        <v>1.587735751</v>
      </c>
      <c r="X57" t="n">
        <v>3.097724794</v>
      </c>
      <c r="AA57" t="n">
        <v>1.30889679</v>
      </c>
      <c r="AB57" t="n">
        <v>-0.352240613</v>
      </c>
      <c r="AD57" t="n">
        <v>3.582778288</v>
      </c>
      <c r="AE57" t="n">
        <v>3.03976225</v>
      </c>
      <c r="AF57" t="n">
        <v>3.20092662</v>
      </c>
      <c r="AG57" t="n">
        <v>1.04926086</v>
      </c>
      <c r="AI57" t="n">
        <v>0.973394787</v>
      </c>
      <c r="AJ57" t="n">
        <v>0.347489188</v>
      </c>
      <c r="AK57" t="n">
        <v>2.092317904</v>
      </c>
      <c r="AO57" t="n">
        <v>1.464149497</v>
      </c>
      <c r="AS57" t="n">
        <v>1.936294986</v>
      </c>
      <c r="AU57" t="n">
        <v>0.67490454</v>
      </c>
      <c r="AV57" t="n">
        <v>0.725319611</v>
      </c>
    </row>
    <row r="58">
      <c r="A58" t="inlineStr">
        <is>
          <t>1961-Q2</t>
        </is>
      </c>
      <c r="B58" s="87" t="n">
        <v>22463</v>
      </c>
      <c r="D58" t="n">
        <v>-1.100733823</v>
      </c>
      <c r="E58" t="n">
        <v>-0.349958719</v>
      </c>
      <c r="F58" t="n">
        <v>1.167163366</v>
      </c>
      <c r="H58" t="n">
        <v>2.529317084</v>
      </c>
      <c r="I58" t="n">
        <v>1.355571082</v>
      </c>
      <c r="M58" t="n">
        <v>-0.539334482</v>
      </c>
      <c r="N58" t="n">
        <v>1.800290872</v>
      </c>
      <c r="Q58" t="n">
        <v>4.441130186</v>
      </c>
      <c r="T58" t="n">
        <v>0.737143131</v>
      </c>
      <c r="U58" t="n">
        <v>1.600329267</v>
      </c>
      <c r="W58" t="n">
        <v>0.37310084</v>
      </c>
      <c r="X58" t="n">
        <v>2.990153668</v>
      </c>
      <c r="AA58" t="n">
        <v>1.282233011</v>
      </c>
      <c r="AB58" t="n">
        <v>-0.361198058</v>
      </c>
      <c r="AD58" t="n">
        <v>2.115493108</v>
      </c>
      <c r="AE58" t="n">
        <v>2.131381825</v>
      </c>
      <c r="AF58" t="n">
        <v>4.316423271</v>
      </c>
      <c r="AG58" t="n">
        <v>1.031951641</v>
      </c>
      <c r="AI58" t="n">
        <v>0.9543473139999999</v>
      </c>
      <c r="AJ58" t="n">
        <v>-1.393059879</v>
      </c>
      <c r="AK58" t="n">
        <v>1.621275009</v>
      </c>
      <c r="AO58" t="n">
        <v>1.532256747</v>
      </c>
      <c r="AS58" t="n">
        <v>0.363511886</v>
      </c>
      <c r="AU58" t="n">
        <v>1.697434269</v>
      </c>
      <c r="AV58" t="n">
        <v>-0.436986588</v>
      </c>
    </row>
    <row r="59">
      <c r="A59" t="inlineStr">
        <is>
          <t>1961-Q3</t>
        </is>
      </c>
      <c r="B59" s="87" t="n">
        <v>22555</v>
      </c>
      <c r="D59" t="n">
        <v>-0.715289488</v>
      </c>
      <c r="E59" t="n">
        <v>1.256451829</v>
      </c>
      <c r="F59" t="n">
        <v>1.275744177</v>
      </c>
      <c r="H59" t="n">
        <v>2.409293109</v>
      </c>
      <c r="I59" t="n">
        <v>1.242126259</v>
      </c>
      <c r="M59" t="n">
        <v>2.052513111</v>
      </c>
      <c r="N59" t="n">
        <v>1.819055683</v>
      </c>
      <c r="Q59" t="n">
        <v>2.042474721</v>
      </c>
      <c r="T59" t="n">
        <v>0.514003459</v>
      </c>
      <c r="U59" t="n">
        <v>1.59221853</v>
      </c>
      <c r="W59" t="n">
        <v>-0.481567586</v>
      </c>
      <c r="X59" t="n">
        <v>1.260397723</v>
      </c>
      <c r="AA59" t="n">
        <v>0.967543067</v>
      </c>
      <c r="AB59" t="n">
        <v>0.979253613</v>
      </c>
      <c r="AD59" t="n">
        <v>2.330642273</v>
      </c>
      <c r="AE59" t="n">
        <v>1.918908589</v>
      </c>
      <c r="AF59" t="n">
        <v>-1.825247143</v>
      </c>
      <c r="AG59" t="n">
        <v>0.610606289</v>
      </c>
      <c r="AI59" t="n">
        <v>1.007541979</v>
      </c>
      <c r="AJ59" t="n">
        <v>0.117012238</v>
      </c>
      <c r="AK59" t="n">
        <v>1.174077826</v>
      </c>
      <c r="AO59" t="n">
        <v>1.596982283</v>
      </c>
      <c r="AS59" t="n">
        <v>1.386708171</v>
      </c>
      <c r="AU59" t="n">
        <v>1.919586999</v>
      </c>
      <c r="AV59" t="n">
        <v>2.233624991</v>
      </c>
    </row>
    <row r="60">
      <c r="A60" t="inlineStr">
        <is>
          <t>1961-Q4</t>
        </is>
      </c>
      <c r="B60" s="87" t="n">
        <v>22647</v>
      </c>
      <c r="D60" t="n">
        <v>1.137988139</v>
      </c>
      <c r="E60" t="n">
        <v>0.227988195</v>
      </c>
      <c r="F60" t="n">
        <v>1.381073857</v>
      </c>
      <c r="H60" t="n">
        <v>1.396819941</v>
      </c>
      <c r="I60" t="n">
        <v>1.958044212</v>
      </c>
      <c r="M60" t="n">
        <v>0.455604549</v>
      </c>
      <c r="N60" t="n">
        <v>1.836175694</v>
      </c>
      <c r="Q60" t="n">
        <v>2.821708201</v>
      </c>
      <c r="T60" t="n">
        <v>2.261307499</v>
      </c>
      <c r="U60" t="n">
        <v>1.699021949</v>
      </c>
      <c r="W60" t="n">
        <v>-0.245157812</v>
      </c>
      <c r="X60" t="n">
        <v>-0.5037466390000001</v>
      </c>
      <c r="AA60" t="n">
        <v>0.6351459310000001</v>
      </c>
      <c r="AB60" t="n">
        <v>2.389212807</v>
      </c>
      <c r="AD60" t="n">
        <v>1.913144697</v>
      </c>
      <c r="AE60" t="n">
        <v>4.587967502</v>
      </c>
      <c r="AF60" t="n">
        <v>1.297043617</v>
      </c>
      <c r="AG60" t="n">
        <v>0.165050539</v>
      </c>
      <c r="AI60" t="n">
        <v>1.057329044</v>
      </c>
      <c r="AJ60" t="n">
        <v>1.605198657</v>
      </c>
      <c r="AK60" t="n">
        <v>0.743972014</v>
      </c>
      <c r="AO60" t="n">
        <v>1.658386705</v>
      </c>
      <c r="AS60" t="n">
        <v>0.5032603329999999</v>
      </c>
      <c r="AU60" t="n">
        <v>1.961098063</v>
      </c>
      <c r="AV60" t="n">
        <v>0.909000229</v>
      </c>
    </row>
    <row r="61">
      <c r="A61" t="inlineStr">
        <is>
          <t>1962-Q1</t>
        </is>
      </c>
      <c r="B61" s="87" t="n">
        <v>22737</v>
      </c>
      <c r="D61" t="n">
        <v>2.807361276</v>
      </c>
      <c r="E61" t="n">
        <v>1.463309536</v>
      </c>
      <c r="F61" t="n">
        <v>1.346942099</v>
      </c>
      <c r="H61" t="n">
        <v>2.650176195</v>
      </c>
      <c r="I61" t="n">
        <v>0.575396157</v>
      </c>
      <c r="M61" t="n">
        <v>1.47335232</v>
      </c>
      <c r="N61" t="n">
        <v>1.851870187</v>
      </c>
      <c r="Q61" t="n">
        <v>2.365594398</v>
      </c>
      <c r="T61" t="n">
        <v>1.346842612</v>
      </c>
      <c r="U61" t="n">
        <v>1.800279466</v>
      </c>
      <c r="W61" t="n">
        <v>0.492807329</v>
      </c>
      <c r="X61" t="n">
        <v>-0.505156768</v>
      </c>
      <c r="AA61" t="n">
        <v>0.623614891</v>
      </c>
      <c r="AB61" t="n">
        <v>2.324874544</v>
      </c>
      <c r="AD61" t="n">
        <v>1.479934673</v>
      </c>
      <c r="AE61" t="n">
        <v>1.342397804</v>
      </c>
      <c r="AF61" t="n">
        <v>1.991930454</v>
      </c>
      <c r="AG61" t="n">
        <v>0.160319072</v>
      </c>
      <c r="AI61" t="n">
        <v>1.038747449</v>
      </c>
      <c r="AJ61" t="n">
        <v>2.720944794</v>
      </c>
      <c r="AK61" t="n">
        <v>0.325072378</v>
      </c>
      <c r="AO61" t="n">
        <v>1.716390751</v>
      </c>
      <c r="AS61" t="n">
        <v>0.277189801</v>
      </c>
      <c r="AU61" t="n">
        <v>1.783648811</v>
      </c>
      <c r="AV61" t="n">
        <v>2.586581337</v>
      </c>
    </row>
    <row r="62">
      <c r="A62" t="inlineStr">
        <is>
          <t>1962-Q2</t>
        </is>
      </c>
      <c r="B62" s="87" t="n">
        <v>22828</v>
      </c>
      <c r="D62" t="n">
        <v>1.919385797</v>
      </c>
      <c r="E62" t="n">
        <v>-0.021812204</v>
      </c>
      <c r="F62" t="n">
        <v>1.322267863</v>
      </c>
      <c r="H62" t="n">
        <v>0.735856142</v>
      </c>
      <c r="I62" t="n">
        <v>1.155195043</v>
      </c>
      <c r="M62" t="n">
        <v>1.042343972</v>
      </c>
      <c r="N62" t="n">
        <v>1.123347161</v>
      </c>
      <c r="Q62" t="n">
        <v>2.326175952</v>
      </c>
      <c r="T62" t="n">
        <v>-2.533564371</v>
      </c>
      <c r="U62" t="n">
        <v>1.615682117</v>
      </c>
      <c r="V62" t="n">
        <v>1.035435</v>
      </c>
      <c r="W62" t="n">
        <v>0.944930283</v>
      </c>
      <c r="X62" t="n">
        <v>-0.501022482</v>
      </c>
      <c r="AA62" t="n">
        <v>0.616916724</v>
      </c>
      <c r="AB62" t="n">
        <v>2.243606588</v>
      </c>
      <c r="AD62" t="n">
        <v>1.076640815</v>
      </c>
      <c r="AE62" t="n">
        <v>1.398081898</v>
      </c>
      <c r="AF62" t="n">
        <v>-1.868167524</v>
      </c>
      <c r="AG62" t="n">
        <v>0.161719511</v>
      </c>
      <c r="AI62" t="n">
        <v>1.018640474</v>
      </c>
      <c r="AJ62" t="n">
        <v>2.087974212</v>
      </c>
      <c r="AK62" t="n">
        <v>0.498362202</v>
      </c>
      <c r="AM62" t="n">
        <v>1.071978858</v>
      </c>
      <c r="AO62" t="n">
        <v>1.625878102</v>
      </c>
      <c r="AS62" t="n">
        <v>1.761047311</v>
      </c>
      <c r="AU62" t="n">
        <v>0.903663823</v>
      </c>
      <c r="AV62" t="n">
        <v>0.640571076</v>
      </c>
    </row>
    <row r="63">
      <c r="A63" t="inlineStr">
        <is>
          <t>1962-Q3</t>
        </is>
      </c>
      <c r="B63" s="87" t="n">
        <v>22920</v>
      </c>
      <c r="D63" t="n">
        <v>0.805385263</v>
      </c>
      <c r="E63" t="n">
        <v>0.839158414</v>
      </c>
      <c r="F63" t="n">
        <v>1.116325339</v>
      </c>
      <c r="H63" t="n">
        <v>1.316874822</v>
      </c>
      <c r="I63" t="n">
        <v>1.37074095</v>
      </c>
      <c r="M63" t="n">
        <v>2.395209581</v>
      </c>
      <c r="N63" t="n">
        <v>0.423810709</v>
      </c>
      <c r="Q63" t="n">
        <v>2.449012722</v>
      </c>
      <c r="T63" t="n">
        <v>1.952450944</v>
      </c>
      <c r="U63" t="n">
        <v>1.439785328</v>
      </c>
      <c r="V63" t="n">
        <v>1.294491</v>
      </c>
      <c r="W63" t="n">
        <v>0.5669782719999999</v>
      </c>
      <c r="X63" t="n">
        <v>1.289493266</v>
      </c>
      <c r="AA63" t="n">
        <v>0.9622938170000001</v>
      </c>
      <c r="AB63" t="n">
        <v>2.414549729</v>
      </c>
      <c r="AD63" t="n">
        <v>0.600370464</v>
      </c>
      <c r="AE63" t="n">
        <v>1.221843407</v>
      </c>
      <c r="AF63" t="n">
        <v>2.927449609</v>
      </c>
      <c r="AG63" t="n">
        <v>0.423164737</v>
      </c>
      <c r="AI63" t="n">
        <v>1.402493898</v>
      </c>
      <c r="AJ63" t="n">
        <v>3.147562475</v>
      </c>
      <c r="AK63" t="n">
        <v>0.669292009</v>
      </c>
      <c r="AM63" t="n">
        <v>1.376797134</v>
      </c>
      <c r="AO63" t="n">
        <v>1.5393379</v>
      </c>
      <c r="AS63" t="n">
        <v>2.447209631</v>
      </c>
      <c r="AU63" t="n">
        <v>1.228513048</v>
      </c>
      <c r="AV63" t="n">
        <v>1.95202764</v>
      </c>
    </row>
    <row r="64">
      <c r="A64" t="inlineStr">
        <is>
          <t>1962-Q4</t>
        </is>
      </c>
      <c r="B64" s="87" t="n">
        <v>23012</v>
      </c>
      <c r="D64" t="n">
        <v>1.796645202</v>
      </c>
      <c r="E64" t="n">
        <v>0.090983336</v>
      </c>
      <c r="F64" t="n">
        <v>0.896894853</v>
      </c>
      <c r="H64" t="n">
        <v>2.037445365</v>
      </c>
      <c r="I64" t="n">
        <v>0.64523921</v>
      </c>
      <c r="M64" t="n">
        <v>-0.216173587</v>
      </c>
      <c r="N64" t="n">
        <v>-0.262186258</v>
      </c>
      <c r="Q64" t="n">
        <v>0.268262459</v>
      </c>
      <c r="T64" t="n">
        <v>1.778152118</v>
      </c>
      <c r="U64" t="n">
        <v>1.251796955</v>
      </c>
      <c r="V64" t="n">
        <v>0.586255</v>
      </c>
      <c r="W64" t="n">
        <v>-0.427566027</v>
      </c>
      <c r="X64" t="n">
        <v>3.164249605</v>
      </c>
      <c r="AA64" t="n">
        <v>1.318174835</v>
      </c>
      <c r="AB64" t="n">
        <v>2.573507349</v>
      </c>
      <c r="AD64" t="n">
        <v>1.501587062</v>
      </c>
      <c r="AE64" t="n">
        <v>2.089625056</v>
      </c>
      <c r="AF64" t="n">
        <v>2.880017792</v>
      </c>
      <c r="AG64" t="n">
        <v>0.69832778</v>
      </c>
      <c r="AI64" t="n">
        <v>1.791419668</v>
      </c>
      <c r="AJ64" t="n">
        <v>-0.341937111</v>
      </c>
      <c r="AK64" t="n">
        <v>0.8371290260000001</v>
      </c>
      <c r="AM64" t="n">
        <v>0.698534334</v>
      </c>
      <c r="AO64" t="n">
        <v>1.456390797</v>
      </c>
      <c r="AS64" t="n">
        <v>0.824052305</v>
      </c>
      <c r="AU64" t="n">
        <v>0.328901576</v>
      </c>
      <c r="AV64" t="n">
        <v>1.280861445</v>
      </c>
    </row>
    <row r="65">
      <c r="A65" t="inlineStr">
        <is>
          <t>1963-Q1</t>
        </is>
      </c>
      <c r="B65" s="87" t="n">
        <v>23102</v>
      </c>
      <c r="D65" t="n">
        <v>2.308993883</v>
      </c>
      <c r="E65" t="n">
        <v>0.367610745</v>
      </c>
      <c r="F65" t="n">
        <v>0.881895777</v>
      </c>
      <c r="H65" t="n">
        <v>0.607109886</v>
      </c>
      <c r="I65" t="n">
        <v>-0.905599119</v>
      </c>
      <c r="M65" t="n">
        <v>-3.498025877</v>
      </c>
      <c r="N65" t="n">
        <v>-0.9488824890000001</v>
      </c>
      <c r="Q65" t="n">
        <v>5.752952622</v>
      </c>
      <c r="T65" t="n">
        <v>-0.934114804</v>
      </c>
      <c r="U65" t="n">
        <v>-1.665799419</v>
      </c>
      <c r="V65" t="n">
        <v>0.163517</v>
      </c>
      <c r="W65" t="n">
        <v>0.457268801</v>
      </c>
      <c r="X65" t="n">
        <v>3.049262433</v>
      </c>
      <c r="AA65" t="n">
        <v>1.289556448</v>
      </c>
      <c r="AB65" t="n">
        <v>2.485088936</v>
      </c>
      <c r="AD65" t="n">
        <v>0.663827765</v>
      </c>
      <c r="AE65" t="n">
        <v>1.366700433</v>
      </c>
      <c r="AF65" t="n">
        <v>5.859393765</v>
      </c>
      <c r="AG65" t="n">
        <v>0.696456251</v>
      </c>
      <c r="AI65" t="n">
        <v>1.750783472</v>
      </c>
      <c r="AJ65" t="n">
        <v>-6.27285825</v>
      </c>
      <c r="AK65" t="n">
        <v>1.001035817</v>
      </c>
      <c r="AM65" t="n">
        <v>0.365126118</v>
      </c>
      <c r="AO65" t="n">
        <v>1.376693844</v>
      </c>
      <c r="AS65" t="n">
        <v>-1.027403198</v>
      </c>
      <c r="AU65" t="n">
        <v>1.091574332</v>
      </c>
      <c r="AV65" t="n">
        <v>1.32273788</v>
      </c>
    </row>
    <row r="66">
      <c r="A66" t="inlineStr">
        <is>
          <t>1963-Q2</t>
        </is>
      </c>
      <c r="B66" s="87" t="n">
        <v>23193</v>
      </c>
      <c r="D66" t="n">
        <v>-1.297643886</v>
      </c>
      <c r="E66" t="n">
        <v>2.915281409</v>
      </c>
      <c r="F66" t="n">
        <v>0.866731394</v>
      </c>
      <c r="H66" t="n">
        <v>1.462353237</v>
      </c>
      <c r="I66" t="n">
        <v>3.835381388</v>
      </c>
      <c r="M66" t="n">
        <v>4.484411506</v>
      </c>
      <c r="N66" t="n">
        <v>0.138765644</v>
      </c>
      <c r="Q66" t="n">
        <v>0.08289023099999999</v>
      </c>
      <c r="T66" t="n">
        <v>1.982456512</v>
      </c>
      <c r="U66" t="n">
        <v>4.465475469</v>
      </c>
      <c r="V66" t="n">
        <v>2.454841</v>
      </c>
      <c r="W66" t="n">
        <v>4.415065315</v>
      </c>
      <c r="X66" t="n">
        <v>2.928359036</v>
      </c>
      <c r="AA66" t="n">
        <v>1.263608195</v>
      </c>
      <c r="AB66" t="n">
        <v>2.408236561</v>
      </c>
      <c r="AD66" t="n">
        <v>2.741399476</v>
      </c>
      <c r="AE66" t="n">
        <v>2.943448429</v>
      </c>
      <c r="AF66" t="n">
        <v>-2.358560133</v>
      </c>
      <c r="AG66" t="n">
        <v>0.6775289289999999</v>
      </c>
      <c r="AI66" t="n">
        <v>1.701509231</v>
      </c>
      <c r="AJ66" t="n">
        <v>8.940364184</v>
      </c>
      <c r="AK66" t="n">
        <v>1.057420293</v>
      </c>
      <c r="AM66" t="n">
        <v>2.375571023</v>
      </c>
      <c r="AO66" t="n">
        <v>1.411943883</v>
      </c>
      <c r="AS66" t="n">
        <v>3.823815287</v>
      </c>
      <c r="AU66" t="n">
        <v>1.122121453</v>
      </c>
      <c r="AV66" t="n">
        <v>2.644226981</v>
      </c>
    </row>
    <row r="67">
      <c r="A67" t="inlineStr">
        <is>
          <t>1963-Q3</t>
        </is>
      </c>
      <c r="B67" s="87" t="n">
        <v>23285</v>
      </c>
      <c r="D67" t="n">
        <v>4.105227882</v>
      </c>
      <c r="E67" t="n">
        <v>1.087485258</v>
      </c>
      <c r="F67" t="n">
        <v>1.449746943</v>
      </c>
      <c r="H67" t="n">
        <v>0.7778835549999999</v>
      </c>
      <c r="I67" t="n">
        <v>2.228737774</v>
      </c>
      <c r="M67" t="n">
        <v>3.469247781</v>
      </c>
      <c r="N67" t="n">
        <v>1.233791731</v>
      </c>
      <c r="Q67" t="n">
        <v>2.157735448</v>
      </c>
      <c r="T67" t="n">
        <v>1.044761167</v>
      </c>
      <c r="U67" t="n">
        <v>3.298802433</v>
      </c>
      <c r="V67" t="n">
        <v>2.259986</v>
      </c>
      <c r="W67" t="n">
        <v>0.475790821</v>
      </c>
      <c r="X67" t="n">
        <v>2.367085247</v>
      </c>
      <c r="AA67" t="n">
        <v>1.121533614</v>
      </c>
      <c r="AB67" t="n">
        <v>2.521477659</v>
      </c>
      <c r="AD67" t="n">
        <v>1.641304821</v>
      </c>
      <c r="AE67" t="n">
        <v>2.932389591</v>
      </c>
      <c r="AF67" t="n">
        <v>3.295069015</v>
      </c>
      <c r="AG67" t="n">
        <v>1.569826892</v>
      </c>
      <c r="AI67" t="n">
        <v>2.353728498</v>
      </c>
      <c r="AJ67" t="n">
        <v>2.402534165</v>
      </c>
      <c r="AK67" t="n">
        <v>1.11193064</v>
      </c>
      <c r="AM67" t="n">
        <v>2.235300964</v>
      </c>
      <c r="AO67" t="n">
        <v>1.445410635</v>
      </c>
      <c r="AS67" t="n">
        <v>1.854547042</v>
      </c>
      <c r="AU67" t="n">
        <v>2.198434459</v>
      </c>
      <c r="AV67" t="n">
        <v>2.639167193</v>
      </c>
    </row>
    <row r="68">
      <c r="A68" t="inlineStr">
        <is>
          <t>1963-Q4</t>
        </is>
      </c>
      <c r="B68" s="87" t="n">
        <v>23377</v>
      </c>
      <c r="D68" t="n">
        <v>2.140672783</v>
      </c>
      <c r="E68" t="n">
        <v>2.038743111</v>
      </c>
      <c r="F68" t="n">
        <v>2.044499523</v>
      </c>
      <c r="H68" t="n">
        <v>3.138726959</v>
      </c>
      <c r="I68" t="n">
        <v>1.086477559</v>
      </c>
      <c r="M68" t="n">
        <v>0.483965882</v>
      </c>
      <c r="N68" t="n">
        <v>2.300600033</v>
      </c>
      <c r="Q68" t="n">
        <v>1.861635924</v>
      </c>
      <c r="T68" t="n">
        <v>2.116155586</v>
      </c>
      <c r="U68" t="n">
        <v>0.311286644</v>
      </c>
      <c r="V68" t="n">
        <v>1.163176</v>
      </c>
      <c r="W68" t="n">
        <v>2.191614535</v>
      </c>
      <c r="X68" t="n">
        <v>1.796958436</v>
      </c>
      <c r="AA68" t="n">
        <v>0.968148037</v>
      </c>
      <c r="AB68" t="n">
        <v>2.621828944</v>
      </c>
      <c r="AD68" t="n">
        <v>1.028412174</v>
      </c>
      <c r="AE68" t="n">
        <v>3.445524369</v>
      </c>
      <c r="AF68" t="n">
        <v>0.093359129</v>
      </c>
      <c r="AG68" t="n">
        <v>2.483195981</v>
      </c>
      <c r="AI68" t="n">
        <v>2.998675381</v>
      </c>
      <c r="AJ68" t="n">
        <v>2.105748604</v>
      </c>
      <c r="AK68" t="n">
        <v>1.164630214</v>
      </c>
      <c r="AM68" t="n">
        <v>1.298915097</v>
      </c>
      <c r="AO68" t="n">
        <v>1.477252709</v>
      </c>
      <c r="AS68" t="n">
        <v>0.877163154</v>
      </c>
      <c r="AU68" t="n">
        <v>0.655602437</v>
      </c>
      <c r="AV68" t="n">
        <v>1.762170542</v>
      </c>
    </row>
    <row r="69">
      <c r="A69" t="inlineStr">
        <is>
          <t>1964-Q1</t>
        </is>
      </c>
      <c r="B69" s="87" t="n">
        <v>23468</v>
      </c>
      <c r="D69" t="n">
        <v>-0.16242818</v>
      </c>
      <c r="E69" t="n">
        <v>1.006058114</v>
      </c>
      <c r="F69" t="n">
        <v>1.987689142</v>
      </c>
      <c r="H69" t="n">
        <v>2.480651545</v>
      </c>
      <c r="I69" t="n">
        <v>0.124762743</v>
      </c>
      <c r="M69" t="n">
        <v>1.375907483</v>
      </c>
      <c r="N69" t="n">
        <v>3.30640327</v>
      </c>
      <c r="Q69" t="n">
        <v>0.565485382</v>
      </c>
      <c r="T69" t="n">
        <v>1.262608858</v>
      </c>
      <c r="U69" t="n">
        <v>1.882604425</v>
      </c>
      <c r="V69" t="n">
        <v>1.933337</v>
      </c>
      <c r="W69" t="n">
        <v>0.67919602</v>
      </c>
      <c r="X69" t="n">
        <v>1.745428994</v>
      </c>
      <c r="AA69" t="n">
        <v>0.946943572</v>
      </c>
      <c r="AB69" t="n">
        <v>2.529644189</v>
      </c>
      <c r="AD69" t="n">
        <v>1.482283155</v>
      </c>
      <c r="AE69" t="n">
        <v>3.189414254</v>
      </c>
      <c r="AF69" t="n">
        <v>5.970535022</v>
      </c>
      <c r="AG69" t="n">
        <v>2.403890946</v>
      </c>
      <c r="AI69" t="n">
        <v>2.887235401</v>
      </c>
      <c r="AJ69" t="n">
        <v>1.337372026</v>
      </c>
      <c r="AK69" t="n">
        <v>1.215329716</v>
      </c>
      <c r="AM69" t="n">
        <v>1.834901318</v>
      </c>
      <c r="AO69" t="n">
        <v>1.507420814</v>
      </c>
      <c r="AS69" t="n">
        <v>2.477562222</v>
      </c>
      <c r="AU69" t="n">
        <v>2.108252099</v>
      </c>
      <c r="AV69" t="n">
        <v>1.873091613</v>
      </c>
    </row>
    <row r="70">
      <c r="A70" t="inlineStr">
        <is>
          <t>1964-Q2</t>
        </is>
      </c>
      <c r="B70" s="87" t="n">
        <v>23559</v>
      </c>
      <c r="D70" t="n">
        <v>2.467097276</v>
      </c>
      <c r="E70" t="n">
        <v>1.447898917</v>
      </c>
      <c r="F70" t="n">
        <v>1.943285651</v>
      </c>
      <c r="H70" t="n">
        <v>0.36854719</v>
      </c>
      <c r="I70" t="n">
        <v>3.526248848</v>
      </c>
      <c r="M70" t="n">
        <v>1.221775492</v>
      </c>
      <c r="N70" t="n">
        <v>2.609488113</v>
      </c>
      <c r="Q70" t="n">
        <v>1.648014179</v>
      </c>
      <c r="T70" t="n">
        <v>0.867410838</v>
      </c>
      <c r="U70" t="n">
        <v>0.958920529</v>
      </c>
      <c r="V70" t="n">
        <v>1.11114</v>
      </c>
      <c r="W70" t="n">
        <v>1.859715319</v>
      </c>
      <c r="X70" t="n">
        <v>1.715966667</v>
      </c>
      <c r="AA70" t="n">
        <v>0.939508463</v>
      </c>
      <c r="AB70" t="n">
        <v>2.464762652</v>
      </c>
      <c r="AD70" t="n">
        <v>-1.011876839</v>
      </c>
      <c r="AE70" t="n">
        <v>2.412494839</v>
      </c>
      <c r="AF70" t="n">
        <v>-2.874867444</v>
      </c>
      <c r="AG70" t="n">
        <v>2.34065558</v>
      </c>
      <c r="AI70" t="n">
        <v>2.799082004</v>
      </c>
      <c r="AJ70" t="n">
        <v>0.864344699</v>
      </c>
      <c r="AK70" t="n">
        <v>1.289769828</v>
      </c>
      <c r="AM70" t="n">
        <v>1.240998362</v>
      </c>
      <c r="AO70" t="n">
        <v>1.692709544</v>
      </c>
      <c r="AS70" t="n">
        <v>0.5418442020000001</v>
      </c>
      <c r="AU70" t="n">
        <v>1.08873369</v>
      </c>
      <c r="AV70" t="n">
        <v>1.809866683</v>
      </c>
    </row>
    <row r="71">
      <c r="A71" t="inlineStr">
        <is>
          <t>1964-Q3</t>
        </is>
      </c>
      <c r="B71" s="87" t="n">
        <v>23651</v>
      </c>
      <c r="D71" t="n">
        <v>0.6208825059999999</v>
      </c>
      <c r="E71" t="n">
        <v>0.900527624</v>
      </c>
      <c r="F71" t="n">
        <v>1.344338307</v>
      </c>
      <c r="H71" t="n">
        <v>1.042062097</v>
      </c>
      <c r="I71" t="n">
        <v>-0.546061046</v>
      </c>
      <c r="M71" t="n">
        <v>1.039093942</v>
      </c>
      <c r="N71" t="n">
        <v>1.967066641</v>
      </c>
      <c r="Q71" t="n">
        <v>0.75129305</v>
      </c>
      <c r="T71" t="n">
        <v>1.604947332</v>
      </c>
      <c r="U71" t="n">
        <v>1.226254685</v>
      </c>
      <c r="V71" t="n">
        <v>1.194745</v>
      </c>
      <c r="W71" t="n">
        <v>0.369280877</v>
      </c>
      <c r="X71" t="n">
        <v>2.157617757</v>
      </c>
      <c r="AA71" t="n">
        <v>0.720306033</v>
      </c>
      <c r="AB71" t="n">
        <v>1.990517774</v>
      </c>
      <c r="AD71" t="n">
        <v>-0.168904093</v>
      </c>
      <c r="AE71" t="n">
        <v>1.544361338</v>
      </c>
      <c r="AF71" t="n">
        <v>6.805402395</v>
      </c>
      <c r="AG71" t="n">
        <v>1.266755839</v>
      </c>
      <c r="AI71" t="n">
        <v>2.101629964</v>
      </c>
      <c r="AJ71" t="n">
        <v>1.889446915</v>
      </c>
      <c r="AK71" t="n">
        <v>1.361210281</v>
      </c>
      <c r="AM71" t="n">
        <v>1.223336893</v>
      </c>
      <c r="AO71" t="n">
        <v>1.868849429</v>
      </c>
      <c r="AS71" t="n">
        <v>1.995749957</v>
      </c>
      <c r="AU71" t="n">
        <v>1.562300666</v>
      </c>
      <c r="AV71" t="n">
        <v>0.939568527</v>
      </c>
    </row>
    <row r="72">
      <c r="A72" t="inlineStr">
        <is>
          <t>1964-Q4</t>
        </is>
      </c>
      <c r="B72" s="87" t="n">
        <v>23743</v>
      </c>
      <c r="D72" t="n">
        <v>2.839142723</v>
      </c>
      <c r="E72" t="n">
        <v>2.854332243</v>
      </c>
      <c r="F72" t="n">
        <v>0.747161739</v>
      </c>
      <c r="H72" t="n">
        <v>0.5398924389999999</v>
      </c>
      <c r="I72" t="n">
        <v>-0.611582055</v>
      </c>
      <c r="M72" t="n">
        <v>1.360335531</v>
      </c>
      <c r="N72" t="n">
        <v>1.364173526</v>
      </c>
      <c r="Q72" t="n">
        <v>2.174160309</v>
      </c>
      <c r="T72" t="n">
        <v>-0.640689736</v>
      </c>
      <c r="U72" t="n">
        <v>0.9037387019999999</v>
      </c>
      <c r="V72" t="n">
        <v>0.663403</v>
      </c>
      <c r="W72" t="n">
        <v>1.511680388</v>
      </c>
      <c r="X72" t="n">
        <v>2.59261281</v>
      </c>
      <c r="AA72" t="n">
        <v>0.496768236</v>
      </c>
      <c r="AB72" t="n">
        <v>1.526308194</v>
      </c>
      <c r="AD72" t="n">
        <v>-0.418482889</v>
      </c>
      <c r="AE72" t="n">
        <v>1.250663295</v>
      </c>
      <c r="AF72" t="n">
        <v>4.019545705</v>
      </c>
      <c r="AG72" t="n">
        <v>0.19834878</v>
      </c>
      <c r="AI72" t="n">
        <v>1.422456862</v>
      </c>
      <c r="AJ72" t="n">
        <v>1.049790249</v>
      </c>
      <c r="AK72" t="n">
        <v>1.429613923</v>
      </c>
      <c r="AM72" t="n">
        <v>0.814397536</v>
      </c>
      <c r="AO72" t="n">
        <v>2.035035329</v>
      </c>
      <c r="AS72" t="n">
        <v>1.070150373</v>
      </c>
      <c r="AU72" t="n">
        <v>0.308871858</v>
      </c>
      <c r="AV72" t="n">
        <v>2.92427256</v>
      </c>
    </row>
    <row r="73">
      <c r="A73" t="inlineStr">
        <is>
          <t>1965-Q1</t>
        </is>
      </c>
      <c r="B73" s="87" t="n">
        <v>23833</v>
      </c>
      <c r="D73" t="n">
        <v>0.840480471</v>
      </c>
      <c r="E73" t="n">
        <v>-1.03171585</v>
      </c>
      <c r="F73" t="n">
        <v>0.733465155</v>
      </c>
      <c r="H73" t="n">
        <v>3.147915345</v>
      </c>
      <c r="I73" t="n">
        <v>2.485868997</v>
      </c>
      <c r="M73" t="n">
        <v>1.63656424</v>
      </c>
      <c r="N73" t="n">
        <v>0.788471361</v>
      </c>
      <c r="Q73" t="n">
        <v>2.128162749</v>
      </c>
      <c r="T73" t="n">
        <v>3.226251832</v>
      </c>
      <c r="U73" t="n">
        <v>0.221994873</v>
      </c>
      <c r="V73" t="n">
        <v>1.660417</v>
      </c>
      <c r="W73" t="n">
        <v>-0.298284023</v>
      </c>
      <c r="X73" t="n">
        <v>2.508262128</v>
      </c>
      <c r="AA73" t="n">
        <v>0.487566055</v>
      </c>
      <c r="AB73" t="n">
        <v>1.496512559</v>
      </c>
      <c r="AD73" t="n">
        <v>1.350147107</v>
      </c>
      <c r="AE73" t="n">
        <v>0.813162245</v>
      </c>
      <c r="AF73" t="n">
        <v>1.278573815</v>
      </c>
      <c r="AG73" t="n">
        <v>0.191471408</v>
      </c>
      <c r="AI73" t="n">
        <v>1.390493536</v>
      </c>
      <c r="AJ73" t="n">
        <v>2.887565198</v>
      </c>
      <c r="AK73" t="n">
        <v>1.494925999</v>
      </c>
      <c r="AM73" t="n">
        <v>1.630407473</v>
      </c>
      <c r="AO73" t="n">
        <v>2.191014713</v>
      </c>
      <c r="AS73" t="n">
        <v>1.970918509</v>
      </c>
      <c r="AU73" t="n">
        <v>2.419751879</v>
      </c>
      <c r="AV73" t="n">
        <v>1.923998284</v>
      </c>
    </row>
    <row r="74">
      <c r="A74" t="inlineStr">
        <is>
          <t>1965-Q2</t>
        </is>
      </c>
      <c r="B74" s="87" t="n">
        <v>23924</v>
      </c>
      <c r="D74" t="n">
        <v>1.568159882</v>
      </c>
      <c r="E74" t="n">
        <v>0.528129233</v>
      </c>
      <c r="F74" t="n">
        <v>0.724151005</v>
      </c>
      <c r="H74" t="n">
        <v>0.958020627</v>
      </c>
      <c r="I74" t="n">
        <v>0.120876874</v>
      </c>
      <c r="M74" t="n">
        <v>1.578070865</v>
      </c>
      <c r="N74" t="n">
        <v>0.7389061649999999</v>
      </c>
      <c r="Q74" t="n">
        <v>0.42662027</v>
      </c>
      <c r="T74" t="n">
        <v>1.382899031</v>
      </c>
      <c r="U74" t="n">
        <v>2.488095418</v>
      </c>
      <c r="V74" t="n">
        <v>1.329019</v>
      </c>
      <c r="W74" t="n">
        <v>0.06435115399999999</v>
      </c>
      <c r="X74" t="n">
        <v>2.425116397</v>
      </c>
      <c r="AA74" t="n">
        <v>0.483868724</v>
      </c>
      <c r="AB74" t="n">
        <v>1.456997639</v>
      </c>
      <c r="AD74" t="n">
        <v>1.993828946</v>
      </c>
      <c r="AE74" t="n">
        <v>1.248847841</v>
      </c>
      <c r="AF74" t="n">
        <v>0.226092863</v>
      </c>
      <c r="AG74" t="n">
        <v>0.194235758</v>
      </c>
      <c r="AI74" t="n">
        <v>1.360647158</v>
      </c>
      <c r="AJ74" t="n">
        <v>-1.022037609</v>
      </c>
      <c r="AK74" t="n">
        <v>1.241228834</v>
      </c>
      <c r="AM74" t="n">
        <v>1.184398987</v>
      </c>
      <c r="AO74" t="n">
        <v>1.750541059</v>
      </c>
      <c r="AS74" t="n">
        <v>-0.73941296</v>
      </c>
      <c r="AU74" t="n">
        <v>1.263298249</v>
      </c>
      <c r="AV74" t="n">
        <v>0.967394337</v>
      </c>
    </row>
    <row r="75">
      <c r="A75" t="inlineStr">
        <is>
          <t>1965-Q3</t>
        </is>
      </c>
      <c r="B75" s="87" t="n">
        <v>24016</v>
      </c>
      <c r="D75" t="n">
        <v>-0.295150146</v>
      </c>
      <c r="E75" t="n">
        <v>2.021288484</v>
      </c>
      <c r="F75" t="n">
        <v>0.736432615</v>
      </c>
      <c r="H75" t="n">
        <v>1.361815991</v>
      </c>
      <c r="I75" t="n">
        <v>1.059562853</v>
      </c>
      <c r="M75" t="n">
        <v>0.665875619</v>
      </c>
      <c r="N75" t="n">
        <v>0.690385637</v>
      </c>
      <c r="Q75" t="n">
        <v>1.018033046</v>
      </c>
      <c r="T75" t="n">
        <v>1.222783966</v>
      </c>
      <c r="U75" t="n">
        <v>1.445018966</v>
      </c>
      <c r="V75" t="n">
        <v>1.722974</v>
      </c>
      <c r="W75" t="n">
        <v>0.819103386</v>
      </c>
      <c r="X75" t="n">
        <v>1.917831304</v>
      </c>
      <c r="AA75" t="n">
        <v>0.229256974</v>
      </c>
      <c r="AB75" t="n">
        <v>2.116984581</v>
      </c>
      <c r="AD75" t="n">
        <v>1.332058082</v>
      </c>
      <c r="AE75" t="n">
        <v>2.265972003</v>
      </c>
      <c r="AF75" t="n">
        <v>-0.790992177</v>
      </c>
      <c r="AG75" t="n">
        <v>0.275605866</v>
      </c>
      <c r="AI75" t="n">
        <v>1.475944033</v>
      </c>
      <c r="AJ75" t="n">
        <v>0.899899217</v>
      </c>
      <c r="AK75" t="n">
        <v>0.997207065</v>
      </c>
      <c r="AM75" t="n">
        <v>1.576588341</v>
      </c>
      <c r="AO75" t="n">
        <v>1.333726909</v>
      </c>
      <c r="AS75" t="n">
        <v>-0.102962117</v>
      </c>
      <c r="AU75" t="n">
        <v>2.223252282</v>
      </c>
      <c r="AV75" t="n">
        <v>-0.315747202</v>
      </c>
    </row>
    <row r="76">
      <c r="A76" t="inlineStr">
        <is>
          <t>1965-Q4</t>
        </is>
      </c>
      <c r="B76" s="87" t="n">
        <v>24108</v>
      </c>
      <c r="D76" t="n">
        <v>0.242201341</v>
      </c>
      <c r="E76" t="n">
        <v>0.44959764</v>
      </c>
      <c r="F76" t="n">
        <v>0.745096621</v>
      </c>
      <c r="H76" t="n">
        <v>2.459550179</v>
      </c>
      <c r="I76" t="n">
        <v>-0.261583709</v>
      </c>
      <c r="M76" t="n">
        <v>0.598451791</v>
      </c>
      <c r="N76" t="n">
        <v>0.642868714</v>
      </c>
      <c r="Q76" t="n">
        <v>2.989390694</v>
      </c>
      <c r="T76" t="n">
        <v>-0.701596023</v>
      </c>
      <c r="U76" t="n">
        <v>1.392214333</v>
      </c>
      <c r="V76" t="n">
        <v>1.72002</v>
      </c>
      <c r="W76" t="n">
        <v>0.663052054</v>
      </c>
      <c r="X76" t="n">
        <v>1.396412929</v>
      </c>
      <c r="AA76" t="n">
        <v>-0.042736612</v>
      </c>
      <c r="AB76" t="n">
        <v>2.775478427</v>
      </c>
      <c r="AD76" t="n">
        <v>1.50234531</v>
      </c>
      <c r="AE76" t="n">
        <v>1.553909699</v>
      </c>
      <c r="AF76" t="n">
        <v>2.332367206</v>
      </c>
      <c r="AG76" t="n">
        <v>0.360587193</v>
      </c>
      <c r="AI76" t="n">
        <v>1.586576684</v>
      </c>
      <c r="AJ76" t="n">
        <v>2.673000952</v>
      </c>
      <c r="AK76" t="n">
        <v>0.760749202</v>
      </c>
      <c r="AM76" t="n">
        <v>1.696549418</v>
      </c>
      <c r="AO76" t="n">
        <v>0.934594765</v>
      </c>
      <c r="AS76" t="n">
        <v>1.989428933</v>
      </c>
      <c r="AU76" t="n">
        <v>2.304040466</v>
      </c>
      <c r="AV76" t="n">
        <v>1.663322974</v>
      </c>
    </row>
    <row r="77">
      <c r="A77" t="inlineStr">
        <is>
          <t>1966-Q1</t>
        </is>
      </c>
      <c r="B77" s="87" t="n">
        <v>24198</v>
      </c>
      <c r="D77" t="n">
        <v>-0.28859706</v>
      </c>
      <c r="E77" t="n">
        <v>3.196666159</v>
      </c>
      <c r="F77" t="n">
        <v>0.732865674</v>
      </c>
      <c r="H77" t="n">
        <v>1.914221546</v>
      </c>
      <c r="I77" t="n">
        <v>-1.34631725</v>
      </c>
      <c r="M77" t="n">
        <v>1.81592055</v>
      </c>
      <c r="N77" t="n">
        <v>0.596230504</v>
      </c>
      <c r="Q77" t="n">
        <v>-0.680517619</v>
      </c>
      <c r="T77" t="n">
        <v>-0.912944245</v>
      </c>
      <c r="U77" t="n">
        <v>0.902205649</v>
      </c>
      <c r="V77" t="n">
        <v>1.916516</v>
      </c>
      <c r="W77" t="n">
        <v>0.148968339</v>
      </c>
      <c r="X77" t="n">
        <v>1.35695634</v>
      </c>
      <c r="AA77" t="n">
        <v>-0.038760612</v>
      </c>
      <c r="AB77" t="n">
        <v>2.665270118</v>
      </c>
      <c r="AD77" t="n">
        <v>0.967116445</v>
      </c>
      <c r="AE77" t="n">
        <v>2.676417582</v>
      </c>
      <c r="AF77" t="n">
        <v>6.129066097</v>
      </c>
      <c r="AG77" t="n">
        <v>0.354312876</v>
      </c>
      <c r="AI77" t="n">
        <v>1.54569495</v>
      </c>
      <c r="AJ77" t="n">
        <v>-2.7211587</v>
      </c>
      <c r="AK77" t="n">
        <v>0.53017089</v>
      </c>
      <c r="AM77" t="n">
        <v>1.652085372</v>
      </c>
      <c r="AO77" t="n">
        <v>0.547837083</v>
      </c>
      <c r="AS77" t="n">
        <v>1.383376129</v>
      </c>
      <c r="AU77" t="n">
        <v>2.434228759</v>
      </c>
      <c r="AV77" t="n">
        <v>1.404337538</v>
      </c>
    </row>
    <row r="78">
      <c r="A78" t="inlineStr">
        <is>
          <t>1966-Q2</t>
        </is>
      </c>
      <c r="B78" s="87" t="n">
        <v>24289</v>
      </c>
      <c r="D78" t="n">
        <v>1.370877272</v>
      </c>
      <c r="E78" t="n">
        <v>-0.12343989</v>
      </c>
      <c r="F78" t="n">
        <v>0.722237037</v>
      </c>
      <c r="H78" t="n">
        <v>2.11998309</v>
      </c>
      <c r="I78" t="n">
        <v>5.130424486</v>
      </c>
      <c r="M78" t="n">
        <v>0.307484942</v>
      </c>
      <c r="N78" t="n">
        <v>0.681158855</v>
      </c>
      <c r="Q78" t="n">
        <v>5.167525676</v>
      </c>
      <c r="T78" t="n">
        <v>2.059101758</v>
      </c>
      <c r="U78" t="n">
        <v>1.512521587</v>
      </c>
      <c r="V78" t="n">
        <v>0.982288</v>
      </c>
      <c r="W78" t="n">
        <v>0.545034745</v>
      </c>
      <c r="X78" t="n">
        <v>1.336467965</v>
      </c>
      <c r="AA78" t="n">
        <v>-0.042143613</v>
      </c>
      <c r="AB78" t="n">
        <v>2.587697707</v>
      </c>
      <c r="AD78" t="n">
        <v>1.424290602</v>
      </c>
      <c r="AE78" t="n">
        <v>3.912582843</v>
      </c>
      <c r="AF78" t="n">
        <v>6.193839408</v>
      </c>
      <c r="AG78" t="n">
        <v>0.352207078</v>
      </c>
      <c r="AI78" t="n">
        <v>1.512978569</v>
      </c>
      <c r="AJ78" t="n">
        <v>2.951838813</v>
      </c>
      <c r="AK78" t="n">
        <v>0.945991298</v>
      </c>
      <c r="AM78" t="n">
        <v>1.259589879</v>
      </c>
      <c r="AO78" t="n">
        <v>0.890694944</v>
      </c>
      <c r="AS78" t="n">
        <v>-0.65978203</v>
      </c>
      <c r="AU78" t="n">
        <v>0.341601962</v>
      </c>
      <c r="AV78" t="n">
        <v>1.088242246</v>
      </c>
    </row>
    <row r="79">
      <c r="A79" t="inlineStr">
        <is>
          <t>1966-Q3</t>
        </is>
      </c>
      <c r="B79" s="87" t="n">
        <v>24381</v>
      </c>
      <c r="D79" t="n">
        <v>2.827515991</v>
      </c>
      <c r="E79" t="n">
        <v>0.276640305</v>
      </c>
      <c r="F79" t="n">
        <v>0.867683512</v>
      </c>
      <c r="H79" t="n">
        <v>-0.023977179</v>
      </c>
      <c r="I79" t="n">
        <v>-1.256225564</v>
      </c>
      <c r="M79" t="n">
        <v>0.122676937</v>
      </c>
      <c r="N79" t="n">
        <v>0.764392634</v>
      </c>
      <c r="Q79" t="n">
        <v>1.98369138</v>
      </c>
      <c r="T79" t="n">
        <v>1.073881585</v>
      </c>
      <c r="U79" t="n">
        <v>1.140425464</v>
      </c>
      <c r="V79" t="n">
        <v>1.01667</v>
      </c>
      <c r="W79" t="n">
        <v>0.344458306</v>
      </c>
      <c r="X79" t="n">
        <v>1.342155326</v>
      </c>
      <c r="AA79" t="n">
        <v>0.736524492</v>
      </c>
      <c r="AB79" t="n">
        <v>1.046335853</v>
      </c>
      <c r="AD79" t="n">
        <v>2.825008494</v>
      </c>
      <c r="AE79" t="n">
        <v>2.431441883</v>
      </c>
      <c r="AF79" t="n">
        <v>-1.728704276</v>
      </c>
      <c r="AG79" t="n">
        <v>0.118504587</v>
      </c>
      <c r="AI79" t="n">
        <v>1.453550189</v>
      </c>
      <c r="AJ79" t="n">
        <v>2.051649338</v>
      </c>
      <c r="AK79" t="n">
        <v>1.351786941</v>
      </c>
      <c r="AM79" t="n">
        <v>1.025177345</v>
      </c>
      <c r="AO79" t="n">
        <v>1.225592041</v>
      </c>
      <c r="AS79" t="n">
        <v>-2.560285154</v>
      </c>
      <c r="AU79" t="n">
        <v>0.846905052</v>
      </c>
      <c r="AV79" t="n">
        <v>1.473290107</v>
      </c>
    </row>
    <row r="80">
      <c r="A80" t="inlineStr">
        <is>
          <t>1966-Q4</t>
        </is>
      </c>
      <c r="B80" s="87" t="n">
        <v>24473</v>
      </c>
      <c r="D80" t="n">
        <v>0.6564998869999999</v>
      </c>
      <c r="E80" t="n">
        <v>0.889976465</v>
      </c>
      <c r="F80" t="n">
        <v>1.015039977</v>
      </c>
      <c r="H80" t="n">
        <v>1.223334365</v>
      </c>
      <c r="I80" t="n">
        <v>1.15061795</v>
      </c>
      <c r="M80" t="n">
        <v>-1.56154042</v>
      </c>
      <c r="N80" t="n">
        <v>0.845812538</v>
      </c>
      <c r="Q80" t="n">
        <v>0.270896926</v>
      </c>
      <c r="T80" t="n">
        <v>3.071027029</v>
      </c>
      <c r="U80" t="n">
        <v>0.545946646</v>
      </c>
      <c r="V80" t="n">
        <v>0.496919</v>
      </c>
      <c r="W80" t="n">
        <v>-0.458801395</v>
      </c>
      <c r="X80" t="n">
        <v>1.340768844</v>
      </c>
      <c r="AA80" t="n">
        <v>1.555854567</v>
      </c>
      <c r="AB80" t="n">
        <v>-0.538181432</v>
      </c>
      <c r="AD80" t="n">
        <v>0.479191887</v>
      </c>
      <c r="AE80" t="n">
        <v>1.998277154</v>
      </c>
      <c r="AF80" t="n">
        <v>1.331174981</v>
      </c>
      <c r="AG80" t="n">
        <v>-0.131479192</v>
      </c>
      <c r="AI80" t="n">
        <v>1.38475762</v>
      </c>
      <c r="AJ80" t="n">
        <v>0.328501142</v>
      </c>
      <c r="AK80" t="n">
        <v>1.742887589</v>
      </c>
      <c r="AM80" t="n">
        <v>0.625256866</v>
      </c>
      <c r="AO80" t="n">
        <v>1.549392365</v>
      </c>
      <c r="AS80" t="n">
        <v>5.06697215</v>
      </c>
      <c r="AU80" t="n">
        <v>0.820407109</v>
      </c>
      <c r="AV80" t="n">
        <v>0.329041265</v>
      </c>
    </row>
    <row r="81">
      <c r="A81" t="inlineStr">
        <is>
          <t>1967-Q1</t>
        </is>
      </c>
      <c r="B81" s="87" t="n">
        <v>24563</v>
      </c>
      <c r="D81" t="n">
        <v>3.903685567</v>
      </c>
      <c r="E81" t="n">
        <v>0.876896933</v>
      </c>
      <c r="F81" t="n">
        <v>0.995320126</v>
      </c>
      <c r="H81" t="n">
        <v>-0.219920416</v>
      </c>
      <c r="I81" t="n">
        <v>2.805190353</v>
      </c>
      <c r="M81" t="n">
        <v>-0.49772895</v>
      </c>
      <c r="N81" t="n">
        <v>0.925141996</v>
      </c>
      <c r="Q81" t="n">
        <v>0.27549265</v>
      </c>
      <c r="T81" t="n">
        <v>-1.298875678</v>
      </c>
      <c r="U81" t="n">
        <v>1.713639564</v>
      </c>
      <c r="V81" t="n">
        <v>1.048677</v>
      </c>
      <c r="W81" t="n">
        <v>1.317534707</v>
      </c>
      <c r="X81" t="n">
        <v>1.309832395</v>
      </c>
      <c r="AA81" t="n">
        <v>1.527446559</v>
      </c>
      <c r="AB81" t="n">
        <v>-0.557784155</v>
      </c>
      <c r="AD81" t="n">
        <v>1.995070372</v>
      </c>
      <c r="AE81" t="n">
        <v>2.650178346</v>
      </c>
      <c r="AF81" t="n">
        <v>3.370041807</v>
      </c>
      <c r="AG81" t="n">
        <v>-0.12891016</v>
      </c>
      <c r="AI81" t="n">
        <v>1.353178114</v>
      </c>
      <c r="AJ81" t="n">
        <v>1.364118813</v>
      </c>
      <c r="AK81" t="n">
        <v>2.115153055</v>
      </c>
      <c r="AM81" t="n">
        <v>1.10261814</v>
      </c>
      <c r="AO81" t="n">
        <v>1.859224895</v>
      </c>
      <c r="AS81" t="n">
        <v>1.060737594</v>
      </c>
      <c r="AU81" t="n">
        <v>0.8855525869999999</v>
      </c>
      <c r="AV81" t="n">
        <v>3.635516169</v>
      </c>
    </row>
    <row r="82">
      <c r="A82" t="inlineStr">
        <is>
          <t>1967-Q2</t>
        </is>
      </c>
      <c r="B82" s="87" t="n">
        <v>24654</v>
      </c>
      <c r="D82" t="n">
        <v>-0.14303649</v>
      </c>
      <c r="E82" t="n">
        <v>0.856198071</v>
      </c>
      <c r="F82" t="n">
        <v>0.978753295</v>
      </c>
      <c r="H82" t="n">
        <v>2.104199266</v>
      </c>
      <c r="I82" t="n">
        <v>-0.979198377</v>
      </c>
      <c r="M82" t="n">
        <v>-0.31257933</v>
      </c>
      <c r="N82" t="n">
        <v>0.8757568060000001</v>
      </c>
      <c r="Q82" t="n">
        <v>1.201427228</v>
      </c>
      <c r="T82" t="n">
        <v>0.829482975</v>
      </c>
      <c r="U82" t="n">
        <v>1.094577234</v>
      </c>
      <c r="V82" t="n">
        <v>0.765718</v>
      </c>
      <c r="W82" t="n">
        <v>1.440041892</v>
      </c>
      <c r="X82" t="n">
        <v>1.284634665</v>
      </c>
      <c r="AA82" t="n">
        <v>1.484569826</v>
      </c>
      <c r="AB82" t="n">
        <v>-0.535663561</v>
      </c>
      <c r="AD82" t="n">
        <v>2.150865879</v>
      </c>
      <c r="AE82" t="n">
        <v>2.6901539</v>
      </c>
      <c r="AF82" t="n">
        <v>2.087957254</v>
      </c>
      <c r="AG82" t="n">
        <v>-0.129736904</v>
      </c>
      <c r="AI82" t="n">
        <v>1.325622743</v>
      </c>
      <c r="AJ82" t="n">
        <v>1.022579153</v>
      </c>
      <c r="AK82" t="n">
        <v>1.548682996</v>
      </c>
      <c r="AM82" t="n">
        <v>0.7668792129999999</v>
      </c>
      <c r="AO82" t="n">
        <v>2.136933499</v>
      </c>
      <c r="AS82" t="n">
        <v>0.335866733</v>
      </c>
      <c r="AU82" t="n">
        <v>0.061297813</v>
      </c>
      <c r="AV82" t="n">
        <v>0.158926296</v>
      </c>
    </row>
    <row r="83">
      <c r="A83" t="inlineStr">
        <is>
          <t>1967-Q3</t>
        </is>
      </c>
      <c r="B83" s="87" t="n">
        <v>24746</v>
      </c>
      <c r="D83" t="n">
        <v>1.877595606</v>
      </c>
      <c r="E83" t="n">
        <v>-0.658889874</v>
      </c>
      <c r="F83" t="n">
        <v>0.954276437</v>
      </c>
      <c r="H83" t="n">
        <v>0.357783887</v>
      </c>
      <c r="I83" t="n">
        <v>-1.163088589</v>
      </c>
      <c r="M83" t="n">
        <v>2.414591866</v>
      </c>
      <c r="N83" t="n">
        <v>0.827583422</v>
      </c>
      <c r="Q83" t="n">
        <v>1.715238061</v>
      </c>
      <c r="T83" t="n">
        <v>-0.603823063</v>
      </c>
      <c r="U83" t="n">
        <v>0.956190097</v>
      </c>
      <c r="V83" t="n">
        <v>1.405204</v>
      </c>
      <c r="W83" t="n">
        <v>0.469435602</v>
      </c>
      <c r="X83" t="n">
        <v>1.408851299</v>
      </c>
      <c r="AA83" t="n">
        <v>1.858371838</v>
      </c>
      <c r="AB83" t="n">
        <v>-1.180127919</v>
      </c>
      <c r="AD83" t="n">
        <v>1.541055336</v>
      </c>
      <c r="AE83" t="n">
        <v>3.467643213</v>
      </c>
      <c r="AF83" t="n">
        <v>4.139624768</v>
      </c>
      <c r="AG83" t="n">
        <v>0.35421015</v>
      </c>
      <c r="AI83" t="n">
        <v>1.646754016</v>
      </c>
      <c r="AJ83" t="n">
        <v>1.662570181</v>
      </c>
      <c r="AK83" t="n">
        <v>1.010316344</v>
      </c>
      <c r="AM83" t="n">
        <v>1.325735497</v>
      </c>
      <c r="AO83" t="n">
        <v>2.397430267</v>
      </c>
      <c r="AS83" t="n">
        <v>-1.597445134</v>
      </c>
      <c r="AU83" t="n">
        <v>0.946120917</v>
      </c>
      <c r="AV83" t="n">
        <v>5.028337401</v>
      </c>
    </row>
    <row r="84">
      <c r="A84" t="inlineStr">
        <is>
          <t>1967-Q4</t>
        </is>
      </c>
      <c r="B84" s="87" t="n">
        <v>24838</v>
      </c>
      <c r="D84" t="n">
        <v>0.868896734</v>
      </c>
      <c r="E84" t="n">
        <v>1.610119272</v>
      </c>
      <c r="F84" t="n">
        <v>0.923408429</v>
      </c>
      <c r="H84" t="n">
        <v>0.404636985</v>
      </c>
      <c r="I84" t="n">
        <v>0.513219285</v>
      </c>
      <c r="M84" t="n">
        <v>1.285930408</v>
      </c>
      <c r="N84" t="n">
        <v>0.780553225</v>
      </c>
      <c r="Q84" t="n">
        <v>-0.719103301</v>
      </c>
      <c r="T84" t="n">
        <v>-0.607758264</v>
      </c>
      <c r="U84" t="n">
        <v>0.974727457</v>
      </c>
      <c r="V84" t="n">
        <v>1.041162</v>
      </c>
      <c r="W84" t="n">
        <v>0.5314679329999999</v>
      </c>
      <c r="X84" t="n">
        <v>1.52923067</v>
      </c>
      <c r="AA84" t="n">
        <v>2.229628887</v>
      </c>
      <c r="AB84" t="n">
        <v>-1.883272844</v>
      </c>
      <c r="AD84" t="n">
        <v>1.975952573</v>
      </c>
      <c r="AE84" t="n">
        <v>1.933249747</v>
      </c>
      <c r="AF84" t="n">
        <v>0.660321191</v>
      </c>
      <c r="AG84" t="n">
        <v>0.868292486</v>
      </c>
      <c r="AI84" t="n">
        <v>1.967176392</v>
      </c>
      <c r="AJ84" t="n">
        <v>0.912321876</v>
      </c>
      <c r="AK84" t="n">
        <v>0.490641617</v>
      </c>
      <c r="AM84" t="n">
        <v>1.036243481</v>
      </c>
      <c r="AO84" t="n">
        <v>2.63927989</v>
      </c>
      <c r="AS84" t="n">
        <v>2.331611251</v>
      </c>
      <c r="AU84" t="n">
        <v>0.754017127</v>
      </c>
      <c r="AV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Q85" t="n">
        <v>2.133945021</v>
      </c>
      <c r="T85" t="n">
        <v>1.016885402</v>
      </c>
      <c r="U85" t="n">
        <v>2.909618399</v>
      </c>
      <c r="V85" t="n">
        <v>1.982874</v>
      </c>
      <c r="W85" t="n">
        <v>3.597325298</v>
      </c>
      <c r="X85" t="n">
        <v>1.496908356</v>
      </c>
      <c r="AA85" t="n">
        <v>2.162924681</v>
      </c>
      <c r="AB85" t="n">
        <v>-1.901361332</v>
      </c>
      <c r="AD85" t="n">
        <v>0.243127406</v>
      </c>
      <c r="AE85" t="n">
        <v>2.385972606</v>
      </c>
      <c r="AF85" t="n">
        <v>6.363252295</v>
      </c>
      <c r="AG85" t="n">
        <v>0.864826129</v>
      </c>
      <c r="AI85" t="n">
        <v>1.912980034</v>
      </c>
      <c r="AJ85" t="n">
        <v>3.305850221</v>
      </c>
      <c r="AK85" t="n">
        <v>-0.018835401</v>
      </c>
      <c r="AM85" t="n">
        <v>1.879243885</v>
      </c>
      <c r="AO85" t="n">
        <v>2.861783243</v>
      </c>
      <c r="AS85" t="n">
        <v>-1.684102017</v>
      </c>
      <c r="AU85" t="n">
        <v>2.039507129</v>
      </c>
      <c r="AV85" t="n">
        <v>1.641868589</v>
      </c>
    </row>
    <row r="86">
      <c r="A86" t="inlineStr">
        <is>
          <t>1968-Q2</t>
        </is>
      </c>
      <c r="B86" s="87" t="n">
        <v>25020</v>
      </c>
      <c r="D86" t="n">
        <v>3.84891686</v>
      </c>
      <c r="E86" t="n">
        <v>1.182700351</v>
      </c>
      <c r="F86" t="n">
        <v>0.896860205</v>
      </c>
      <c r="H86" t="n">
        <v>2.717634791</v>
      </c>
      <c r="I86" t="n">
        <v>0.553383765</v>
      </c>
      <c r="M86" t="n">
        <v>0.7772795219999999</v>
      </c>
      <c r="N86" t="n">
        <v>1.082175153</v>
      </c>
      <c r="Q86" t="n">
        <v>3.034022523</v>
      </c>
      <c r="T86" t="n">
        <v>1.623891844</v>
      </c>
      <c r="U86" t="n">
        <v>-7.580956365</v>
      </c>
      <c r="V86" t="n">
        <v>0.94254</v>
      </c>
      <c r="W86" t="n">
        <v>-0.404438026</v>
      </c>
      <c r="X86" t="n">
        <v>1.467886199</v>
      </c>
      <c r="AA86" t="n">
        <v>2.111718256</v>
      </c>
      <c r="AB86" t="n">
        <v>-1.935537198</v>
      </c>
      <c r="AD86" t="n">
        <v>2.09466276</v>
      </c>
      <c r="AE86" t="n">
        <v>3.411931155</v>
      </c>
      <c r="AF86" t="n">
        <v>1.471809575</v>
      </c>
      <c r="AG86" t="n">
        <v>0.84429005</v>
      </c>
      <c r="AI86" t="n">
        <v>1.87251932</v>
      </c>
      <c r="AJ86" t="n">
        <v>0.110424316</v>
      </c>
      <c r="AK86" t="n">
        <v>0.396580941</v>
      </c>
      <c r="AM86" t="n">
        <v>1.152797521</v>
      </c>
      <c r="AO86" t="n">
        <v>1.941333828</v>
      </c>
      <c r="AS86" t="n">
        <v>5.495456771</v>
      </c>
      <c r="AU86" t="n">
        <v>1.67079955</v>
      </c>
      <c r="AV86" t="n">
        <v>0.443369439</v>
      </c>
    </row>
    <row r="87">
      <c r="A87" t="inlineStr">
        <is>
          <t>1968-Q3</t>
        </is>
      </c>
      <c r="B87" s="87" t="n">
        <v>25112</v>
      </c>
      <c r="D87" t="n">
        <v>1.3231096</v>
      </c>
      <c r="E87" t="n">
        <v>1.811362605</v>
      </c>
      <c r="F87" t="n">
        <v>1.331804315</v>
      </c>
      <c r="H87" t="n">
        <v>1.367720948</v>
      </c>
      <c r="I87" t="n">
        <v>2.761789356</v>
      </c>
      <c r="M87" t="n">
        <v>2.195194304</v>
      </c>
      <c r="N87" t="n">
        <v>1.419760811</v>
      </c>
      <c r="Q87" t="n">
        <v>0.806297493</v>
      </c>
      <c r="T87" t="n">
        <v>0.277279201</v>
      </c>
      <c r="U87" t="n">
        <v>11.373243098</v>
      </c>
      <c r="V87" t="n">
        <v>2.148678</v>
      </c>
      <c r="W87" t="n">
        <v>1.960227859</v>
      </c>
      <c r="X87" t="n">
        <v>2.089823519</v>
      </c>
      <c r="AA87" t="n">
        <v>1.810612589</v>
      </c>
      <c r="AB87" t="n">
        <v>-0.59385709</v>
      </c>
      <c r="AD87" t="n">
        <v>2.404436429</v>
      </c>
      <c r="AE87" t="n">
        <v>2.263971456</v>
      </c>
      <c r="AF87" t="n">
        <v>5.132128648</v>
      </c>
      <c r="AG87" t="n">
        <v>2.024062829</v>
      </c>
      <c r="AI87" t="n">
        <v>1.584134361</v>
      </c>
      <c r="AJ87" t="n">
        <v>0.596632224</v>
      </c>
      <c r="AK87" t="n">
        <v>0.8087633360000001</v>
      </c>
      <c r="AM87" t="n">
        <v>2.001035243</v>
      </c>
      <c r="AO87" t="n">
        <v>1.079496897</v>
      </c>
      <c r="AS87" t="n">
        <v>0.726611088</v>
      </c>
      <c r="AU87" t="n">
        <v>0.774955663</v>
      </c>
      <c r="AV87" t="n">
        <v>1.07932653</v>
      </c>
    </row>
    <row r="88">
      <c r="A88" t="inlineStr">
        <is>
          <t>1968-Q4</t>
        </is>
      </c>
      <c r="B88" s="87" t="n">
        <v>25204</v>
      </c>
      <c r="D88" t="n">
        <v>3.72614068</v>
      </c>
      <c r="E88" t="n">
        <v>0.8958352979999999</v>
      </c>
      <c r="F88" t="n">
        <v>1.770448655</v>
      </c>
      <c r="H88" t="n">
        <v>1.380832934</v>
      </c>
      <c r="I88" t="n">
        <v>2.432073896</v>
      </c>
      <c r="M88" t="n">
        <v>1.509433962</v>
      </c>
      <c r="N88" t="n">
        <v>1.744169093</v>
      </c>
      <c r="Q88" t="n">
        <v>4.05340748</v>
      </c>
      <c r="T88" t="n">
        <v>1.87516964</v>
      </c>
      <c r="U88" t="n">
        <v>1.024590164</v>
      </c>
      <c r="V88" t="n">
        <v>1.439215</v>
      </c>
      <c r="W88" t="n">
        <v>0.42205837</v>
      </c>
      <c r="X88" t="n">
        <v>2.704475894</v>
      </c>
      <c r="AA88" t="n">
        <v>1.51391931</v>
      </c>
      <c r="AB88" t="n">
        <v>0.852386252</v>
      </c>
      <c r="AD88" t="n">
        <v>2.340948619</v>
      </c>
      <c r="AE88" t="n">
        <v>5.69754582</v>
      </c>
      <c r="AF88" t="n">
        <v>-1.706630201</v>
      </c>
      <c r="AG88" t="n">
        <v>3.198278434</v>
      </c>
      <c r="AI88" t="n">
        <v>1.297967474</v>
      </c>
      <c r="AJ88" t="n">
        <v>3.344473898</v>
      </c>
      <c r="AK88" t="n">
        <v>1.212763844</v>
      </c>
      <c r="AM88" t="n">
        <v>1.567181493</v>
      </c>
      <c r="AO88" t="n">
        <v>0.2519351</v>
      </c>
      <c r="AS88" t="n">
        <v>-0.542022594</v>
      </c>
      <c r="AU88" t="n">
        <v>0.393320041</v>
      </c>
      <c r="AV88" t="n">
        <v>1.890612969</v>
      </c>
    </row>
    <row r="89">
      <c r="A89" t="inlineStr">
        <is>
          <t>1969-Q1</t>
        </is>
      </c>
      <c r="B89" s="87" t="n">
        <v>25294</v>
      </c>
      <c r="D89" t="n">
        <v>-0.6915731899999999</v>
      </c>
      <c r="E89" t="n">
        <v>0.9736351130000001</v>
      </c>
      <c r="F89" t="n">
        <v>1.730253792</v>
      </c>
      <c r="H89" t="n">
        <v>1.308093201</v>
      </c>
      <c r="I89" t="n">
        <v>-2.393514965</v>
      </c>
      <c r="M89" t="n">
        <v>2.516442665</v>
      </c>
      <c r="N89" t="n">
        <v>2.052670203</v>
      </c>
      <c r="Q89" t="n">
        <v>3.548013804</v>
      </c>
      <c r="T89" t="n">
        <v>4.889795577</v>
      </c>
      <c r="U89" t="n">
        <v>0.183745183</v>
      </c>
      <c r="V89" t="n">
        <v>1.317577</v>
      </c>
      <c r="W89" t="n">
        <v>-0.270110917</v>
      </c>
      <c r="X89" t="n">
        <v>2.616588706</v>
      </c>
      <c r="AA89" t="n">
        <v>1.47588051</v>
      </c>
      <c r="AB89" t="n">
        <v>0.850857228</v>
      </c>
      <c r="AD89" t="n">
        <v>1.566157064</v>
      </c>
      <c r="AE89" t="n">
        <v>0.879461273</v>
      </c>
      <c r="AF89" t="n">
        <v>5.110987142</v>
      </c>
      <c r="AG89" t="n">
        <v>3.071908424</v>
      </c>
      <c r="AI89" t="n">
        <v>1.273835347</v>
      </c>
      <c r="AJ89" t="n">
        <v>0.365411807</v>
      </c>
      <c r="AK89" t="n">
        <v>1.603743763</v>
      </c>
      <c r="AM89" t="n">
        <v>1.307587232</v>
      </c>
      <c r="AO89" t="n">
        <v>-0.591962823</v>
      </c>
      <c r="AS89" t="n">
        <v>-0.43319199</v>
      </c>
      <c r="AU89" t="n">
        <v>1.565115509</v>
      </c>
      <c r="AV89" t="n">
        <v>0.718687689</v>
      </c>
    </row>
    <row r="90">
      <c r="A90" t="inlineStr">
        <is>
          <t>1969-Q2</t>
        </is>
      </c>
      <c r="B90" s="87" t="n">
        <v>25385</v>
      </c>
      <c r="D90" t="n">
        <v>1.981815466</v>
      </c>
      <c r="E90" t="n">
        <v>1.892345365</v>
      </c>
      <c r="F90" t="n">
        <v>1.682228847</v>
      </c>
      <c r="H90" t="n">
        <v>0.492845147</v>
      </c>
      <c r="I90" t="n">
        <v>3.518600422</v>
      </c>
      <c r="M90" t="n">
        <v>1.283087905</v>
      </c>
      <c r="N90" t="n">
        <v>1.547739496</v>
      </c>
      <c r="Q90" t="n">
        <v>-0.337860483</v>
      </c>
      <c r="T90" t="n">
        <v>0.942349385</v>
      </c>
      <c r="U90" t="n">
        <v>2.453037118</v>
      </c>
      <c r="V90" t="n">
        <v>1.09825</v>
      </c>
      <c r="W90" t="n">
        <v>0.793325956</v>
      </c>
      <c r="X90" t="n">
        <v>2.524346623</v>
      </c>
      <c r="AA90" t="n">
        <v>1.445659153</v>
      </c>
      <c r="AB90" t="n">
        <v>0.824550929</v>
      </c>
      <c r="AD90" t="n">
        <v>1.805751378</v>
      </c>
      <c r="AE90" t="n">
        <v>2.911657781</v>
      </c>
      <c r="AF90" t="n">
        <v>3.452410594</v>
      </c>
      <c r="AG90" t="n">
        <v>2.957898403</v>
      </c>
      <c r="AI90" t="n">
        <v>1.24456066</v>
      </c>
      <c r="AJ90" t="n">
        <v>1.565815092</v>
      </c>
      <c r="AK90" t="n">
        <v>1.200889303</v>
      </c>
      <c r="AM90" t="n">
        <v>1.177551464</v>
      </c>
      <c r="AO90" t="n">
        <v>-0.183559099</v>
      </c>
      <c r="AS90" t="n">
        <v>2.642603177</v>
      </c>
      <c r="AU90" t="n">
        <v>0.303995321</v>
      </c>
      <c r="AV90" t="n">
        <v>-0.08433149</v>
      </c>
    </row>
    <row r="91">
      <c r="A91" t="inlineStr">
        <is>
          <t>1969-Q3</t>
        </is>
      </c>
      <c r="B91" s="87" t="n">
        <v>25477</v>
      </c>
      <c r="D91" t="n">
        <v>1.657711425</v>
      </c>
      <c r="E91" t="n">
        <v>2.406025964</v>
      </c>
      <c r="F91" t="n">
        <v>1.672651599</v>
      </c>
      <c r="H91" t="n">
        <v>1.073698927</v>
      </c>
      <c r="I91" t="n">
        <v>4.158556848</v>
      </c>
      <c r="M91" t="n">
        <v>2.148261051</v>
      </c>
      <c r="N91" t="n">
        <v>1.067553796</v>
      </c>
      <c r="Q91" t="n">
        <v>1.86545295</v>
      </c>
      <c r="T91" t="n">
        <v>2.772064896</v>
      </c>
      <c r="U91" t="n">
        <v>0.94538382</v>
      </c>
      <c r="V91" t="n">
        <v>1.073307</v>
      </c>
      <c r="W91" t="n">
        <v>0.561986454</v>
      </c>
      <c r="X91" t="n">
        <v>2.234752685</v>
      </c>
      <c r="AA91" t="n">
        <v>0.993699739</v>
      </c>
      <c r="AB91" t="n">
        <v>1.239112657</v>
      </c>
      <c r="AD91" t="n">
        <v>0.239159209</v>
      </c>
      <c r="AE91" t="n">
        <v>2.395415623</v>
      </c>
      <c r="AF91" t="n">
        <v>8.061461678000001</v>
      </c>
      <c r="AG91" t="n">
        <v>1.483481111</v>
      </c>
      <c r="AI91" t="n">
        <v>1.554237647</v>
      </c>
      <c r="AJ91" t="n">
        <v>2.325832786</v>
      </c>
      <c r="AK91" t="n">
        <v>0.813607206</v>
      </c>
      <c r="AM91" t="n">
        <v>1.308140087</v>
      </c>
      <c r="AO91" t="n">
        <v>1.947746713</v>
      </c>
      <c r="AS91" t="n">
        <v>3.838758903</v>
      </c>
      <c r="AU91" t="n">
        <v>0.660514205</v>
      </c>
      <c r="AV91" t="n">
        <v>4.566766309</v>
      </c>
    </row>
    <row r="92">
      <c r="A92" t="inlineStr">
        <is>
          <t>1969-Q4</t>
        </is>
      </c>
      <c r="B92" s="87" t="n">
        <v>25569</v>
      </c>
      <c r="D92" t="n">
        <v>2.303300978</v>
      </c>
      <c r="E92" t="n">
        <v>1.01780905</v>
      </c>
      <c r="F92" t="n">
        <v>1.654095727</v>
      </c>
      <c r="H92" t="n">
        <v>1.431339988</v>
      </c>
      <c r="I92" t="n">
        <v>-0.223326193</v>
      </c>
      <c r="M92" t="n">
        <v>1.536742829</v>
      </c>
      <c r="N92" t="n">
        <v>0.60450455</v>
      </c>
      <c r="Q92" t="n">
        <v>1.119478214</v>
      </c>
      <c r="T92" t="n">
        <v>1.4877672</v>
      </c>
      <c r="U92" t="n">
        <v>0.790251715</v>
      </c>
      <c r="V92" t="n">
        <v>0.487782</v>
      </c>
      <c r="W92" t="n">
        <v>0.418261945</v>
      </c>
      <c r="X92" t="n">
        <v>1.93354717</v>
      </c>
      <c r="AA92" t="n">
        <v>0.51954077</v>
      </c>
      <c r="AB92" t="n">
        <v>1.662742073</v>
      </c>
      <c r="AD92" t="n">
        <v>-2.021337956</v>
      </c>
      <c r="AE92" t="n">
        <v>3.90301332</v>
      </c>
      <c r="AF92" t="n">
        <v>2.010960349</v>
      </c>
      <c r="AG92" t="n">
        <v>-0.01620282</v>
      </c>
      <c r="AI92" t="n">
        <v>1.864178652</v>
      </c>
      <c r="AJ92" t="n">
        <v>3.002685485</v>
      </c>
      <c r="AK92" t="n">
        <v>0.436963025</v>
      </c>
      <c r="AM92" t="n">
        <v>0.694349536</v>
      </c>
      <c r="AO92" t="n">
        <v>2.637683227</v>
      </c>
      <c r="AS92" t="n">
        <v>0.718573728</v>
      </c>
      <c r="AU92" t="n">
        <v>-0.487694588</v>
      </c>
      <c r="AV92" t="n">
        <v>-1.349816884</v>
      </c>
    </row>
    <row r="93">
      <c r="A93" t="inlineStr">
        <is>
          <t>1970-Q1</t>
        </is>
      </c>
      <c r="B93" s="87" t="n">
        <v>25659</v>
      </c>
      <c r="D93" t="n">
        <v>2.08069286</v>
      </c>
      <c r="E93" t="n">
        <v>1.887640264</v>
      </c>
      <c r="F93" t="n">
        <v>1.606117273</v>
      </c>
      <c r="H93" t="n">
        <v>0.6461740070000001</v>
      </c>
      <c r="I93" t="n">
        <v>1.996142378</v>
      </c>
      <c r="M93" t="n">
        <v>-1.595662151</v>
      </c>
      <c r="N93" t="n">
        <v>0.151850918</v>
      </c>
      <c r="Q93" t="n">
        <v>1.869665315</v>
      </c>
      <c r="T93" t="n">
        <v>0.868338751</v>
      </c>
      <c r="U93" t="n">
        <v>1.911374445</v>
      </c>
      <c r="V93" t="n">
        <v>0.734109</v>
      </c>
      <c r="W93" t="n">
        <v>-0.666233102</v>
      </c>
      <c r="X93" t="n">
        <v>0.989272916</v>
      </c>
      <c r="AA93" t="n">
        <v>1.70089772</v>
      </c>
      <c r="AB93" t="n">
        <v>-2.71169364</v>
      </c>
      <c r="AD93" t="n">
        <v>5.99645822</v>
      </c>
      <c r="AE93" t="n">
        <v>3.064074178</v>
      </c>
      <c r="AF93" t="n">
        <v>-1.694379647</v>
      </c>
      <c r="AG93" t="n">
        <v>0.570228979</v>
      </c>
      <c r="AI93" t="n">
        <v>1.809210142</v>
      </c>
      <c r="AJ93" t="n">
        <v>-1.492127041</v>
      </c>
      <c r="AK93" t="n">
        <v>0.066650432</v>
      </c>
      <c r="AM93" t="n">
        <v>0.834281492</v>
      </c>
      <c r="AO93" t="n">
        <v>2.917470963</v>
      </c>
      <c r="AS93" t="n">
        <v>1.335154332</v>
      </c>
      <c r="AU93" t="n">
        <v>-0.148470701</v>
      </c>
      <c r="AV93" t="n">
        <v>2.15249064</v>
      </c>
    </row>
    <row r="94">
      <c r="A94" t="inlineStr">
        <is>
          <t>1970-Q2</t>
        </is>
      </c>
      <c r="B94" s="87" t="n">
        <v>25750</v>
      </c>
      <c r="D94" t="n">
        <v>2.011553716</v>
      </c>
      <c r="E94" t="n">
        <v>2.591039183</v>
      </c>
      <c r="F94" t="n">
        <v>1.575348532</v>
      </c>
      <c r="H94" t="n">
        <v>-0.004057869</v>
      </c>
      <c r="I94" t="n">
        <v>1.186440678</v>
      </c>
      <c r="M94" t="n">
        <v>3.975817699</v>
      </c>
      <c r="N94" t="n">
        <v>0.258883952</v>
      </c>
      <c r="Q94" t="n">
        <v>0.158864024</v>
      </c>
      <c r="T94" t="n">
        <v>3.461852771</v>
      </c>
      <c r="U94" t="n">
        <v>1.262038455</v>
      </c>
      <c r="V94" t="n">
        <v>1.10025</v>
      </c>
      <c r="W94" t="n">
        <v>2.454907566</v>
      </c>
      <c r="X94" t="n">
        <v>3.689916583</v>
      </c>
      <c r="AA94" t="n">
        <v>-0.590195222</v>
      </c>
      <c r="AB94" t="n">
        <v>6.150968655</v>
      </c>
      <c r="AD94" t="n">
        <v>0.729986912</v>
      </c>
      <c r="AE94" t="n">
        <v>1.212645697</v>
      </c>
      <c r="AF94" t="n">
        <v>4.021110832</v>
      </c>
      <c r="AG94" t="n">
        <v>-0.5022631279999999</v>
      </c>
      <c r="AI94" t="n">
        <v>1.768313857</v>
      </c>
      <c r="AJ94" t="n">
        <v>2.729327461</v>
      </c>
      <c r="AK94" t="n">
        <v>0.382575838</v>
      </c>
      <c r="AM94" t="n">
        <v>1.204665639</v>
      </c>
      <c r="AO94" t="n">
        <v>2.993325677</v>
      </c>
      <c r="AS94" t="n">
        <v>0.769958413</v>
      </c>
      <c r="AU94" t="n">
        <v>0.141930001</v>
      </c>
      <c r="AV94" t="n">
        <v>2.040587606</v>
      </c>
    </row>
    <row r="95">
      <c r="A95" t="inlineStr">
        <is>
          <t>1970-Q3</t>
        </is>
      </c>
      <c r="B95" s="87" t="n">
        <v>25842</v>
      </c>
      <c r="D95" t="n">
        <v>-0.211303914</v>
      </c>
      <c r="E95" t="n">
        <v>1.93572997</v>
      </c>
      <c r="F95" t="n">
        <v>1.176552013</v>
      </c>
      <c r="H95" t="n">
        <v>1.032504848</v>
      </c>
      <c r="I95" t="n">
        <v>1.39676879</v>
      </c>
      <c r="M95" t="n">
        <v>1.867836292</v>
      </c>
      <c r="N95" t="n">
        <v>0.365220202</v>
      </c>
      <c r="Q95" t="n">
        <v>0.511083262</v>
      </c>
      <c r="T95" t="n">
        <v>1.867733054</v>
      </c>
      <c r="U95" t="n">
        <v>1.377238609</v>
      </c>
      <c r="V95" t="n">
        <v>1.425214</v>
      </c>
      <c r="W95" t="n">
        <v>0.969263565</v>
      </c>
      <c r="X95" t="n">
        <v>1.891983963</v>
      </c>
      <c r="AA95" t="n">
        <v>0.019110094</v>
      </c>
      <c r="AB95" t="n">
        <v>4.817922748</v>
      </c>
      <c r="AD95" t="n">
        <v>2.006337881</v>
      </c>
      <c r="AE95" t="n">
        <v>2.680797035</v>
      </c>
      <c r="AF95" t="n">
        <v>0.61861926</v>
      </c>
      <c r="AG95" t="n">
        <v>-0.057051895</v>
      </c>
      <c r="AI95" t="n">
        <v>1.243409286</v>
      </c>
      <c r="AJ95" t="n">
        <v>1.530088662</v>
      </c>
      <c r="AK95" t="n">
        <v>0.695855263</v>
      </c>
      <c r="AM95" t="n">
        <v>1.357320874</v>
      </c>
      <c r="AO95" t="n">
        <v>0.646107063</v>
      </c>
      <c r="AS95" t="n">
        <v>2.920683149</v>
      </c>
      <c r="AU95" t="n">
        <v>0.92155083</v>
      </c>
      <c r="AV95" t="n">
        <v>-1.154461151</v>
      </c>
    </row>
    <row r="96">
      <c r="A96" t="inlineStr">
        <is>
          <t>1970-Q4</t>
        </is>
      </c>
      <c r="B96" s="87" t="n">
        <v>25934</v>
      </c>
      <c r="D96" t="n">
        <v>0.475170036</v>
      </c>
      <c r="E96" t="n">
        <v>1.242164369</v>
      </c>
      <c r="F96" t="n">
        <v>0.75863011</v>
      </c>
      <c r="H96" t="n">
        <v>0.178300435</v>
      </c>
      <c r="I96" t="n">
        <v>0.404998535</v>
      </c>
      <c r="M96" t="n">
        <v>0.847606644</v>
      </c>
      <c r="N96" t="n">
        <v>0.470506545</v>
      </c>
      <c r="Q96" t="n">
        <v>0.789027645</v>
      </c>
      <c r="T96" t="n">
        <v>1.012939233</v>
      </c>
      <c r="U96" t="n">
        <v>1.570186063</v>
      </c>
      <c r="V96" t="n">
        <v>-0.191125</v>
      </c>
      <c r="W96" t="n">
        <v>0.908748333</v>
      </c>
      <c r="X96" t="n">
        <v>-0.565799964</v>
      </c>
      <c r="AA96" t="n">
        <v>0.552682428</v>
      </c>
      <c r="AB96" t="n">
        <v>3.756189481</v>
      </c>
      <c r="AD96" t="n">
        <v>0.11182118</v>
      </c>
      <c r="AE96" t="n">
        <v>-0.322008363</v>
      </c>
      <c r="AF96" t="n">
        <v>7.704463977</v>
      </c>
      <c r="AG96" t="n">
        <v>0.357558921</v>
      </c>
      <c r="AI96" t="n">
        <v>0.696789668</v>
      </c>
      <c r="AJ96" t="n">
        <v>2.075317548</v>
      </c>
      <c r="AK96" t="n">
        <v>1.003664882</v>
      </c>
      <c r="AM96" t="n">
        <v>0.07220720899999999</v>
      </c>
      <c r="AO96" t="n">
        <v>1.772498017</v>
      </c>
      <c r="AS96" t="n">
        <v>0.462520988</v>
      </c>
      <c r="AU96" t="n">
        <v>-1.071638106</v>
      </c>
      <c r="AV96" t="n">
        <v>3.51849898</v>
      </c>
    </row>
    <row r="97">
      <c r="A97" t="inlineStr">
        <is>
          <t>1971-Q1</t>
        </is>
      </c>
      <c r="B97" s="87" t="n">
        <v>26024</v>
      </c>
      <c r="D97" t="n">
        <v>1.211390612</v>
      </c>
      <c r="E97" t="n">
        <v>0.171116297</v>
      </c>
      <c r="F97" t="n">
        <v>0.742862293</v>
      </c>
      <c r="H97" t="n">
        <v>-0.573694762</v>
      </c>
      <c r="I97" t="n">
        <v>1.114560943</v>
      </c>
      <c r="M97" t="n">
        <v>-1.921102523</v>
      </c>
      <c r="N97" t="n">
        <v>0.574419212</v>
      </c>
      <c r="Q97" t="n">
        <v>0.780917772</v>
      </c>
      <c r="T97" t="n">
        <v>-4.650448573</v>
      </c>
      <c r="U97" t="n">
        <v>0.129083296</v>
      </c>
      <c r="V97" t="n">
        <v>0.958681</v>
      </c>
      <c r="W97" t="n">
        <v>-0.569256328</v>
      </c>
      <c r="X97" t="n">
        <v>2.61748959</v>
      </c>
      <c r="AA97" t="n">
        <v>0.989664495</v>
      </c>
      <c r="AB97" t="n">
        <v>2.862524703</v>
      </c>
      <c r="AD97" t="n">
        <v>-0.523040927</v>
      </c>
      <c r="AE97" t="n">
        <v>0.910971913</v>
      </c>
      <c r="AF97" t="n">
        <v>0.560985094</v>
      </c>
      <c r="AG97" t="n">
        <v>0.729430049</v>
      </c>
      <c r="AI97" t="n">
        <v>0.685514904</v>
      </c>
      <c r="AJ97" t="n">
        <v>0.488355633</v>
      </c>
      <c r="AK97" t="n">
        <v>1.30320339</v>
      </c>
      <c r="AM97" t="n">
        <v>0.891872543</v>
      </c>
      <c r="AO97" t="n">
        <v>-0.022926399</v>
      </c>
      <c r="AS97" t="n">
        <v>-1.089008897</v>
      </c>
      <c r="AU97" t="n">
        <v>2.715992789</v>
      </c>
      <c r="AV97" t="n">
        <v>1.481127915</v>
      </c>
    </row>
    <row r="98">
      <c r="A98" t="inlineStr">
        <is>
          <t>1971-Q2</t>
        </is>
      </c>
      <c r="B98" s="87" t="n">
        <v>26115</v>
      </c>
      <c r="D98" t="n">
        <v>0.433113167</v>
      </c>
      <c r="E98" t="n">
        <v>2.154848553</v>
      </c>
      <c r="F98" t="n">
        <v>0.735078006</v>
      </c>
      <c r="H98" t="n">
        <v>2.900629253</v>
      </c>
      <c r="I98" t="n">
        <v>1.590425951</v>
      </c>
      <c r="M98" t="n">
        <v>2.098640828</v>
      </c>
      <c r="N98" t="n">
        <v>0.816535071</v>
      </c>
      <c r="Q98" t="n">
        <v>1.950592658</v>
      </c>
      <c r="T98" t="n">
        <v>6.09449275</v>
      </c>
      <c r="U98" t="n">
        <v>1.821986785</v>
      </c>
      <c r="V98" t="n">
        <v>1.189092</v>
      </c>
      <c r="W98" t="n">
        <v>1.822515408</v>
      </c>
      <c r="X98" t="n">
        <v>2.316320101</v>
      </c>
      <c r="AA98" t="n">
        <v>1.292765027</v>
      </c>
      <c r="AB98" t="n">
        <v>2.260075501</v>
      </c>
      <c r="AD98" t="n">
        <v>0.421992045</v>
      </c>
      <c r="AE98" t="n">
        <v>1.613126047</v>
      </c>
      <c r="AF98" t="n">
        <v>3.257423037</v>
      </c>
      <c r="AG98" t="n">
        <v>1.022278013</v>
      </c>
      <c r="AI98" t="n">
        <v>0.675916427</v>
      </c>
      <c r="AJ98" t="n">
        <v>0.85825148</v>
      </c>
      <c r="AK98" t="n">
        <v>1.320492305</v>
      </c>
      <c r="AM98" t="n">
        <v>1.220853822</v>
      </c>
      <c r="AO98" t="n">
        <v>3.964731978</v>
      </c>
      <c r="AS98" t="n">
        <v>-1.175994276</v>
      </c>
      <c r="AU98" t="n">
        <v>0.54112008</v>
      </c>
      <c r="AV98" t="n">
        <v>-0.815230002</v>
      </c>
    </row>
    <row r="99">
      <c r="A99" t="inlineStr">
        <is>
          <t>1971-Q3</t>
        </is>
      </c>
      <c r="B99" s="87" t="n">
        <v>26207</v>
      </c>
      <c r="D99" t="n">
        <v>3.138968826</v>
      </c>
      <c r="E99" t="n">
        <v>1.60398934</v>
      </c>
      <c r="F99" t="n">
        <v>1.041139476</v>
      </c>
      <c r="H99" t="n">
        <v>2.780357231</v>
      </c>
      <c r="I99" t="n">
        <v>0.6174274709999999</v>
      </c>
      <c r="M99" t="n">
        <v>1.730037193</v>
      </c>
      <c r="N99" t="n">
        <v>1.053312822</v>
      </c>
      <c r="Q99" t="n">
        <v>1.839902173</v>
      </c>
      <c r="T99" t="n">
        <v>-0.025945738</v>
      </c>
      <c r="U99" t="n">
        <v>1.630601407</v>
      </c>
      <c r="V99" t="n">
        <v>1.275053</v>
      </c>
      <c r="W99" t="n">
        <v>1.785165394</v>
      </c>
      <c r="X99" t="n">
        <v>4.660787308</v>
      </c>
      <c r="AA99" t="n">
        <v>1.532577418</v>
      </c>
      <c r="AB99" t="n">
        <v>1.832168664</v>
      </c>
      <c r="AD99" t="n">
        <v>1.464775733</v>
      </c>
      <c r="AE99" t="n">
        <v>1.218442597</v>
      </c>
      <c r="AF99" t="n">
        <v>0.193234303</v>
      </c>
      <c r="AG99" t="n">
        <v>1.295414973</v>
      </c>
      <c r="AI99" t="n">
        <v>1.492963048</v>
      </c>
      <c r="AJ99" t="n">
        <v>0.674313443</v>
      </c>
      <c r="AK99" t="n">
        <v>1.336919477</v>
      </c>
      <c r="AM99" t="n">
        <v>1.341826475</v>
      </c>
      <c r="AO99" t="n">
        <v>0.580976999</v>
      </c>
      <c r="AS99" t="n">
        <v>1.82754224</v>
      </c>
      <c r="AU99" t="n">
        <v>0.822967085</v>
      </c>
      <c r="AV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Q100" t="n">
        <v>2.013559197</v>
      </c>
      <c r="T100" t="n">
        <v>-0.611894491</v>
      </c>
      <c r="U100" t="n">
        <v>0.856781066</v>
      </c>
      <c r="V100" t="n">
        <v>0.413559</v>
      </c>
      <c r="W100" t="n">
        <v>0.355881806</v>
      </c>
      <c r="X100" t="n">
        <v>-1.812361719</v>
      </c>
      <c r="AA100" t="n">
        <v>1.669549894</v>
      </c>
      <c r="AB100" t="n">
        <v>1.534907377</v>
      </c>
      <c r="AD100" t="n">
        <v>0.56453477</v>
      </c>
      <c r="AE100" t="n">
        <v>0.911049697</v>
      </c>
      <c r="AF100" t="n">
        <v>0.751014143</v>
      </c>
      <c r="AG100" t="n">
        <v>1.515131032</v>
      </c>
      <c r="AI100" t="n">
        <v>2.330250104</v>
      </c>
      <c r="AJ100" t="n">
        <v>-1.106227566</v>
      </c>
      <c r="AK100" t="n">
        <v>1.352474895</v>
      </c>
      <c r="AM100" t="n">
        <v>0.525748777</v>
      </c>
      <c r="AO100" t="n">
        <v>3.421453661</v>
      </c>
      <c r="AS100" t="n">
        <v>-0.9805238469999999</v>
      </c>
      <c r="AU100" t="n">
        <v>0.235783839</v>
      </c>
      <c r="AV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Q101" t="n">
        <v>1.622512359</v>
      </c>
      <c r="T101" t="n">
        <v>4.909210676</v>
      </c>
      <c r="U101" t="n">
        <v>1.309796145</v>
      </c>
      <c r="V101" t="n">
        <v>1.480771</v>
      </c>
      <c r="W101" t="n">
        <v>0.143977482</v>
      </c>
      <c r="X101" t="n">
        <v>5.062805638</v>
      </c>
      <c r="AA101" t="n">
        <v>1.687688006</v>
      </c>
      <c r="AB101" t="n">
        <v>1.348162449</v>
      </c>
      <c r="AD101" t="n">
        <v>1.104811466</v>
      </c>
      <c r="AE101" t="n">
        <v>3.258014557</v>
      </c>
      <c r="AF101" t="n">
        <v>1.437411275</v>
      </c>
      <c r="AG101" t="n">
        <v>1.664932254</v>
      </c>
      <c r="AI101" t="n">
        <v>2.264728797</v>
      </c>
      <c r="AJ101" t="n">
        <v>2.850949081</v>
      </c>
      <c r="AK101" t="n">
        <v>1.367177317</v>
      </c>
      <c r="AM101" t="n">
        <v>1.536352863</v>
      </c>
      <c r="AO101" t="n">
        <v>-0.052890599</v>
      </c>
      <c r="AS101" t="n">
        <v>0.473547083</v>
      </c>
      <c r="AU101" t="n">
        <v>1.838958884</v>
      </c>
      <c r="AV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Q102" t="n">
        <v>2.362836116</v>
      </c>
      <c r="T102" t="n">
        <v>-0.039025583</v>
      </c>
      <c r="U102" t="n">
        <v>0.38417729</v>
      </c>
      <c r="V102" t="n">
        <v>1.851394</v>
      </c>
      <c r="W102" t="n">
        <v>2.666919382</v>
      </c>
      <c r="X102" t="n">
        <v>2.984393538</v>
      </c>
      <c r="AA102" t="n">
        <v>1.629577966</v>
      </c>
      <c r="AB102" t="n">
        <v>1.31288888</v>
      </c>
      <c r="AD102" t="n">
        <v>-0.045308383</v>
      </c>
      <c r="AE102" t="n">
        <v>1.881993872</v>
      </c>
      <c r="AF102" t="n">
        <v>2.955504084</v>
      </c>
      <c r="AG102" t="n">
        <v>1.767206835</v>
      </c>
      <c r="AI102" t="n">
        <v>2.20276042</v>
      </c>
      <c r="AJ102" t="n">
        <v>0.460245494</v>
      </c>
      <c r="AK102" t="n">
        <v>1.221700663</v>
      </c>
      <c r="AM102" t="n">
        <v>1.80028446</v>
      </c>
      <c r="AO102" t="n">
        <v>1.942276308</v>
      </c>
      <c r="AS102" t="n">
        <v>0.189989184</v>
      </c>
      <c r="AU102" t="n">
        <v>2.269772354</v>
      </c>
      <c r="AV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Q103" t="n">
        <v>2.196883976</v>
      </c>
      <c r="T103" t="n">
        <v>2.143043783</v>
      </c>
      <c r="U103" t="n">
        <v>0.887960161</v>
      </c>
      <c r="V103" t="n">
        <v>1.237418</v>
      </c>
      <c r="W103" t="n">
        <v>0.27376782</v>
      </c>
      <c r="X103" t="n">
        <v>-0.622562921</v>
      </c>
      <c r="AA103" t="n">
        <v>1.504128019</v>
      </c>
      <c r="AB103" t="n">
        <v>1.398144255</v>
      </c>
      <c r="AD103" t="n">
        <v>1.348168499</v>
      </c>
      <c r="AE103" t="n">
        <v>2.13452832</v>
      </c>
      <c r="AF103" t="n">
        <v>1.648226735</v>
      </c>
      <c r="AG103" t="n">
        <v>1.843768121</v>
      </c>
      <c r="AI103" t="n">
        <v>2.189293583</v>
      </c>
      <c r="AJ103" t="n">
        <v>0.151999372</v>
      </c>
      <c r="AK103" t="n">
        <v>1.081400474</v>
      </c>
      <c r="AM103" t="n">
        <v>1.280724401</v>
      </c>
      <c r="AO103" t="n">
        <v>4.900383771</v>
      </c>
      <c r="AS103" t="n">
        <v>2.848964976</v>
      </c>
      <c r="AU103" t="n">
        <v>0.944381888</v>
      </c>
      <c r="AV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Q104" t="n">
        <v>1.981024409</v>
      </c>
      <c r="T104" t="n">
        <v>2.066012205</v>
      </c>
      <c r="U104" t="n">
        <v>1.660236385</v>
      </c>
      <c r="V104" t="n">
        <v>1.708287</v>
      </c>
      <c r="W104" t="n">
        <v>1.576602872</v>
      </c>
      <c r="X104" t="n">
        <v>5.586891094</v>
      </c>
      <c r="AA104" t="n">
        <v>1.338081409</v>
      </c>
      <c r="AB104" t="n">
        <v>1.542472372</v>
      </c>
      <c r="AD104" t="n">
        <v>0.475253324</v>
      </c>
      <c r="AE104" t="n">
        <v>2.515679627</v>
      </c>
      <c r="AF104" t="n">
        <v>4.251313975</v>
      </c>
      <c r="AG104" t="n">
        <v>1.917260019</v>
      </c>
      <c r="AI104" t="n">
        <v>2.17662679</v>
      </c>
      <c r="AJ104" t="n">
        <v>1.243391832</v>
      </c>
      <c r="AK104" t="n">
        <v>0.945670252</v>
      </c>
      <c r="AM104" t="n">
        <v>1.756883123</v>
      </c>
      <c r="AO104" t="n">
        <v>0.540745608</v>
      </c>
      <c r="AS104" t="n">
        <v>1.704581047</v>
      </c>
      <c r="AU104" t="n">
        <v>1.674458738</v>
      </c>
      <c r="AV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Q105" t="n">
        <v>1.840654752</v>
      </c>
      <c r="T105" t="n">
        <v>3.574796133</v>
      </c>
      <c r="U105" t="n">
        <v>1.99228223</v>
      </c>
      <c r="V105" t="n">
        <v>2.51676</v>
      </c>
      <c r="W105" t="n">
        <v>4.914568643</v>
      </c>
      <c r="X105" t="n">
        <v>0.356833682</v>
      </c>
      <c r="AA105" t="n">
        <v>1.151515719</v>
      </c>
      <c r="AB105" t="n">
        <v>1.671396055</v>
      </c>
      <c r="AD105" t="n">
        <v>0.901496317</v>
      </c>
      <c r="AE105" t="n">
        <v>3.344675477</v>
      </c>
      <c r="AF105" t="n">
        <v>3.307410387</v>
      </c>
      <c r="AG105" t="n">
        <v>2.00175876</v>
      </c>
      <c r="AI105" t="n">
        <v>2.113477478</v>
      </c>
      <c r="AJ105" t="n">
        <v>3.158903435</v>
      </c>
      <c r="AK105" t="n">
        <v>0.813763153</v>
      </c>
      <c r="AM105" t="n">
        <v>2.32642462</v>
      </c>
      <c r="AO105" t="n">
        <v>3.996567313</v>
      </c>
      <c r="AS105" t="n">
        <v>0.664999096</v>
      </c>
      <c r="AU105" t="n">
        <v>2.474806377</v>
      </c>
      <c r="AV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Q106" t="n">
        <v>1.782785541</v>
      </c>
      <c r="T106" t="n">
        <v>-3.086633172</v>
      </c>
      <c r="U106" t="n">
        <v>1.080382169</v>
      </c>
      <c r="V106" t="n">
        <v>1.083624</v>
      </c>
      <c r="W106" t="n">
        <v>0.171075585</v>
      </c>
      <c r="X106" t="n">
        <v>3.463075952</v>
      </c>
      <c r="AA106" t="n">
        <v>0.976855111</v>
      </c>
      <c r="AB106" t="n">
        <v>1.781959172</v>
      </c>
      <c r="AD106" t="n">
        <v>2.996680537</v>
      </c>
      <c r="AE106" t="n">
        <v>0.91447627</v>
      </c>
      <c r="AF106" t="n">
        <v>4.202215108</v>
      </c>
      <c r="AG106" t="n">
        <v>2.106209441</v>
      </c>
      <c r="AI106" t="n">
        <v>2.05215716</v>
      </c>
      <c r="AJ106" t="n">
        <v>-0.328806944</v>
      </c>
      <c r="AK106" t="n">
        <v>0.999672088</v>
      </c>
      <c r="AM106" t="n">
        <v>1.104485313</v>
      </c>
      <c r="AO106" t="n">
        <v>2.114461523</v>
      </c>
      <c r="AS106" t="n">
        <v>0.036354188</v>
      </c>
      <c r="AU106" t="n">
        <v>1.08866253</v>
      </c>
      <c r="AV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Q107" t="n">
        <v>1.651654071</v>
      </c>
      <c r="T107" t="n">
        <v>4.437518319</v>
      </c>
      <c r="U107" t="n">
        <v>0.858845143</v>
      </c>
      <c r="V107" t="n">
        <v>0.101478</v>
      </c>
      <c r="W107" t="n">
        <v>-0.9670716110000001</v>
      </c>
      <c r="X107" t="n">
        <v>0.593785586</v>
      </c>
      <c r="AA107" t="n">
        <v>0.826587472</v>
      </c>
      <c r="AB107" t="n">
        <v>1.918032306</v>
      </c>
      <c r="AD107" t="n">
        <v>3.18178299</v>
      </c>
      <c r="AE107" t="n">
        <v>0.291681205</v>
      </c>
      <c r="AF107" t="n">
        <v>5.090241766</v>
      </c>
      <c r="AG107" t="n">
        <v>2.264656679</v>
      </c>
      <c r="AI107" t="n">
        <v>1.753957612</v>
      </c>
      <c r="AJ107" t="n">
        <v>-0.72573153</v>
      </c>
      <c r="AK107" t="n">
        <v>1.18030089</v>
      </c>
      <c r="AM107" t="n">
        <v>0.364710474</v>
      </c>
      <c r="AO107" t="n">
        <v>2.984993782</v>
      </c>
      <c r="AS107" t="n">
        <v>0.781539966</v>
      </c>
      <c r="AU107" t="n">
        <v>-0.525898536</v>
      </c>
      <c r="AV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Q108" t="n">
        <v>1.645425147</v>
      </c>
      <c r="T108" t="n">
        <v>1.879384958</v>
      </c>
      <c r="U108" t="n">
        <v>1.278319135</v>
      </c>
      <c r="V108" t="n">
        <v>0.973872</v>
      </c>
      <c r="W108" t="n">
        <v>-0.388652205</v>
      </c>
      <c r="X108" t="n">
        <v>0.400258753</v>
      </c>
      <c r="AA108" t="n">
        <v>0.760770828</v>
      </c>
      <c r="AB108" t="n">
        <v>1.916533234</v>
      </c>
      <c r="AD108" t="n">
        <v>2.442616376</v>
      </c>
      <c r="AE108" t="n">
        <v>1.235735789</v>
      </c>
      <c r="AF108" t="n">
        <v>1.447179718</v>
      </c>
      <c r="AG108" t="n">
        <v>2.167429275</v>
      </c>
      <c r="AI108" t="n">
        <v>1.442038019</v>
      </c>
      <c r="AJ108" t="n">
        <v>3.903124023</v>
      </c>
      <c r="AK108" t="n">
        <v>1.354833115</v>
      </c>
      <c r="AM108" t="n">
        <v>1.137408982</v>
      </c>
      <c r="AO108" t="n">
        <v>1.593790761</v>
      </c>
      <c r="AS108" t="n">
        <v>1.365484011</v>
      </c>
      <c r="AU108" t="n">
        <v>0.949216043</v>
      </c>
      <c r="AV108" t="n">
        <v>1.92621499</v>
      </c>
    </row>
    <row r="109">
      <c r="A109" t="inlineStr">
        <is>
          <t>1974-Q1</t>
        </is>
      </c>
      <c r="B109" s="87" t="n">
        <v>27120</v>
      </c>
      <c r="D109" t="n">
        <v>0.017170073</v>
      </c>
      <c r="E109" t="n">
        <v>2.01668466</v>
      </c>
      <c r="F109" t="n">
        <v>1.282729029</v>
      </c>
      <c r="H109" t="n">
        <v>0.741400547</v>
      </c>
      <c r="I109" t="n">
        <v>1.46096557</v>
      </c>
      <c r="M109" t="n">
        <v>0.845690319</v>
      </c>
      <c r="N109" t="n">
        <v>-0.416193242</v>
      </c>
      <c r="Q109" t="n">
        <v>1.698325068</v>
      </c>
      <c r="T109" t="n">
        <v>-0.5818975830000001</v>
      </c>
      <c r="U109" t="n">
        <v>0.959287031</v>
      </c>
      <c r="V109" t="n">
        <v>-0.845038</v>
      </c>
      <c r="W109" t="n">
        <v>-2.77211595</v>
      </c>
      <c r="X109" t="n">
        <v>-2.013449845</v>
      </c>
      <c r="AA109" t="n">
        <v>0.861614055</v>
      </c>
      <c r="AB109" t="n">
        <v>1.640139287</v>
      </c>
      <c r="AD109" t="n">
        <v>0.8109958739999999</v>
      </c>
      <c r="AE109" t="n">
        <v>-3.435981747</v>
      </c>
      <c r="AF109" t="n">
        <v>4.175234446</v>
      </c>
      <c r="AG109" t="n">
        <v>1.538048882</v>
      </c>
      <c r="AI109" t="n">
        <v>1.403345049</v>
      </c>
      <c r="AJ109" t="n">
        <v>0.575004502</v>
      </c>
      <c r="AK109" t="n">
        <v>1.522530474</v>
      </c>
      <c r="AM109" t="n">
        <v>-0.437098346</v>
      </c>
      <c r="AO109" t="n">
        <v>0.547245244</v>
      </c>
      <c r="AS109" t="n">
        <v>-0.532074444</v>
      </c>
      <c r="AU109" t="n">
        <v>-0.859772574</v>
      </c>
      <c r="AV109" t="n">
        <v>1.868574967</v>
      </c>
    </row>
    <row r="110">
      <c r="A110" t="inlineStr">
        <is>
          <t>1974-Q2</t>
        </is>
      </c>
      <c r="B110" s="87" t="n">
        <v>27211</v>
      </c>
      <c r="D110" t="n">
        <v>-2.024228039</v>
      </c>
      <c r="E110" t="n">
        <v>-0.421365581</v>
      </c>
      <c r="F110" t="n">
        <v>1.269724956</v>
      </c>
      <c r="H110" t="n">
        <v>1.094286656</v>
      </c>
      <c r="I110" t="n">
        <v>0.302525739</v>
      </c>
      <c r="M110" t="n">
        <v>-0.076938462</v>
      </c>
      <c r="N110" t="n">
        <v>-0.490190037</v>
      </c>
      <c r="Q110" t="n">
        <v>1.263590499</v>
      </c>
      <c r="T110" t="n">
        <v>0.308619595</v>
      </c>
      <c r="U110" t="n">
        <v>0.500642661</v>
      </c>
      <c r="V110" t="n">
        <v>0.486885</v>
      </c>
      <c r="W110" t="n">
        <v>1.460443045</v>
      </c>
      <c r="X110" t="n">
        <v>-5.264455677</v>
      </c>
      <c r="AA110" t="n">
        <v>1.126914412</v>
      </c>
      <c r="AB110" t="n">
        <v>1.177278438</v>
      </c>
      <c r="AD110" t="n">
        <v>0.955063814</v>
      </c>
      <c r="AE110" t="n">
        <v>0.720303476</v>
      </c>
      <c r="AF110" t="n">
        <v>-0.263554358</v>
      </c>
      <c r="AG110" t="n">
        <v>0.526564292</v>
      </c>
      <c r="AI110" t="n">
        <v>1.378937292</v>
      </c>
      <c r="AJ110" t="n">
        <v>1.146852459</v>
      </c>
      <c r="AK110" t="n">
        <v>1.292526514</v>
      </c>
      <c r="AM110" t="n">
        <v>0.465021841</v>
      </c>
      <c r="AO110" t="n">
        <v>-2.033564478</v>
      </c>
      <c r="AS110" t="n">
        <v>1.702633011</v>
      </c>
      <c r="AU110" t="n">
        <v>0.237683227</v>
      </c>
      <c r="AV110" t="n">
        <v>1.374417468</v>
      </c>
    </row>
    <row r="111">
      <c r="A111" t="inlineStr">
        <is>
          <t>1974-Q3</t>
        </is>
      </c>
      <c r="B111" s="87" t="n">
        <v>27303</v>
      </c>
      <c r="D111" t="n">
        <v>1.192244696</v>
      </c>
      <c r="E111" t="n">
        <v>0.466238085</v>
      </c>
      <c r="F111" t="n">
        <v>0.165849972</v>
      </c>
      <c r="H111" t="n">
        <v>-0.087894261</v>
      </c>
      <c r="I111" t="n">
        <v>-2.42459668</v>
      </c>
      <c r="M111" t="n">
        <v>4.35e-06</v>
      </c>
      <c r="N111" t="n">
        <v>-0.565185038</v>
      </c>
      <c r="Q111" t="n">
        <v>0.705686378</v>
      </c>
      <c r="T111" t="n">
        <v>1.235448193</v>
      </c>
      <c r="U111" t="n">
        <v>0.943450926</v>
      </c>
      <c r="V111" t="n">
        <v>-0.083818</v>
      </c>
      <c r="W111" t="n">
        <v>0.619858824</v>
      </c>
      <c r="X111" t="n">
        <v>-6.511365608</v>
      </c>
      <c r="AA111" t="n">
        <v>1.562881945</v>
      </c>
      <c r="AB111" t="n">
        <v>0.526714883</v>
      </c>
      <c r="AD111" t="n">
        <v>0.16671244</v>
      </c>
      <c r="AE111" t="n">
        <v>1.279660157</v>
      </c>
      <c r="AF111" t="n">
        <v>1.56076644</v>
      </c>
      <c r="AG111" t="n">
        <v>-0.9174168660000001</v>
      </c>
      <c r="AI111" t="n">
        <v>1.420328024</v>
      </c>
      <c r="AJ111" t="n">
        <v>0.7879786</v>
      </c>
      <c r="AK111" t="n">
        <v>1.071506394</v>
      </c>
      <c r="AM111" t="n">
        <v>0.017662186</v>
      </c>
      <c r="AO111" t="n">
        <v>-1.658835446</v>
      </c>
      <c r="AS111" t="n">
        <v>1.408670212</v>
      </c>
      <c r="AU111" t="n">
        <v>-0.945142778</v>
      </c>
      <c r="AV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Q112" t="n">
        <v>0.066164419</v>
      </c>
      <c r="T112" t="n">
        <v>0.023032177</v>
      </c>
      <c r="U112" t="n">
        <v>-1.510183316</v>
      </c>
      <c r="V112" t="n">
        <v>-0.8502</v>
      </c>
      <c r="W112" t="n">
        <v>-1.453322278</v>
      </c>
      <c r="X112" t="n">
        <v>5.234095866</v>
      </c>
      <c r="AA112" t="n">
        <v>1.877960383</v>
      </c>
      <c r="AB112" t="n">
        <v>-0.055508009</v>
      </c>
      <c r="AD112" t="n">
        <v>-2.090374618</v>
      </c>
      <c r="AE112" t="n">
        <v>-0.542348904</v>
      </c>
      <c r="AF112" t="n">
        <v>-0.341014777</v>
      </c>
      <c r="AG112" t="n">
        <v>-2.215836913</v>
      </c>
      <c r="AI112" t="n">
        <v>1.455293632</v>
      </c>
      <c r="AJ112" t="n">
        <v>-1.385399516</v>
      </c>
      <c r="AK112" t="n">
        <v>0.85781115</v>
      </c>
      <c r="AM112" t="n">
        <v>-0.611295854</v>
      </c>
      <c r="AO112" t="n">
        <v>-0.772746094</v>
      </c>
      <c r="AS112" t="n">
        <v>1.360991524</v>
      </c>
      <c r="AU112" t="n">
        <v>-0.388140783</v>
      </c>
      <c r="AV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Q113" t="n">
        <v>-0.501915997</v>
      </c>
      <c r="T113" t="n">
        <v>1.603501804</v>
      </c>
      <c r="U113" t="n">
        <v>-0.44990402</v>
      </c>
      <c r="V113" t="n">
        <v>-0.783998</v>
      </c>
      <c r="W113" t="n">
        <v>0.036182289</v>
      </c>
      <c r="X113" t="n">
        <v>7.943471934</v>
      </c>
      <c r="AA113" t="n">
        <v>1.782215968</v>
      </c>
      <c r="AB113" t="n">
        <v>-0.274496285</v>
      </c>
      <c r="AD113" t="n">
        <v>-1.739606011</v>
      </c>
      <c r="AE113" t="n">
        <v>0.130852508</v>
      </c>
      <c r="AF113" t="n">
        <v>1.414647153</v>
      </c>
      <c r="AG113" t="n">
        <v>-2.690011007</v>
      </c>
      <c r="AI113" t="n">
        <v>1.41808582</v>
      </c>
      <c r="AJ113" t="n">
        <v>-1.96350355</v>
      </c>
      <c r="AK113" t="n">
        <v>0.649877665</v>
      </c>
      <c r="AM113" t="n">
        <v>-0.52145059</v>
      </c>
      <c r="AO113" t="n">
        <v>-1.987540613</v>
      </c>
      <c r="AS113" t="n">
        <v>0.638731136</v>
      </c>
      <c r="AU113" t="n">
        <v>-1.217285876</v>
      </c>
      <c r="AV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Q114" t="n">
        <v>-0.083067768</v>
      </c>
      <c r="T114" t="n">
        <v>-0.710065894</v>
      </c>
      <c r="U114" t="n">
        <v>0.252750122</v>
      </c>
      <c r="V114" t="n">
        <v>0.511872</v>
      </c>
      <c r="W114" t="n">
        <v>-1.631100285</v>
      </c>
      <c r="X114" t="n">
        <v>-1.00896632</v>
      </c>
      <c r="AA114" t="n">
        <v>1.347474683</v>
      </c>
      <c r="AB114" t="n">
        <v>-0.105422218</v>
      </c>
      <c r="AD114" t="n">
        <v>-0.051609537</v>
      </c>
      <c r="AE114" t="n">
        <v>2.220142359</v>
      </c>
      <c r="AF114" t="n">
        <v>4.708017469</v>
      </c>
      <c r="AG114" t="n">
        <v>-2.268514261</v>
      </c>
      <c r="AI114" t="n">
        <v>1.391313202</v>
      </c>
      <c r="AJ114" t="n">
        <v>1.370993416</v>
      </c>
      <c r="AK114" t="n">
        <v>1.045183624</v>
      </c>
      <c r="AM114" t="n">
        <v>0.530992741</v>
      </c>
      <c r="AO114" t="n">
        <v>-1.492100144</v>
      </c>
      <c r="AS114" t="n">
        <v>-1.154452753</v>
      </c>
      <c r="AU114" t="n">
        <v>0.7145362159999999</v>
      </c>
      <c r="AV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Q115" t="n">
        <v>0.436846242</v>
      </c>
      <c r="T115" t="n">
        <v>-0.915384175</v>
      </c>
      <c r="U115" t="n">
        <v>0.38735228</v>
      </c>
      <c r="V115" t="n">
        <v>1.246951</v>
      </c>
      <c r="W115" t="n">
        <v>-0.361044415</v>
      </c>
      <c r="X115" t="n">
        <v>-1.815668393</v>
      </c>
      <c r="AA115" t="n">
        <v>0.612944177</v>
      </c>
      <c r="AB115" t="n">
        <v>0.426649868</v>
      </c>
      <c r="AD115" t="n">
        <v>1.421426377</v>
      </c>
      <c r="AE115" t="n">
        <v>1.138138264</v>
      </c>
      <c r="AF115" t="n">
        <v>2.857939982</v>
      </c>
      <c r="AG115" t="n">
        <v>-0.960290519</v>
      </c>
      <c r="AI115" t="n">
        <v>1.242050696</v>
      </c>
      <c r="AJ115" t="n">
        <v>0.5698554850000001</v>
      </c>
      <c r="AK115" t="n">
        <v>1.42976477</v>
      </c>
      <c r="AM115" t="n">
        <v>1.096189799</v>
      </c>
      <c r="AO115" t="n">
        <v>0.104980707</v>
      </c>
      <c r="AS115" t="n">
        <v>0.911620997</v>
      </c>
      <c r="AU115" t="n">
        <v>1.711651967</v>
      </c>
      <c r="AV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Q116" t="n">
        <v>0.7028369330000001</v>
      </c>
      <c r="T116" t="n">
        <v>-0.970032912</v>
      </c>
      <c r="U116" t="n">
        <v>1.350335463</v>
      </c>
      <c r="V116" t="n">
        <v>1.336133</v>
      </c>
      <c r="W116" t="n">
        <v>1.143078175</v>
      </c>
      <c r="X116" t="n">
        <v>4.826948536</v>
      </c>
      <c r="AA116" t="n">
        <v>-0.051897778</v>
      </c>
      <c r="AB116" t="n">
        <v>1.094263387</v>
      </c>
      <c r="AD116" t="n">
        <v>1.120331647</v>
      </c>
      <c r="AE116" t="n">
        <v>1.051509853</v>
      </c>
      <c r="AF116" t="n">
        <v>3.085712348</v>
      </c>
      <c r="AG116" t="n">
        <v>0.572463046</v>
      </c>
      <c r="AI116" t="n">
        <v>1.081194488</v>
      </c>
      <c r="AJ116" t="n">
        <v>3.81341154</v>
      </c>
      <c r="AK116" t="n">
        <v>1.799407238</v>
      </c>
      <c r="AM116" t="n">
        <v>1.37200616</v>
      </c>
      <c r="AO116" t="n">
        <v>2.344304561</v>
      </c>
      <c r="AS116" t="n">
        <v>1.276689307</v>
      </c>
      <c r="AU116" t="n">
        <v>1.346524152</v>
      </c>
      <c r="AV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Q117" t="n">
        <v>0.993842659</v>
      </c>
      <c r="T117" t="n">
        <v>0.373156084</v>
      </c>
      <c r="U117" t="n">
        <v>1.467728516</v>
      </c>
      <c r="V117" t="n">
        <v>1.690832</v>
      </c>
      <c r="W117" t="n">
        <v>1.651501165</v>
      </c>
      <c r="X117" t="n">
        <v>3.279608692</v>
      </c>
      <c r="AA117" t="n">
        <v>-0.231437253</v>
      </c>
      <c r="AB117" t="n">
        <v>1.628424846</v>
      </c>
      <c r="AD117" t="n">
        <v>1.761832697</v>
      </c>
      <c r="AE117" t="n">
        <v>0.847324585</v>
      </c>
      <c r="AF117" t="n">
        <v>2.888755135</v>
      </c>
      <c r="AG117" t="n">
        <v>1.449331581</v>
      </c>
      <c r="AI117" t="n">
        <v>1.056566621</v>
      </c>
      <c r="AJ117" t="n">
        <v>0.188830121</v>
      </c>
      <c r="AK117" t="n">
        <v>2.150529207</v>
      </c>
      <c r="AM117" t="n">
        <v>1.640468013</v>
      </c>
      <c r="AO117" t="n">
        <v>2.404369543</v>
      </c>
      <c r="AS117" t="n">
        <v>-1.66619471</v>
      </c>
      <c r="AU117" t="n">
        <v>2.248760121</v>
      </c>
      <c r="AV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Q118" t="n">
        <v>1.154238868</v>
      </c>
      <c r="T118" t="n">
        <v>0.534417659</v>
      </c>
      <c r="U118" t="n">
        <v>1.192260978</v>
      </c>
      <c r="V118" t="n">
        <v>0.922652</v>
      </c>
      <c r="W118" t="n">
        <v>-0.113298767</v>
      </c>
      <c r="X118" t="n">
        <v>0.514363354</v>
      </c>
      <c r="AA118" t="n">
        <v>0.112618598</v>
      </c>
      <c r="AB118" t="n">
        <v>1.983566671</v>
      </c>
      <c r="AD118" t="n">
        <v>1.807450363</v>
      </c>
      <c r="AE118" t="n">
        <v>0.590800499</v>
      </c>
      <c r="AF118" t="n">
        <v>4.80717592</v>
      </c>
      <c r="AG118" t="n">
        <v>1.531738731</v>
      </c>
      <c r="AI118" t="n">
        <v>1.046903478</v>
      </c>
      <c r="AJ118" t="n">
        <v>0.099520108</v>
      </c>
      <c r="AK118" t="n">
        <v>1.718176292</v>
      </c>
      <c r="AM118" t="n">
        <v>1.02665097</v>
      </c>
      <c r="AO118" t="n">
        <v>2.487970122</v>
      </c>
      <c r="AS118" t="n">
        <v>1.766900116</v>
      </c>
      <c r="AU118" t="n">
        <v>0.733700577</v>
      </c>
      <c r="AV118" t="n">
        <v>-1.995152109</v>
      </c>
    </row>
    <row r="119">
      <c r="A119" t="inlineStr">
        <is>
          <t>1976-Q3</t>
        </is>
      </c>
      <c r="B119" s="87" t="n">
        <v>28034</v>
      </c>
      <c r="D119" t="n">
        <v>0.8092872290000001</v>
      </c>
      <c r="E119" t="n">
        <v>2.295540148</v>
      </c>
      <c r="F119" t="n">
        <v>0.8736708480000001</v>
      </c>
      <c r="H119" t="n">
        <v>0.445344075</v>
      </c>
      <c r="I119" t="n">
        <v>1.658508644</v>
      </c>
      <c r="M119" t="n">
        <v>0.029868819</v>
      </c>
      <c r="N119" t="n">
        <v>1.184947516</v>
      </c>
      <c r="Q119" t="n">
        <v>0.969907983</v>
      </c>
      <c r="T119" t="n">
        <v>1.115155717</v>
      </c>
      <c r="U119" t="n">
        <v>0.472915631</v>
      </c>
      <c r="V119" t="n">
        <v>0.824238</v>
      </c>
      <c r="W119" t="n">
        <v>1.282334351</v>
      </c>
      <c r="X119" t="n">
        <v>-2.48720672</v>
      </c>
      <c r="AA119" t="n">
        <v>0.941474492</v>
      </c>
      <c r="AB119" t="n">
        <v>2.218361227</v>
      </c>
      <c r="AD119" t="n">
        <v>2.541459042</v>
      </c>
      <c r="AE119" t="n">
        <v>1.406011224</v>
      </c>
      <c r="AF119" t="n">
        <v>1.940145549</v>
      </c>
      <c r="AG119" t="n">
        <v>0.974239657</v>
      </c>
      <c r="AI119" t="n">
        <v>0.820824926</v>
      </c>
      <c r="AJ119" t="n">
        <v>3.533003443</v>
      </c>
      <c r="AK119" t="n">
        <v>1.308634174</v>
      </c>
      <c r="AM119" t="n">
        <v>0.88559618</v>
      </c>
      <c r="AO119" t="n">
        <v>0.463687651</v>
      </c>
      <c r="AS119" t="n">
        <v>-0.541325725</v>
      </c>
      <c r="AU119" t="n">
        <v>0.548705764</v>
      </c>
      <c r="AV119" t="n">
        <v>2.379248149</v>
      </c>
    </row>
    <row r="120">
      <c r="A120" t="inlineStr">
        <is>
          <t>1976-Q4</t>
        </is>
      </c>
      <c r="B120" s="87" t="n">
        <v>28126</v>
      </c>
      <c r="D120" t="n">
        <v>0.86845394</v>
      </c>
      <c r="E120" t="n">
        <v>1.361666685</v>
      </c>
      <c r="F120" t="n">
        <v>-0.278586554</v>
      </c>
      <c r="H120" t="n">
        <v>0.206075061</v>
      </c>
      <c r="I120" t="n">
        <v>1.119221411</v>
      </c>
      <c r="M120" t="n">
        <v>1.85157959</v>
      </c>
      <c r="N120" t="n">
        <v>0.584883391</v>
      </c>
      <c r="Q120" t="n">
        <v>0.767893364</v>
      </c>
      <c r="T120" t="n">
        <v>0.834285714</v>
      </c>
      <c r="U120" t="n">
        <v>1.245840306</v>
      </c>
      <c r="V120" t="n">
        <v>0.991251</v>
      </c>
      <c r="W120" t="n">
        <v>2.129114714</v>
      </c>
      <c r="X120" t="n">
        <v>7.826207497</v>
      </c>
      <c r="AA120" t="n">
        <v>1.853283189</v>
      </c>
      <c r="AB120" t="n">
        <v>2.318748639</v>
      </c>
      <c r="AD120" t="n">
        <v>1.734669506</v>
      </c>
      <c r="AE120" t="n">
        <v>0.118914049</v>
      </c>
      <c r="AF120" t="n">
        <v>1.124698181</v>
      </c>
      <c r="AG120" t="n">
        <v>0.275677506</v>
      </c>
      <c r="AI120" t="n">
        <v>0.591004129</v>
      </c>
      <c r="AJ120" t="n">
        <v>-1.692871864</v>
      </c>
      <c r="AK120" t="n">
        <v>0.916125955</v>
      </c>
      <c r="AM120" t="n">
        <v>0.954397113</v>
      </c>
      <c r="AO120" t="n">
        <v>3.207685852</v>
      </c>
      <c r="AS120" t="n">
        <v>-0.462996332</v>
      </c>
      <c r="AU120" t="n">
        <v>0.724850978</v>
      </c>
      <c r="AV120" t="n">
        <v>-0.7308368240000001</v>
      </c>
    </row>
    <row r="121">
      <c r="A121" t="inlineStr">
        <is>
          <t>1977-Q1</t>
        </is>
      </c>
      <c r="B121" s="87" t="n">
        <v>28216</v>
      </c>
      <c r="D121" t="n">
        <v>-0.543185334</v>
      </c>
      <c r="E121" t="n">
        <v>0.186590103</v>
      </c>
      <c r="F121" t="n">
        <v>-0.278875151</v>
      </c>
      <c r="H121" t="n">
        <v>1.422042393</v>
      </c>
      <c r="I121" t="n">
        <v>-0.058254394</v>
      </c>
      <c r="M121" t="n">
        <v>0.853943577</v>
      </c>
      <c r="N121" t="n">
        <v>-1.198126636</v>
      </c>
      <c r="Q121" t="n">
        <v>0.792235802</v>
      </c>
      <c r="T121" t="n">
        <v>-0.8613850159999999</v>
      </c>
      <c r="U121" t="n">
        <v>1.105448055</v>
      </c>
      <c r="V121" t="n">
        <v>1.099737</v>
      </c>
      <c r="W121" t="n">
        <v>-0.040598004</v>
      </c>
      <c r="X121" t="n">
        <v>-0.466491579</v>
      </c>
      <c r="AA121" t="n">
        <v>2.400262301</v>
      </c>
      <c r="AB121" t="n">
        <v>2.267105536</v>
      </c>
      <c r="AD121" t="n">
        <v>0.039609619</v>
      </c>
      <c r="AE121" t="n">
        <v>2.187257002</v>
      </c>
      <c r="AF121" t="n">
        <v>1.000940879</v>
      </c>
      <c r="AG121" t="n">
        <v>-0.050324567</v>
      </c>
      <c r="AI121" t="n">
        <v>0.589218726</v>
      </c>
      <c r="AJ121" t="n">
        <v>1.21384212</v>
      </c>
      <c r="AK121" t="n">
        <v>0.535594358</v>
      </c>
      <c r="AM121" t="n">
        <v>0.902836247</v>
      </c>
      <c r="AO121" t="n">
        <v>0.921982026</v>
      </c>
      <c r="AS121" t="n">
        <v>-2.032863483</v>
      </c>
      <c r="AU121" t="n">
        <v>1.181483598</v>
      </c>
      <c r="AV121" t="n">
        <v>-0.218388293</v>
      </c>
    </row>
    <row r="122">
      <c r="A122" t="inlineStr">
        <is>
          <t>1977-Q2</t>
        </is>
      </c>
      <c r="B122" s="87" t="n">
        <v>28307</v>
      </c>
      <c r="D122" t="n">
        <v>1.417461379</v>
      </c>
      <c r="E122" t="n">
        <v>1.426332979</v>
      </c>
      <c r="F122" t="n">
        <v>-0.275710685</v>
      </c>
      <c r="H122" t="n">
        <v>0.537242437</v>
      </c>
      <c r="I122" t="n">
        <v>-0.005068553</v>
      </c>
      <c r="M122" t="n">
        <v>0.566949156</v>
      </c>
      <c r="N122" t="n">
        <v>-0.069879794</v>
      </c>
      <c r="Q122" t="n">
        <v>0.453631189</v>
      </c>
      <c r="T122" t="n">
        <v>-0.120041157</v>
      </c>
      <c r="U122" t="n">
        <v>0.434796121</v>
      </c>
      <c r="V122" t="n">
        <v>0.972445</v>
      </c>
      <c r="W122" t="n">
        <v>-0.734829231</v>
      </c>
      <c r="X122" t="n">
        <v>-3.651628379</v>
      </c>
      <c r="AA122" t="n">
        <v>2.549489505</v>
      </c>
      <c r="AB122" t="n">
        <v>2.108320871</v>
      </c>
      <c r="AD122" t="n">
        <v>-0.55686306</v>
      </c>
      <c r="AE122" t="n">
        <v>0.703787517</v>
      </c>
      <c r="AF122" t="n">
        <v>5.073162158</v>
      </c>
      <c r="AG122" t="n">
        <v>0.036882423</v>
      </c>
      <c r="AI122" t="n">
        <v>0.574541288</v>
      </c>
      <c r="AJ122" t="n">
        <v>0.013692467</v>
      </c>
      <c r="AK122" t="n">
        <v>0.71004957</v>
      </c>
      <c r="AM122" t="n">
        <v>0.871038057</v>
      </c>
      <c r="AO122" t="n">
        <v>0.889026235</v>
      </c>
      <c r="AS122" t="n">
        <v>1.010680614</v>
      </c>
      <c r="AU122" t="n">
        <v>1.944113078</v>
      </c>
      <c r="AV122" t="n">
        <v>0.09606388</v>
      </c>
    </row>
    <row r="123">
      <c r="A123" t="inlineStr">
        <is>
          <t>1977-Q3</t>
        </is>
      </c>
      <c r="B123" s="87" t="n">
        <v>28399</v>
      </c>
      <c r="D123" t="n">
        <v>-0.426789915</v>
      </c>
      <c r="E123" t="n">
        <v>0.315146692</v>
      </c>
      <c r="F123" t="n">
        <v>0.312929842</v>
      </c>
      <c r="H123" t="n">
        <v>0.528995067</v>
      </c>
      <c r="I123" t="n">
        <v>0.780596599</v>
      </c>
      <c r="M123" t="n">
        <v>-0.028904963</v>
      </c>
      <c r="N123" t="n">
        <v>3.290039473</v>
      </c>
      <c r="Q123" t="n">
        <v>0.332296681</v>
      </c>
      <c r="T123" t="n">
        <v>0.6180964920000001</v>
      </c>
      <c r="U123" t="n">
        <v>0.458443057</v>
      </c>
      <c r="V123" t="n">
        <v>0.928134</v>
      </c>
      <c r="W123" t="n">
        <v>0.693448514</v>
      </c>
      <c r="X123" t="n">
        <v>0.360042899</v>
      </c>
      <c r="AA123" t="n">
        <v>2.433546544</v>
      </c>
      <c r="AB123" t="n">
        <v>1.896654856</v>
      </c>
      <c r="AD123" t="n">
        <v>-0.9353476040000001</v>
      </c>
      <c r="AE123" t="n">
        <v>0.681686576</v>
      </c>
      <c r="AF123" t="n">
        <v>6.0092059</v>
      </c>
      <c r="AG123" t="n">
        <v>0.50605461</v>
      </c>
      <c r="AI123" t="n">
        <v>1.396296342</v>
      </c>
      <c r="AJ123" t="n">
        <v>0.825347154</v>
      </c>
      <c r="AK123" t="n">
        <v>0.88106137</v>
      </c>
      <c r="AM123" t="n">
        <v>0.922550686</v>
      </c>
      <c r="AO123" t="n">
        <v>1.004016479</v>
      </c>
      <c r="AS123" t="n">
        <v>0.143075842</v>
      </c>
      <c r="AU123" t="n">
        <v>1.804355899</v>
      </c>
      <c r="AV123" t="n">
        <v>-0.385872981</v>
      </c>
    </row>
    <row r="124">
      <c r="A124" t="inlineStr">
        <is>
          <t>1977-Q4</t>
        </is>
      </c>
      <c r="B124" s="87" t="n">
        <v>28491</v>
      </c>
      <c r="D124" t="n">
        <v>-0.319199353</v>
      </c>
      <c r="E124" t="n">
        <v>2.305531958</v>
      </c>
      <c r="F124" t="n">
        <v>0.94035917</v>
      </c>
      <c r="H124" t="n">
        <v>1.58111274</v>
      </c>
      <c r="I124" t="n">
        <v>-0.062869357</v>
      </c>
      <c r="M124" t="n">
        <v>1.720636701</v>
      </c>
      <c r="N124" t="n">
        <v>-0.905907355</v>
      </c>
      <c r="Q124" t="n">
        <v>0.668053727</v>
      </c>
      <c r="T124" t="n">
        <v>-0.233206302</v>
      </c>
      <c r="U124" t="n">
        <v>0.228252482</v>
      </c>
      <c r="V124" t="n">
        <v>0.710887</v>
      </c>
      <c r="W124" t="n">
        <v>1.712047587</v>
      </c>
      <c r="X124" t="n">
        <v>6.031982291</v>
      </c>
      <c r="AA124" t="n">
        <v>2.132613612</v>
      </c>
      <c r="AB124" t="n">
        <v>1.647309678</v>
      </c>
      <c r="AD124" t="n">
        <v>0.856853295</v>
      </c>
      <c r="AE124" t="n">
        <v>1.356456852</v>
      </c>
      <c r="AF124" t="n">
        <v>3.768176164</v>
      </c>
      <c r="AG124" t="n">
        <v>1.047038045</v>
      </c>
      <c r="AI124" t="n">
        <v>2.24138602</v>
      </c>
      <c r="AJ124" t="n">
        <v>0.9970515210000001</v>
      </c>
      <c r="AK124" t="n">
        <v>1.047887281</v>
      </c>
      <c r="AM124" t="n">
        <v>0.816307201</v>
      </c>
      <c r="AO124" t="n">
        <v>0.702947075</v>
      </c>
      <c r="AS124" t="n">
        <v>-0.591868443</v>
      </c>
      <c r="AU124" t="n">
        <v>0.002185772</v>
      </c>
      <c r="AV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Q125" t="n">
        <v>0.624253076</v>
      </c>
      <c r="T125" t="n">
        <v>1.083238312</v>
      </c>
      <c r="U125" t="n">
        <v>1.389138596</v>
      </c>
      <c r="V125" t="n">
        <v>0.8185480000000001</v>
      </c>
      <c r="W125" t="n">
        <v>0.747507279</v>
      </c>
      <c r="X125" t="n">
        <v>3.917933951</v>
      </c>
      <c r="AA125" t="n">
        <v>1.764624843</v>
      </c>
      <c r="AB125" t="n">
        <v>1.410812098</v>
      </c>
      <c r="AD125" t="n">
        <v>1.634293921</v>
      </c>
      <c r="AE125" t="n">
        <v>1.889184999</v>
      </c>
      <c r="AF125" t="n">
        <v>-0.809499069</v>
      </c>
      <c r="AG125" t="n">
        <v>1.311099693</v>
      </c>
      <c r="AI125" t="n">
        <v>2.178848345</v>
      </c>
      <c r="AJ125" t="n">
        <v>0.253524373</v>
      </c>
      <c r="AK125" t="n">
        <v>1.52303014</v>
      </c>
      <c r="AM125" t="n">
        <v>0.79482388</v>
      </c>
      <c r="AO125" t="n">
        <v>0.481313774</v>
      </c>
      <c r="AS125" t="n">
        <v>1.622628005</v>
      </c>
      <c r="AU125" t="n">
        <v>0.319163241</v>
      </c>
      <c r="AV125" t="n">
        <v>1.644337137</v>
      </c>
    </row>
    <row r="126">
      <c r="A126" t="inlineStr">
        <is>
          <t>1978-Q2</t>
        </is>
      </c>
      <c r="B126" s="87" t="n">
        <v>28672</v>
      </c>
      <c r="D126" t="n">
        <v>0.82338811</v>
      </c>
      <c r="E126" t="n">
        <v>1.884672549</v>
      </c>
      <c r="F126" t="n">
        <v>0.908158404</v>
      </c>
      <c r="H126" t="n">
        <v>0.685996478</v>
      </c>
      <c r="I126" t="n">
        <v>0.226500567</v>
      </c>
      <c r="M126" t="n">
        <v>0.396382149</v>
      </c>
      <c r="N126" t="n">
        <v>2.178223156</v>
      </c>
      <c r="Q126" t="n">
        <v>0.202601685</v>
      </c>
      <c r="T126" t="n">
        <v>0.705019741</v>
      </c>
      <c r="U126" t="n">
        <v>1.662617478</v>
      </c>
      <c r="V126" t="n">
        <v>2.282164</v>
      </c>
      <c r="W126" t="n">
        <v>1.180597003</v>
      </c>
      <c r="X126" t="n">
        <v>-1.586366943</v>
      </c>
      <c r="AA126" t="n">
        <v>1.42637876</v>
      </c>
      <c r="AB126" t="n">
        <v>1.247333233</v>
      </c>
      <c r="AD126" t="n">
        <v>1.729759053</v>
      </c>
      <c r="AE126" t="n">
        <v>0.972000933</v>
      </c>
      <c r="AF126" t="n">
        <v>3.082241658</v>
      </c>
      <c r="AG126" t="n">
        <v>1.285131054</v>
      </c>
      <c r="AI126" t="n">
        <v>2.110729874</v>
      </c>
      <c r="AJ126" t="n">
        <v>0.183915093</v>
      </c>
      <c r="AK126" t="n">
        <v>1.629199857</v>
      </c>
      <c r="AM126" t="n">
        <v>1.98181612</v>
      </c>
      <c r="AO126" t="n">
        <v>0.477280992</v>
      </c>
      <c r="AS126" t="n">
        <v>1.557888566</v>
      </c>
      <c r="AU126" t="n">
        <v>3.864270188</v>
      </c>
      <c r="AV126" t="n">
        <v>1.932724731</v>
      </c>
    </row>
    <row r="127">
      <c r="A127" t="inlineStr">
        <is>
          <t>1978-Q3</t>
        </is>
      </c>
      <c r="B127" s="87" t="n">
        <v>28764</v>
      </c>
      <c r="D127" t="n">
        <v>1.52039938</v>
      </c>
      <c r="E127" t="n">
        <v>0.657607036</v>
      </c>
      <c r="F127" t="n">
        <v>0.644272881</v>
      </c>
      <c r="H127" t="n">
        <v>0.954509352</v>
      </c>
      <c r="I127" t="n">
        <v>0.035153798</v>
      </c>
      <c r="M127" t="n">
        <v>1.311340647</v>
      </c>
      <c r="N127" t="n">
        <v>1.622225334</v>
      </c>
      <c r="Q127" t="n">
        <v>-0.122709652</v>
      </c>
      <c r="T127" t="n">
        <v>0.436852422</v>
      </c>
      <c r="U127" t="n">
        <v>-0.087958221</v>
      </c>
      <c r="V127" t="n">
        <v>0.986425</v>
      </c>
      <c r="W127" t="n">
        <v>1.370045655</v>
      </c>
      <c r="X127" t="n">
        <v>-3.179882448</v>
      </c>
      <c r="AA127" t="n">
        <v>1.090713181</v>
      </c>
      <c r="AB127" t="n">
        <v>1.142055205</v>
      </c>
      <c r="AD127" t="n">
        <v>0.526216337</v>
      </c>
      <c r="AE127" t="n">
        <v>1.293282486</v>
      </c>
      <c r="AF127" t="n">
        <v>1.859288012</v>
      </c>
      <c r="AG127" t="n">
        <v>1.0318009</v>
      </c>
      <c r="AI127" t="n">
        <v>2.237664759</v>
      </c>
      <c r="AJ127" t="n">
        <v>0.935097717</v>
      </c>
      <c r="AK127" t="n">
        <v>1.2061586</v>
      </c>
      <c r="AM127" t="n">
        <v>0.901406924</v>
      </c>
      <c r="AO127" t="n">
        <v>0.536667144</v>
      </c>
      <c r="AS127" t="n">
        <v>-2.062251777</v>
      </c>
      <c r="AU127" t="n">
        <v>1.005517127</v>
      </c>
      <c r="AV127" t="n">
        <v>-1.07584401</v>
      </c>
    </row>
    <row r="128">
      <c r="A128" t="inlineStr">
        <is>
          <t>1978-Q4</t>
        </is>
      </c>
      <c r="B128" s="87" t="n">
        <v>28856</v>
      </c>
      <c r="D128" t="n">
        <v>0.827494523</v>
      </c>
      <c r="E128" t="n">
        <v>0.665147304</v>
      </c>
      <c r="F128" t="n">
        <v>0.363560447</v>
      </c>
      <c r="H128" t="n">
        <v>0.87695671</v>
      </c>
      <c r="I128" t="n">
        <v>0.386555887</v>
      </c>
      <c r="M128" t="n">
        <v>1.169104613</v>
      </c>
      <c r="N128" t="n">
        <v>0.198663907</v>
      </c>
      <c r="Q128" t="n">
        <v>-0.147990953</v>
      </c>
      <c r="T128" t="n">
        <v>2.174761613</v>
      </c>
      <c r="U128" t="n">
        <v>0.851110816</v>
      </c>
      <c r="V128" t="n">
        <v>1.25628</v>
      </c>
      <c r="W128" t="n">
        <v>0.8903910310000001</v>
      </c>
      <c r="X128" t="n">
        <v>9.64212363</v>
      </c>
      <c r="AA128" t="n">
        <v>0.799293581</v>
      </c>
      <c r="AB128" t="n">
        <v>1.091053182</v>
      </c>
      <c r="AD128" t="n">
        <v>1.52383092</v>
      </c>
      <c r="AE128" t="n">
        <v>1.443061634</v>
      </c>
      <c r="AF128" t="n">
        <v>4.797352379</v>
      </c>
      <c r="AG128" t="n">
        <v>0.696244528</v>
      </c>
      <c r="AI128" t="n">
        <v>2.35397061</v>
      </c>
      <c r="AJ128" t="n">
        <v>1.756247277</v>
      </c>
      <c r="AK128" t="n">
        <v>0.132179093</v>
      </c>
      <c r="AM128" t="n">
        <v>1.315260847</v>
      </c>
      <c r="AO128" t="n">
        <v>1.716846424</v>
      </c>
      <c r="AS128" t="n">
        <v>1.628870517</v>
      </c>
      <c r="AU128" t="n">
        <v>1.344143064</v>
      </c>
      <c r="AV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Q129" t="n">
        <v>-0.159395973</v>
      </c>
      <c r="T129" t="n">
        <v>2.030235223</v>
      </c>
      <c r="U129" t="n">
        <v>0.860055009</v>
      </c>
      <c r="V129" t="n">
        <v>0.510927</v>
      </c>
      <c r="W129" t="n">
        <v>-0.5175104190000001</v>
      </c>
      <c r="X129" t="n">
        <v>0.419401896</v>
      </c>
      <c r="AA129" t="n">
        <v>0.6138020320000001</v>
      </c>
      <c r="AB129" t="n">
        <v>1.103744556</v>
      </c>
      <c r="AD129" t="n">
        <v>1.579975193</v>
      </c>
      <c r="AE129" t="n">
        <v>1.495580739</v>
      </c>
      <c r="AF129" t="n">
        <v>4.486019937</v>
      </c>
      <c r="AG129" t="n">
        <v>0.451987485</v>
      </c>
      <c r="AI129" t="n">
        <v>2.275444904</v>
      </c>
      <c r="AJ129" t="n">
        <v>-4.905976541</v>
      </c>
      <c r="AK129" t="n">
        <v>-0.519032214</v>
      </c>
      <c r="AM129" t="n">
        <v>0.572682449</v>
      </c>
      <c r="AO129" t="n">
        <v>1.063669162</v>
      </c>
      <c r="AS129" t="n">
        <v>2.064018273</v>
      </c>
      <c r="AU129" t="n">
        <v>0.179787288</v>
      </c>
      <c r="AV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Q130" t="n">
        <v>0.155449122</v>
      </c>
      <c r="T130" t="n">
        <v>2.374966569</v>
      </c>
      <c r="U130" t="n">
        <v>0.955992372</v>
      </c>
      <c r="V130" t="n">
        <v>1.251743</v>
      </c>
      <c r="W130" t="n">
        <v>4.430060558</v>
      </c>
      <c r="X130" t="n">
        <v>-0.564570712</v>
      </c>
      <c r="AA130" t="n">
        <v>0.566558783</v>
      </c>
      <c r="AB130" t="n">
        <v>1.195865755</v>
      </c>
      <c r="AD130" t="n">
        <v>0.727095866</v>
      </c>
      <c r="AE130" t="n">
        <v>1.827155452</v>
      </c>
      <c r="AF130" t="n">
        <v>0.755831526</v>
      </c>
      <c r="AG130" t="n">
        <v>0.345323703</v>
      </c>
      <c r="AI130" t="n">
        <v>2.212040322</v>
      </c>
      <c r="AJ130" t="n">
        <v>5.824767499</v>
      </c>
      <c r="AK130" t="n">
        <v>3.007404039</v>
      </c>
      <c r="AM130" t="n">
        <v>1.231154127</v>
      </c>
      <c r="AO130" t="n">
        <v>2.126871436</v>
      </c>
      <c r="AS130" t="n">
        <v>1.605590277</v>
      </c>
      <c r="AU130" t="n">
        <v>0.106919831</v>
      </c>
      <c r="AV130" t="n">
        <v>0.6460303590000001</v>
      </c>
    </row>
    <row r="131">
      <c r="A131" t="inlineStr">
        <is>
          <t>1979-Q3</t>
        </is>
      </c>
      <c r="B131" s="87" t="n">
        <v>29129</v>
      </c>
      <c r="D131" t="n">
        <v>0.932272189</v>
      </c>
      <c r="E131" t="n">
        <v>0.879435791</v>
      </c>
      <c r="F131" t="n">
        <v>0.953921557</v>
      </c>
      <c r="H131" t="n">
        <v>0.691984333</v>
      </c>
      <c r="I131" t="n">
        <v>0.940531734</v>
      </c>
      <c r="M131" t="n">
        <v>7.53e-06</v>
      </c>
      <c r="N131" t="n">
        <v>-0.667477188</v>
      </c>
      <c r="Q131" t="n">
        <v>0.240502258</v>
      </c>
      <c r="T131" t="n">
        <v>0.856889075</v>
      </c>
      <c r="U131" t="n">
        <v>1.143098761</v>
      </c>
      <c r="V131" t="n">
        <v>0.518347</v>
      </c>
      <c r="W131" t="n">
        <v>-2.238184508</v>
      </c>
      <c r="X131" t="n">
        <v>-5.363991035</v>
      </c>
      <c r="AA131" t="n">
        <v>0.636799193</v>
      </c>
      <c r="AB131" t="n">
        <v>1.376404142</v>
      </c>
      <c r="AD131" t="n">
        <v>1.730408441</v>
      </c>
      <c r="AE131" t="n">
        <v>0.762663736</v>
      </c>
      <c r="AF131" t="n">
        <v>-2.767723422</v>
      </c>
      <c r="AG131" t="n">
        <v>0.34475206</v>
      </c>
      <c r="AI131" t="n">
        <v>2.070864933</v>
      </c>
      <c r="AJ131" t="n">
        <v>0.740055504</v>
      </c>
      <c r="AK131" t="n">
        <v>2.621138447</v>
      </c>
      <c r="AM131" t="n">
        <v>0.481629215</v>
      </c>
      <c r="AO131" t="n">
        <v>1.329439771</v>
      </c>
      <c r="AS131" t="n">
        <v>0.275914039</v>
      </c>
      <c r="AU131" t="n">
        <v>0.742871468</v>
      </c>
      <c r="AV131" t="n">
        <v>0.746384808</v>
      </c>
    </row>
    <row r="132">
      <c r="A132" t="inlineStr">
        <is>
          <t>1979-Q4</t>
        </is>
      </c>
      <c r="B132" s="87" t="n">
        <v>29221</v>
      </c>
      <c r="D132" t="n">
        <v>1.928414612</v>
      </c>
      <c r="E132" t="n">
        <v>1.328876082</v>
      </c>
      <c r="F132" t="n">
        <v>1.576811915</v>
      </c>
      <c r="H132" t="n">
        <v>0.665624679</v>
      </c>
      <c r="I132" t="n">
        <v>1.530936659</v>
      </c>
      <c r="M132" t="n">
        <v>0.6129933400000001</v>
      </c>
      <c r="N132" t="n">
        <v>0.506337955</v>
      </c>
      <c r="Q132" t="n">
        <v>0.351518364</v>
      </c>
      <c r="T132" t="n">
        <v>1.196705175</v>
      </c>
      <c r="U132" t="n">
        <v>0.190206929</v>
      </c>
      <c r="V132" t="n">
        <v>0.570196</v>
      </c>
      <c r="W132" t="n">
        <v>1.030358428</v>
      </c>
      <c r="X132" t="n">
        <v>4.631253947</v>
      </c>
      <c r="AA132" t="n">
        <v>0.743497736</v>
      </c>
      <c r="AB132" t="n">
        <v>1.525694765</v>
      </c>
      <c r="AD132" t="n">
        <v>2.353893536</v>
      </c>
      <c r="AE132" t="n">
        <v>0.434649</v>
      </c>
      <c r="AF132" t="n">
        <v>-1.518757047</v>
      </c>
      <c r="AG132" t="n">
        <v>0.35933326</v>
      </c>
      <c r="AI132" t="n">
        <v>1.918080757</v>
      </c>
      <c r="AJ132" t="n">
        <v>1.53902663</v>
      </c>
      <c r="AK132" t="n">
        <v>0.902276022</v>
      </c>
      <c r="AM132" t="n">
        <v>0.679890613</v>
      </c>
      <c r="AO132" t="n">
        <v>2.064941605</v>
      </c>
      <c r="AS132" t="n">
        <v>0.106838671</v>
      </c>
      <c r="AU132" t="n">
        <v>0.250075034</v>
      </c>
      <c r="AV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Q133" t="n">
        <v>0.669637966</v>
      </c>
      <c r="T133" t="n">
        <v>1.6740043</v>
      </c>
      <c r="U133" t="n">
        <v>1.221250984</v>
      </c>
      <c r="V133" t="n">
        <v>0.317132</v>
      </c>
      <c r="W133" t="n">
        <v>-1.127648762</v>
      </c>
      <c r="X133" t="n">
        <v>3.408557441</v>
      </c>
      <c r="AA133" t="n">
        <v>0.803466035</v>
      </c>
      <c r="AB133" t="n">
        <v>1.534589831</v>
      </c>
      <c r="AD133" t="n">
        <v>-0.183599872</v>
      </c>
      <c r="AE133" t="n">
        <v>0.38255242</v>
      </c>
      <c r="AF133" t="n">
        <v>0.886148261</v>
      </c>
      <c r="AG133" t="n">
        <v>0.291943658</v>
      </c>
      <c r="AI133" t="n">
        <v>2.769102252</v>
      </c>
      <c r="AJ133" t="n">
        <v>-0.057878744</v>
      </c>
      <c r="AK133" t="n">
        <v>3.766069165</v>
      </c>
      <c r="AM133" t="n">
        <v>0.573468205</v>
      </c>
      <c r="AO133" t="n">
        <v>1.57446299</v>
      </c>
      <c r="AS133" t="n">
        <v>3.127839726</v>
      </c>
      <c r="AU133" t="n">
        <v>0.314519076</v>
      </c>
      <c r="AV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Q134" t="n">
        <v>0.339903035</v>
      </c>
      <c r="T134" t="n">
        <v>-0.468254368</v>
      </c>
      <c r="U134" t="n">
        <v>-0.769017869</v>
      </c>
      <c r="V134" t="n">
        <v>-1.214115</v>
      </c>
      <c r="W134" t="n">
        <v>-1.972236824</v>
      </c>
      <c r="X134" t="n">
        <v>-1.914814274</v>
      </c>
      <c r="AA134" t="n">
        <v>0.823204992</v>
      </c>
      <c r="AB134" t="n">
        <v>1.437157604</v>
      </c>
      <c r="AD134" t="n">
        <v>0.776049009</v>
      </c>
      <c r="AE134" t="n">
        <v>-0.527155036</v>
      </c>
      <c r="AF134" t="n">
        <v>-0.539530976</v>
      </c>
      <c r="AG134" t="n">
        <v>0.151425932</v>
      </c>
      <c r="AI134" t="n">
        <v>0.652366114</v>
      </c>
      <c r="AJ134" t="n">
        <v>-1.851382655</v>
      </c>
      <c r="AK134" t="n">
        <v>-2.055881707</v>
      </c>
      <c r="AM134" t="n">
        <v>-1.070197953</v>
      </c>
      <c r="AO134" t="n">
        <v>-0.026077098</v>
      </c>
      <c r="AS134" t="n">
        <v>-4.767321461</v>
      </c>
      <c r="AU134" t="n">
        <v>-2.060472164</v>
      </c>
      <c r="AV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Q135" t="n">
        <v>-0.396523201</v>
      </c>
      <c r="T135" t="n">
        <v>4.987859166</v>
      </c>
      <c r="U135" t="n">
        <v>0.149147282</v>
      </c>
      <c r="V135" t="n">
        <v>0.253281</v>
      </c>
      <c r="W135" t="n">
        <v>-0.117576961</v>
      </c>
      <c r="X135" t="n">
        <v>-5.248280878</v>
      </c>
      <c r="AA135" t="n">
        <v>0.811706142</v>
      </c>
      <c r="AB135" t="n">
        <v>1.246395178</v>
      </c>
      <c r="AD135" t="n">
        <v>0.083677275</v>
      </c>
      <c r="AE135" t="n">
        <v>2.239931727</v>
      </c>
      <c r="AF135" t="n">
        <v>1.892977664</v>
      </c>
      <c r="AG135" t="n">
        <v>-0.063224119</v>
      </c>
      <c r="AI135" t="n">
        <v>2.158764803</v>
      </c>
      <c r="AJ135" t="n">
        <v>-0.671178065</v>
      </c>
      <c r="AK135" t="n">
        <v>-1.813417161</v>
      </c>
      <c r="AM135" t="n">
        <v>0.298899406</v>
      </c>
      <c r="AO135" t="n">
        <v>-0.342024614</v>
      </c>
      <c r="AS135" t="n">
        <v>3.796627783</v>
      </c>
      <c r="AU135" t="n">
        <v>-0.118847117</v>
      </c>
      <c r="AV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Q136" t="n">
        <v>0.580015819</v>
      </c>
      <c r="T136" t="n">
        <v>-2.717548424</v>
      </c>
      <c r="U136" t="n">
        <v>-0.172317818</v>
      </c>
      <c r="V136" t="n">
        <v>1.150905</v>
      </c>
      <c r="W136" t="n">
        <v>-1.14533871</v>
      </c>
      <c r="X136" t="n">
        <v>3.933985799</v>
      </c>
      <c r="AA136" t="n">
        <v>0.794660096</v>
      </c>
      <c r="AB136" t="n">
        <v>1.053250514</v>
      </c>
      <c r="AD136" t="n">
        <v>0.852303473</v>
      </c>
      <c r="AE136" t="n">
        <v>2.125487999</v>
      </c>
      <c r="AF136" t="n">
        <v>-2.765761869</v>
      </c>
      <c r="AG136" t="n">
        <v>-0.250089534</v>
      </c>
      <c r="AI136" t="n">
        <v>2.895866373</v>
      </c>
      <c r="AJ136" t="n">
        <v>2.32044404</v>
      </c>
      <c r="AK136" t="n">
        <v>2.174091178</v>
      </c>
      <c r="AM136" t="n">
        <v>1.154811758</v>
      </c>
      <c r="AO136" t="n">
        <v>1.670542679</v>
      </c>
      <c r="AS136" t="n">
        <v>-1.956995266</v>
      </c>
      <c r="AU136" t="n">
        <v>1.864925605</v>
      </c>
      <c r="AV136" t="n">
        <v>0.22477213</v>
      </c>
    </row>
    <row r="137">
      <c r="A137" t="inlineStr">
        <is>
          <t>1981-Q1</t>
        </is>
      </c>
      <c r="B137" s="87" t="n">
        <v>29677</v>
      </c>
      <c r="D137" t="n">
        <v>0.390028828</v>
      </c>
      <c r="E137" t="n">
        <v>-0.692629498</v>
      </c>
      <c r="F137" t="n">
        <v>0.022401138</v>
      </c>
      <c r="H137" t="n">
        <v>2.20395557</v>
      </c>
      <c r="I137" t="n">
        <v>-0.039375679</v>
      </c>
      <c r="M137" t="n">
        <v>1.189866492</v>
      </c>
      <c r="N137" t="n">
        <v>0.156386759</v>
      </c>
      <c r="Q137" t="n">
        <v>-0.566186107</v>
      </c>
      <c r="T137" t="n">
        <v>-0.188211986</v>
      </c>
      <c r="U137" t="n">
        <v>0.32138214</v>
      </c>
      <c r="V137" t="n">
        <v>1.149199</v>
      </c>
      <c r="W137" t="n">
        <v>-0.191894567</v>
      </c>
      <c r="X137" t="n">
        <v>-1.9655566</v>
      </c>
      <c r="AA137" t="n">
        <v>0.795555584</v>
      </c>
      <c r="AB137" t="n">
        <v>0.9449466399999999</v>
      </c>
      <c r="AD137" t="n">
        <v>-0.570495427</v>
      </c>
      <c r="AE137" t="n">
        <v>0.613078575</v>
      </c>
      <c r="AF137" t="n">
        <v>4.115111914</v>
      </c>
      <c r="AG137" t="n">
        <v>-0.2974888</v>
      </c>
      <c r="AI137" t="n">
        <v>2.232972009</v>
      </c>
      <c r="AJ137" t="n">
        <v>-0.963370163</v>
      </c>
      <c r="AK137" t="n">
        <v>1.748034428</v>
      </c>
      <c r="AM137" t="n">
        <v>1.039540799</v>
      </c>
      <c r="AO137" t="n">
        <v>0.447068635</v>
      </c>
      <c r="AS137" t="n">
        <v>0.614161716</v>
      </c>
      <c r="AU137" t="n">
        <v>1.959429461</v>
      </c>
      <c r="AV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Q138" t="n">
        <v>-0.110718617</v>
      </c>
      <c r="T138" t="n">
        <v>1.171099643</v>
      </c>
      <c r="U138" t="n">
        <v>0.676552916</v>
      </c>
      <c r="V138" t="n">
        <v>-0.026427</v>
      </c>
      <c r="W138" t="n">
        <v>0.168079421</v>
      </c>
      <c r="X138" t="n">
        <v>-2.213851554</v>
      </c>
      <c r="AA138" t="n">
        <v>0.821783501</v>
      </c>
      <c r="AB138" t="n">
        <v>0.93939076</v>
      </c>
      <c r="AD138" t="n">
        <v>0.194997387</v>
      </c>
      <c r="AE138" t="n">
        <v>1.223762939</v>
      </c>
      <c r="AF138" t="n">
        <v>2.415542796</v>
      </c>
      <c r="AG138" t="n">
        <v>-0.203181542</v>
      </c>
      <c r="AI138" t="n">
        <v>2.591142862</v>
      </c>
      <c r="AJ138" t="n">
        <v>-0.025646662</v>
      </c>
      <c r="AK138" t="n">
        <v>0.4174666</v>
      </c>
      <c r="AM138" t="n">
        <v>0.212132243</v>
      </c>
      <c r="AO138" t="n">
        <v>0.08063390300000001</v>
      </c>
      <c r="AS138" t="n">
        <v>-0.062042613</v>
      </c>
      <c r="AU138" t="n">
        <v>-0.741063613</v>
      </c>
      <c r="AV138" t="n">
        <v>2.183854895</v>
      </c>
    </row>
    <row r="139">
      <c r="A139" t="inlineStr">
        <is>
          <t>1981-Q3</t>
        </is>
      </c>
      <c r="B139" s="87" t="n">
        <v>29860</v>
      </c>
      <c r="D139" t="n">
        <v>2.023388498</v>
      </c>
      <c r="E139" t="n">
        <v>-0.069449232</v>
      </c>
      <c r="F139" t="n">
        <v>-0.428832296</v>
      </c>
      <c r="H139" t="n">
        <v>-0.897752489</v>
      </c>
      <c r="I139" t="n">
        <v>0.347312782</v>
      </c>
      <c r="M139" t="n">
        <v>0.263433962</v>
      </c>
      <c r="N139" t="n">
        <v>0.612585924</v>
      </c>
      <c r="Q139" t="n">
        <v>0.444684894</v>
      </c>
      <c r="T139" t="n">
        <v>0.495389445</v>
      </c>
      <c r="U139" t="n">
        <v>0.680368392</v>
      </c>
      <c r="V139" t="n">
        <v>0.615333</v>
      </c>
      <c r="W139" t="n">
        <v>1.079617245</v>
      </c>
      <c r="X139" t="n">
        <v>2.852290237</v>
      </c>
      <c r="AA139" t="n">
        <v>0.886525853</v>
      </c>
      <c r="AB139" t="n">
        <v>1.036372629</v>
      </c>
      <c r="AD139" t="n">
        <v>0.046310302</v>
      </c>
      <c r="AE139" t="n">
        <v>-0.222416724</v>
      </c>
      <c r="AF139" t="n">
        <v>4.162809598</v>
      </c>
      <c r="AG139" t="n">
        <v>0.023791301</v>
      </c>
      <c r="AI139" t="n">
        <v>0.522758414</v>
      </c>
      <c r="AJ139" t="n">
        <v>-0.914354821</v>
      </c>
      <c r="AK139" t="n">
        <v>-1.254762125</v>
      </c>
      <c r="AM139" t="n">
        <v>0.6439144570000001</v>
      </c>
      <c r="AO139" t="n">
        <v>-0.171095832</v>
      </c>
      <c r="AS139" t="n">
        <v>0.767286781</v>
      </c>
      <c r="AU139" t="n">
        <v>1.19752521</v>
      </c>
      <c r="AV139" t="n">
        <v>1.455404361</v>
      </c>
    </row>
    <row r="140">
      <c r="A140" t="inlineStr">
        <is>
          <t>1981-Q4</t>
        </is>
      </c>
      <c r="B140" s="87" t="n">
        <v>29952</v>
      </c>
      <c r="D140" t="n">
        <v>-0.409454906</v>
      </c>
      <c r="E140" t="n">
        <v>-0.631448105</v>
      </c>
      <c r="F140" t="n">
        <v>0.267780554</v>
      </c>
      <c r="H140" t="n">
        <v>-0.457822775</v>
      </c>
      <c r="I140" t="n">
        <v>-0.375179808</v>
      </c>
      <c r="M140" t="n">
        <v>-0.078831451</v>
      </c>
      <c r="N140" t="n">
        <v>0.186660427</v>
      </c>
      <c r="Q140" t="n">
        <v>-0.099841043</v>
      </c>
      <c r="T140" t="n">
        <v>0.395334082</v>
      </c>
      <c r="U140" t="n">
        <v>0.557860544</v>
      </c>
      <c r="V140" t="n">
        <v>-0.270887</v>
      </c>
      <c r="W140" t="n">
        <v>0.060510277</v>
      </c>
      <c r="X140" t="n">
        <v>4.002315248</v>
      </c>
      <c r="AA140" t="n">
        <v>0.884651392</v>
      </c>
      <c r="AB140" t="n">
        <v>1.048177078</v>
      </c>
      <c r="AD140" t="n">
        <v>0.811647168</v>
      </c>
      <c r="AE140" t="n">
        <v>0.729939813</v>
      </c>
      <c r="AF140" t="n">
        <v>1.568787799</v>
      </c>
      <c r="AG140" t="n">
        <v>0.271147484</v>
      </c>
      <c r="AI140" t="n">
        <v>1.791577285</v>
      </c>
      <c r="AJ140" t="n">
        <v>0.07951918600000001</v>
      </c>
      <c r="AK140" t="n">
        <v>-0.025550398</v>
      </c>
      <c r="AM140" t="n">
        <v>-0.064521416</v>
      </c>
      <c r="AO140" t="n">
        <v>0.486619108</v>
      </c>
      <c r="AS140" t="n">
        <v>-1.122507363</v>
      </c>
      <c r="AU140" t="n">
        <v>-1.089564087</v>
      </c>
      <c r="AV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Q141" t="n">
        <v>0.411598396</v>
      </c>
      <c r="T141" t="n">
        <v>0.622265435</v>
      </c>
      <c r="U141" t="n">
        <v>0.85003825</v>
      </c>
      <c r="V141" t="n">
        <v>-0.360594</v>
      </c>
      <c r="W141" t="n">
        <v>0.015516274</v>
      </c>
      <c r="X141" t="n">
        <v>-1.929876252</v>
      </c>
      <c r="AA141" t="n">
        <v>0.718008324</v>
      </c>
      <c r="AB141" t="n">
        <v>0.79154092</v>
      </c>
      <c r="AD141" t="n">
        <v>-0.039523113</v>
      </c>
      <c r="AE141" t="n">
        <v>1.532500574</v>
      </c>
      <c r="AF141" t="n">
        <v>0.678619182</v>
      </c>
      <c r="AG141" t="n">
        <v>0.406863649</v>
      </c>
      <c r="AI141" t="n">
        <v>-1.92678781</v>
      </c>
      <c r="AJ141" t="n">
        <v>0.93868953</v>
      </c>
      <c r="AK141" t="n">
        <v>0.666751856</v>
      </c>
      <c r="AM141" t="n">
        <v>-0.304462546</v>
      </c>
      <c r="AO141" t="n">
        <v>2.426235309</v>
      </c>
      <c r="AS141" t="n">
        <v>0.284035978</v>
      </c>
      <c r="AU141" t="n">
        <v>-1.553544479</v>
      </c>
      <c r="AV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Q142" t="n">
        <v>0.379789937</v>
      </c>
      <c r="T142" t="n">
        <v>0.985602474</v>
      </c>
      <c r="U142" t="n">
        <v>0.7003919</v>
      </c>
      <c r="V142" t="n">
        <v>0.294682</v>
      </c>
      <c r="W142" t="n">
        <v>1.014766019</v>
      </c>
      <c r="X142" t="n">
        <v>-4.11262998</v>
      </c>
      <c r="AA142" t="n">
        <v>0.428377027</v>
      </c>
      <c r="AB142" t="n">
        <v>0.324272604</v>
      </c>
      <c r="AD142" t="n">
        <v>-0.284173742</v>
      </c>
      <c r="AE142" t="n">
        <v>0.686562871</v>
      </c>
      <c r="AF142" t="n">
        <v>2.348344979</v>
      </c>
      <c r="AG142" t="n">
        <v>0.416661926</v>
      </c>
      <c r="AI142" t="n">
        <v>0.152382125</v>
      </c>
      <c r="AJ142" t="n">
        <v>-2.432907407</v>
      </c>
      <c r="AK142" t="n">
        <v>0.010155062</v>
      </c>
      <c r="AM142" t="n">
        <v>0.249100689</v>
      </c>
      <c r="AO142" t="n">
        <v>-1.344646584</v>
      </c>
      <c r="AS142" t="n">
        <v>2.112290025</v>
      </c>
      <c r="AU142" t="n">
        <v>0.456198515</v>
      </c>
      <c r="AV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Q143" t="n">
        <v>0.67320739</v>
      </c>
      <c r="T143" t="n">
        <v>1.086020477</v>
      </c>
      <c r="U143" t="n">
        <v>-0.034364387</v>
      </c>
      <c r="V143" t="n">
        <v>-0.236846</v>
      </c>
      <c r="W143" t="n">
        <v>0.233914444</v>
      </c>
      <c r="X143" t="n">
        <v>-1.02351651</v>
      </c>
      <c r="AA143" t="n">
        <v>0.010146713</v>
      </c>
      <c r="AB143" t="n">
        <v>-0.367662187</v>
      </c>
      <c r="AD143" t="n">
        <v>-0.053487539</v>
      </c>
      <c r="AE143" t="n">
        <v>0.437004283</v>
      </c>
      <c r="AF143" t="n">
        <v>2.07400645</v>
      </c>
      <c r="AG143" t="n">
        <v>0.333060201</v>
      </c>
      <c r="AI143" t="n">
        <v>-0.719204541</v>
      </c>
      <c r="AJ143" t="n">
        <v>1.108880425</v>
      </c>
      <c r="AK143" t="n">
        <v>-0.029615924</v>
      </c>
      <c r="AM143" t="n">
        <v>-0.155374466</v>
      </c>
      <c r="AO143" t="n">
        <v>0.459236425</v>
      </c>
      <c r="AS143" t="n">
        <v>-1.241488584</v>
      </c>
      <c r="AU143" t="n">
        <v>-0.382299274</v>
      </c>
      <c r="AV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Q144" t="n">
        <v>0.352495983</v>
      </c>
      <c r="T144" t="n">
        <v>1.268398883</v>
      </c>
      <c r="U144" t="n">
        <v>0.611169498</v>
      </c>
      <c r="V144" t="n">
        <v>0.315193</v>
      </c>
      <c r="W144" t="n">
        <v>0.643924363</v>
      </c>
      <c r="X144" t="n">
        <v>2.824431508</v>
      </c>
      <c r="AA144" t="n">
        <v>-0.340809339</v>
      </c>
      <c r="AB144" t="n">
        <v>-0.961782849</v>
      </c>
      <c r="AD144" t="n">
        <v>-0.290768813</v>
      </c>
      <c r="AE144" t="n">
        <v>1.389602027</v>
      </c>
      <c r="AF144" t="n">
        <v>3.146901625</v>
      </c>
      <c r="AG144" t="n">
        <v>0.304403446</v>
      </c>
      <c r="AI144" t="n">
        <v>-2.194228615</v>
      </c>
      <c r="AJ144" t="n">
        <v>-2.100653207</v>
      </c>
      <c r="AK144" t="n">
        <v>0.321639572</v>
      </c>
      <c r="AM144" t="n">
        <v>0.199773173</v>
      </c>
      <c r="AO144" t="n">
        <v>0.810506112</v>
      </c>
      <c r="AS144" t="n">
        <v>1.948384164</v>
      </c>
      <c r="AU144" t="n">
        <v>0.039946274</v>
      </c>
      <c r="AV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Q145" t="n">
        <v>0.365463092</v>
      </c>
      <c r="T145" t="n">
        <v>0.116838809</v>
      </c>
      <c r="U145" t="n">
        <v>0.397448482</v>
      </c>
      <c r="V145" t="n">
        <v>0.946789</v>
      </c>
      <c r="W145" t="n">
        <v>1.775369674</v>
      </c>
      <c r="X145" t="n">
        <v>-1.198966939</v>
      </c>
      <c r="AA145" t="n">
        <v>-0.399075644</v>
      </c>
      <c r="AB145" t="n">
        <v>-1.086195675</v>
      </c>
      <c r="AD145" t="n">
        <v>0.279768455</v>
      </c>
      <c r="AE145" t="n">
        <v>0.06306144</v>
      </c>
      <c r="AF145" t="n">
        <v>4.430468416</v>
      </c>
      <c r="AG145" t="n">
        <v>0.500740065</v>
      </c>
      <c r="AI145" t="n">
        <v>-0.739376103</v>
      </c>
      <c r="AJ145" t="n">
        <v>0.832132838</v>
      </c>
      <c r="AK145" t="n">
        <v>2.163262781</v>
      </c>
      <c r="AM145" t="n">
        <v>0.795666278</v>
      </c>
      <c r="AO145" t="n">
        <v>0.922716297</v>
      </c>
      <c r="AS145" t="n">
        <v>-1.131415266</v>
      </c>
      <c r="AU145" t="n">
        <v>1.317847576</v>
      </c>
      <c r="AV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Q146" t="n">
        <v>0.617609594</v>
      </c>
      <c r="T146" t="n">
        <v>1.050322099</v>
      </c>
      <c r="U146" t="n">
        <v>0.007757079</v>
      </c>
      <c r="V146" t="n">
        <v>1.347421</v>
      </c>
      <c r="W146" t="n">
        <v>0.640533906</v>
      </c>
      <c r="X146" t="n">
        <v>-3.124675415</v>
      </c>
      <c r="AA146" t="n">
        <v>-0.160622964</v>
      </c>
      <c r="AB146" t="n">
        <v>-0.728979951</v>
      </c>
      <c r="AD146" t="n">
        <v>-0.120408691</v>
      </c>
      <c r="AE146" t="n">
        <v>0.751951743</v>
      </c>
      <c r="AF146" t="n">
        <v>3.087699961</v>
      </c>
      <c r="AG146" t="n">
        <v>0.904903114</v>
      </c>
      <c r="AI146" t="n">
        <v>-2.01071468</v>
      </c>
      <c r="AJ146" t="n">
        <v>2.716420716</v>
      </c>
      <c r="AK146" t="n">
        <v>1.10717766</v>
      </c>
      <c r="AM146" t="n">
        <v>1.093977118</v>
      </c>
      <c r="AO146" t="n">
        <v>-0.894686478</v>
      </c>
      <c r="AS146" t="n">
        <v>0.78839975</v>
      </c>
      <c r="AU146" t="n">
        <v>2.275612439</v>
      </c>
      <c r="AV146" t="n">
        <v>0.415254266</v>
      </c>
    </row>
    <row r="147">
      <c r="A147" t="inlineStr">
        <is>
          <t>1983-Q3</t>
        </is>
      </c>
      <c r="B147" s="87" t="n">
        <v>30590</v>
      </c>
      <c r="D147" t="n">
        <v>2.800080289</v>
      </c>
      <c r="E147" t="n">
        <v>0.838428419</v>
      </c>
      <c r="F147" t="n">
        <v>0.834639932</v>
      </c>
      <c r="H147" t="n">
        <v>1.118398007</v>
      </c>
      <c r="I147" t="n">
        <v>0.517677324</v>
      </c>
      <c r="M147" t="n">
        <v>-0.208367803</v>
      </c>
      <c r="N147" t="n">
        <v>-1.290314265</v>
      </c>
      <c r="Q147" t="n">
        <v>0.147060704</v>
      </c>
      <c r="T147" t="n">
        <v>0.919295976</v>
      </c>
      <c r="U147" t="n">
        <v>0.148000182</v>
      </c>
      <c r="V147" t="n">
        <v>1.377124</v>
      </c>
      <c r="W147" t="n">
        <v>1.040435992</v>
      </c>
      <c r="X147" t="n">
        <v>2.355211665</v>
      </c>
      <c r="AA147" t="n">
        <v>0.365866648</v>
      </c>
      <c r="AB147" t="n">
        <v>0.095576801</v>
      </c>
      <c r="AD147" t="n">
        <v>1.862228848</v>
      </c>
      <c r="AE147" t="n">
        <v>1.496253621</v>
      </c>
      <c r="AF147" t="n">
        <v>3.713597355</v>
      </c>
      <c r="AG147" t="n">
        <v>1.530275988</v>
      </c>
      <c r="AI147" t="n">
        <v>0.830142741</v>
      </c>
      <c r="AJ147" t="n">
        <v>1.47510981</v>
      </c>
      <c r="AK147" t="n">
        <v>1.387467056</v>
      </c>
      <c r="AM147" t="n">
        <v>1.320920288</v>
      </c>
      <c r="AO147" t="n">
        <v>-1.500339839</v>
      </c>
      <c r="AS147" t="n">
        <v>1.127330251</v>
      </c>
      <c r="AU147" t="n">
        <v>1.999064294</v>
      </c>
      <c r="AV147" t="n">
        <v>1.152778503</v>
      </c>
    </row>
    <row r="148">
      <c r="A148" t="inlineStr">
        <is>
          <t>1983-Q4</t>
        </is>
      </c>
      <c r="B148" s="87" t="n">
        <v>30682</v>
      </c>
      <c r="D148" t="n">
        <v>1.664551401</v>
      </c>
      <c r="E148" t="n">
        <v>1.013589137</v>
      </c>
      <c r="F148" t="n">
        <v>1.11730004</v>
      </c>
      <c r="H148" t="n">
        <v>1.260197667</v>
      </c>
      <c r="I148" t="n">
        <v>0.437203703</v>
      </c>
      <c r="M148" t="n">
        <v>1.383273921</v>
      </c>
      <c r="N148" t="n">
        <v>2.339343054</v>
      </c>
      <c r="Q148" t="n">
        <v>0.646116914</v>
      </c>
      <c r="T148" t="n">
        <v>-0.242607342</v>
      </c>
      <c r="U148" t="n">
        <v>0.592674864</v>
      </c>
      <c r="V148" t="n">
        <v>1.544837</v>
      </c>
      <c r="W148" t="n">
        <v>0.737779119</v>
      </c>
      <c r="X148" t="n">
        <v>3.310113654</v>
      </c>
      <c r="AA148" t="n">
        <v>0.9494425949999999</v>
      </c>
      <c r="AB148" t="n">
        <v>0.9919697119999999</v>
      </c>
      <c r="AD148" t="n">
        <v>2.216799557</v>
      </c>
      <c r="AE148" t="n">
        <v>0.83312633</v>
      </c>
      <c r="AF148" t="n">
        <v>0.715888069</v>
      </c>
      <c r="AG148" t="n">
        <v>2.017614358</v>
      </c>
      <c r="AI148" t="n">
        <v>1.150445915</v>
      </c>
      <c r="AJ148" t="n">
        <v>-0.701583523</v>
      </c>
      <c r="AK148" t="n">
        <v>0.0375956</v>
      </c>
      <c r="AM148" t="n">
        <v>1.430066668</v>
      </c>
      <c r="AO148" t="n">
        <v>-0.652490849</v>
      </c>
      <c r="AS148" t="n">
        <v>2.014711165</v>
      </c>
      <c r="AU148" t="n">
        <v>2.086217479</v>
      </c>
      <c r="AV148" t="n">
        <v>2.536371796</v>
      </c>
    </row>
    <row r="149">
      <c r="A149" t="inlineStr">
        <is>
          <t>1984-Q1</t>
        </is>
      </c>
      <c r="B149" s="87" t="n">
        <v>30773</v>
      </c>
      <c r="D149" t="n">
        <v>2.503361022</v>
      </c>
      <c r="E149" t="n">
        <v>-1.317603741</v>
      </c>
      <c r="F149" t="n">
        <v>0.404556436</v>
      </c>
      <c r="H149" t="n">
        <v>1.720298067</v>
      </c>
      <c r="I149" t="n">
        <v>1.010595472</v>
      </c>
      <c r="M149" t="n">
        <v>1.322572601</v>
      </c>
      <c r="N149" t="n">
        <v>1.298158981</v>
      </c>
      <c r="Q149" t="n">
        <v>0.827201218</v>
      </c>
      <c r="T149" t="n">
        <v>1.578488505</v>
      </c>
      <c r="U149" t="n">
        <v>0.391554531</v>
      </c>
      <c r="V149" t="n">
        <v>1.332836</v>
      </c>
      <c r="W149" t="n">
        <v>0.6316554089999999</v>
      </c>
      <c r="X149" t="n">
        <v>-0.643852978</v>
      </c>
      <c r="AA149" t="n">
        <v>1.323472594</v>
      </c>
      <c r="AB149" t="n">
        <v>1.488003664</v>
      </c>
      <c r="AD149" t="n">
        <v>-0.196112871</v>
      </c>
      <c r="AE149" t="n">
        <v>1.15167553</v>
      </c>
      <c r="AF149" t="n">
        <v>4.381299676</v>
      </c>
      <c r="AG149" t="n">
        <v>2.008825017</v>
      </c>
      <c r="AI149" t="n">
        <v>2.760114021</v>
      </c>
      <c r="AJ149" t="n">
        <v>1.676444412</v>
      </c>
      <c r="AK149" t="n">
        <v>2.531112089</v>
      </c>
      <c r="AM149" t="n">
        <v>1.426693482</v>
      </c>
      <c r="AO149" t="n">
        <v>-0.770611829</v>
      </c>
      <c r="AS149" t="n">
        <v>2.256875815</v>
      </c>
      <c r="AU149" t="n">
        <v>1.954770289</v>
      </c>
      <c r="AV149" t="n">
        <v>1.696766485</v>
      </c>
    </row>
    <row r="150">
      <c r="A150" t="inlineStr">
        <is>
          <t>1984-Q2</t>
        </is>
      </c>
      <c r="B150" s="87" t="n">
        <v>30864</v>
      </c>
      <c r="D150" t="n">
        <v>1.142944135</v>
      </c>
      <c r="E150" t="n">
        <v>-0.705957587</v>
      </c>
      <c r="F150" t="n">
        <v>0.152870268</v>
      </c>
      <c r="H150" t="n">
        <v>1.955921331</v>
      </c>
      <c r="I150" t="n">
        <v>0.520184155</v>
      </c>
      <c r="M150" t="n">
        <v>-1.575206402</v>
      </c>
      <c r="N150" t="n">
        <v>1.267804499</v>
      </c>
      <c r="Q150" t="n">
        <v>-0.308284679</v>
      </c>
      <c r="T150" t="n">
        <v>0.135519718</v>
      </c>
      <c r="U150" t="n">
        <v>0.477196894</v>
      </c>
      <c r="V150" t="n">
        <v>0.888327</v>
      </c>
      <c r="W150" t="n">
        <v>-0.991207867</v>
      </c>
      <c r="X150" t="n">
        <v>-2.588699527</v>
      </c>
      <c r="AA150" t="n">
        <v>1.460845341</v>
      </c>
      <c r="AB150" t="n">
        <v>1.535971926</v>
      </c>
      <c r="AD150" t="n">
        <v>0.321964637</v>
      </c>
      <c r="AE150" t="n">
        <v>1.514425641</v>
      </c>
      <c r="AF150" t="n">
        <v>2.506439485</v>
      </c>
      <c r="AG150" t="n">
        <v>1.562180116</v>
      </c>
      <c r="AI150" t="n">
        <v>-1.471891339</v>
      </c>
      <c r="AJ150" t="n">
        <v>-0.058949625</v>
      </c>
      <c r="AK150" t="n">
        <v>0.623898752</v>
      </c>
      <c r="AM150" t="n">
        <v>0.66935858</v>
      </c>
      <c r="AO150" t="n">
        <v>-1.034333756</v>
      </c>
      <c r="AS150" t="n">
        <v>-1.513563096</v>
      </c>
      <c r="AU150" t="n">
        <v>1.727792663</v>
      </c>
      <c r="AV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Q151" t="n">
        <v>0.870915218</v>
      </c>
      <c r="T151" t="n">
        <v>0.893219651</v>
      </c>
      <c r="U151" t="n">
        <v>0.651169982</v>
      </c>
      <c r="V151" t="n">
        <v>1.152525</v>
      </c>
      <c r="W151" t="n">
        <v>0.632847173</v>
      </c>
      <c r="X151" t="n">
        <v>3.039879871</v>
      </c>
      <c r="AA151" t="n">
        <v>1.409504901</v>
      </c>
      <c r="AB151" t="n">
        <v>1.224880414</v>
      </c>
      <c r="AD151" t="n">
        <v>1.177467534</v>
      </c>
      <c r="AE151" t="n">
        <v>1.222067612</v>
      </c>
      <c r="AF151" t="n">
        <v>1.363243714</v>
      </c>
      <c r="AG151" t="n">
        <v>0.740315982</v>
      </c>
      <c r="AI151" t="n">
        <v>2.421554744</v>
      </c>
      <c r="AJ151" t="n">
        <v>1.093892434</v>
      </c>
      <c r="AK151" t="n">
        <v>2.910213979</v>
      </c>
      <c r="AM151" t="n">
        <v>1.225636396</v>
      </c>
      <c r="AO151" t="n">
        <v>2.404084272</v>
      </c>
      <c r="AS151" t="n">
        <v>1.322052833</v>
      </c>
      <c r="AU151" t="n">
        <v>0.964063628</v>
      </c>
      <c r="AV151" t="n">
        <v>-1.657470107</v>
      </c>
    </row>
    <row r="152">
      <c r="A152" t="inlineStr">
        <is>
          <t>1984-Q4</t>
        </is>
      </c>
      <c r="B152" s="87" t="n">
        <v>31048</v>
      </c>
      <c r="D152" t="n">
        <v>0.65922339</v>
      </c>
      <c r="E152" t="n">
        <v>0.95028883</v>
      </c>
      <c r="F152" t="n">
        <v>0.644336748</v>
      </c>
      <c r="H152" t="n">
        <v>1.584483871</v>
      </c>
      <c r="I152" t="n">
        <v>0.845069716</v>
      </c>
      <c r="M152" t="n">
        <v>0.841814285</v>
      </c>
      <c r="N152" t="n">
        <v>0.465100265</v>
      </c>
      <c r="Q152" t="n">
        <v>0.127632419</v>
      </c>
      <c r="T152" t="n">
        <v>1.180415828</v>
      </c>
      <c r="U152" t="n">
        <v>-0.079062506</v>
      </c>
      <c r="V152" t="n">
        <v>0.692971</v>
      </c>
      <c r="W152" t="n">
        <v>1.848885105</v>
      </c>
      <c r="X152" t="n">
        <v>1.199735651</v>
      </c>
      <c r="AA152" t="n">
        <v>1.201564066</v>
      </c>
      <c r="AB152" t="n">
        <v>0.819432844</v>
      </c>
      <c r="AD152" t="n">
        <v>0.01604437</v>
      </c>
      <c r="AE152" t="n">
        <v>0.172601927</v>
      </c>
      <c r="AF152" t="n">
        <v>0.486023902</v>
      </c>
      <c r="AG152" t="n">
        <v>0.038899643</v>
      </c>
      <c r="AI152" t="n">
        <v>-0.881230455</v>
      </c>
      <c r="AJ152" t="n">
        <v>0.183878781</v>
      </c>
      <c r="AK152" t="n">
        <v>2.087373363</v>
      </c>
      <c r="AM152" t="n">
        <v>0.615586558</v>
      </c>
      <c r="AO152" t="n">
        <v>-0.2316478</v>
      </c>
      <c r="AS152" t="n">
        <v>0.9298325079999999</v>
      </c>
      <c r="AU152" t="n">
        <v>0.820857146</v>
      </c>
      <c r="AV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Q153" t="n">
        <v>1.115984954</v>
      </c>
      <c r="T153" t="n">
        <v>0.689380883</v>
      </c>
      <c r="U153" t="n">
        <v>0.287853754</v>
      </c>
      <c r="V153" t="n">
        <v>0.951438</v>
      </c>
      <c r="W153" t="n">
        <v>0.6467840459999999</v>
      </c>
      <c r="X153" t="n">
        <v>-2.684147955</v>
      </c>
      <c r="AA153" t="n">
        <v>0.866556749</v>
      </c>
      <c r="AB153" t="n">
        <v>0.5889643919999999</v>
      </c>
      <c r="AD153" t="n">
        <v>0.571727581</v>
      </c>
      <c r="AE153" t="n">
        <v>2.450569896</v>
      </c>
      <c r="AF153" t="n">
        <v>2.810896317</v>
      </c>
      <c r="AG153" t="n">
        <v>-0.025472148</v>
      </c>
      <c r="AI153" t="n">
        <v>1.829112115</v>
      </c>
      <c r="AJ153" t="n">
        <v>0.368847396</v>
      </c>
      <c r="AK153" t="n">
        <v>1.646453364</v>
      </c>
      <c r="AM153" t="n">
        <v>0.968796472</v>
      </c>
      <c r="AO153" t="n">
        <v>1.088803087</v>
      </c>
      <c r="AS153" t="n">
        <v>0.138870664</v>
      </c>
      <c r="AU153" t="n">
        <v>0.969072301</v>
      </c>
      <c r="AV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Q154" t="n">
        <v>-0.093929207</v>
      </c>
      <c r="T154" t="n">
        <v>1.127935045</v>
      </c>
      <c r="U154" t="n">
        <v>0.877957103</v>
      </c>
      <c r="V154" t="n">
        <v>1.185761</v>
      </c>
      <c r="W154" t="n">
        <v>2.022236956</v>
      </c>
      <c r="X154" t="n">
        <v>0.154857359</v>
      </c>
      <c r="AA154" t="n">
        <v>0.461224127</v>
      </c>
      <c r="AB154" t="n">
        <v>0.564402476</v>
      </c>
      <c r="AD154" t="n">
        <v>1.320883135</v>
      </c>
      <c r="AE154" t="n">
        <v>2.024950032</v>
      </c>
      <c r="AF154" t="n">
        <v>2.408892709</v>
      </c>
      <c r="AG154" t="n">
        <v>0.546865216</v>
      </c>
      <c r="AI154" t="n">
        <v>-0.08664116600000001</v>
      </c>
      <c r="AJ154" t="n">
        <v>1.972851315</v>
      </c>
      <c r="AK154" t="n">
        <v>-1.38466224</v>
      </c>
      <c r="AM154" t="n">
        <v>1.075648992</v>
      </c>
      <c r="AO154" t="n">
        <v>0.973922931</v>
      </c>
      <c r="AS154" t="n">
        <v>1.056977679</v>
      </c>
      <c r="AU154" t="n">
        <v>0.880466353</v>
      </c>
      <c r="AV154" t="n">
        <v>-0.727141963</v>
      </c>
    </row>
    <row r="155">
      <c r="A155" t="inlineStr">
        <is>
          <t>1985-Q3</t>
        </is>
      </c>
      <c r="B155" s="87" t="n">
        <v>31321</v>
      </c>
      <c r="D155" t="n">
        <v>1.331002293</v>
      </c>
      <c r="E155" t="n">
        <v>1.484461339</v>
      </c>
      <c r="F155" t="n">
        <v>0.677149728</v>
      </c>
      <c r="H155" t="n">
        <v>1.268698772</v>
      </c>
      <c r="I155" t="n">
        <v>0.173055277</v>
      </c>
      <c r="M155" t="n">
        <v>1.302408149</v>
      </c>
      <c r="N155" t="n">
        <v>2.179652219</v>
      </c>
      <c r="Q155" t="n">
        <v>1.036666832</v>
      </c>
      <c r="T155" t="n">
        <v>0.499088621</v>
      </c>
      <c r="U155" t="n">
        <v>0.528229488</v>
      </c>
      <c r="V155" t="n">
        <v>1.205401</v>
      </c>
      <c r="W155" t="n">
        <v>0.072487315</v>
      </c>
      <c r="X155" t="n">
        <v>4.801745465</v>
      </c>
      <c r="AA155" t="n">
        <v>-0.025823585</v>
      </c>
      <c r="AB155" t="n">
        <v>0.742035808</v>
      </c>
      <c r="AD155" t="n">
        <v>0.801015883</v>
      </c>
      <c r="AE155" t="n">
        <v>1.308559679</v>
      </c>
      <c r="AF155" t="n">
        <v>1.137674121</v>
      </c>
      <c r="AG155" t="n">
        <v>1.739756298</v>
      </c>
      <c r="AI155" t="n">
        <v>0.625404543</v>
      </c>
      <c r="AJ155" t="n">
        <v>-0.974238714</v>
      </c>
      <c r="AK155" t="n">
        <v>2.930508818</v>
      </c>
      <c r="AM155" t="n">
        <v>1.146421162</v>
      </c>
      <c r="AO155" t="n">
        <v>-0.373988317</v>
      </c>
      <c r="AS155" t="n">
        <v>1.103460017</v>
      </c>
      <c r="AU155" t="n">
        <v>1.527121263</v>
      </c>
      <c r="AV155" t="n">
        <v>-0.263979032</v>
      </c>
    </row>
    <row r="156">
      <c r="A156" t="inlineStr">
        <is>
          <t>1985-Q4</t>
        </is>
      </c>
      <c r="B156" s="87" t="n">
        <v>31413</v>
      </c>
      <c r="D156" t="n">
        <v>-0.288095316</v>
      </c>
      <c r="E156" t="n">
        <v>-0.416358753</v>
      </c>
      <c r="F156" t="n">
        <v>0.517968412</v>
      </c>
      <c r="H156" t="n">
        <v>1.534781494</v>
      </c>
      <c r="I156" t="n">
        <v>0.863876138</v>
      </c>
      <c r="M156" t="n">
        <v>0.599977251</v>
      </c>
      <c r="N156" t="n">
        <v>1.901622049</v>
      </c>
      <c r="Q156" t="n">
        <v>1.148468301</v>
      </c>
      <c r="T156" t="n">
        <v>0.168415598</v>
      </c>
      <c r="U156" t="n">
        <v>0.461308309</v>
      </c>
      <c r="V156" t="n">
        <v>0.786168</v>
      </c>
      <c r="W156" t="n">
        <v>0.149865121</v>
      </c>
      <c r="X156" t="n">
        <v>3.88341557</v>
      </c>
      <c r="AA156" t="n">
        <v>-0.411335987</v>
      </c>
      <c r="AB156" t="n">
        <v>1.061648587</v>
      </c>
      <c r="AD156" t="n">
        <v>0.666795973</v>
      </c>
      <c r="AE156" t="n">
        <v>1.328426309</v>
      </c>
      <c r="AF156" t="n">
        <v>3.048656647</v>
      </c>
      <c r="AG156" t="n">
        <v>2.866838608</v>
      </c>
      <c r="AI156" t="n">
        <v>-0.271496552</v>
      </c>
      <c r="AJ156" t="n">
        <v>2.446499155</v>
      </c>
      <c r="AK156" t="n">
        <v>0.972388581</v>
      </c>
      <c r="AM156" t="n">
        <v>0.821710495</v>
      </c>
      <c r="AO156" t="n">
        <v>1.587131687</v>
      </c>
      <c r="AS156" t="n">
        <v>-1.004893611</v>
      </c>
      <c r="AU156" t="n">
        <v>0.743327344</v>
      </c>
      <c r="AV156" t="n">
        <v>1.069340316</v>
      </c>
    </row>
    <row r="157">
      <c r="A157" t="inlineStr">
        <is>
          <t>1986-Q1</t>
        </is>
      </c>
      <c r="B157" s="87" t="n">
        <v>31503</v>
      </c>
      <c r="D157" t="n">
        <v>0.661649881</v>
      </c>
      <c r="E157" t="n">
        <v>0.89439608</v>
      </c>
      <c r="F157" t="n">
        <v>0.547889625</v>
      </c>
      <c r="H157" t="n">
        <v>-0.030061903</v>
      </c>
      <c r="I157" t="n">
        <v>0.397947567</v>
      </c>
      <c r="M157" t="n">
        <v>-0.57204937</v>
      </c>
      <c r="N157" t="n">
        <v>0.8650818139999999</v>
      </c>
      <c r="Q157" t="n">
        <v>0.28204135</v>
      </c>
      <c r="T157" t="n">
        <v>0.060355234</v>
      </c>
      <c r="U157" t="n">
        <v>0.342614491</v>
      </c>
      <c r="V157" t="n">
        <v>0.55664</v>
      </c>
      <c r="W157" t="n">
        <v>0.9006954740000001</v>
      </c>
      <c r="X157" t="n">
        <v>-6.376633213</v>
      </c>
      <c r="AA157" t="n">
        <v>-0.476883795</v>
      </c>
      <c r="AB157" t="n">
        <v>1.461927375</v>
      </c>
      <c r="AD157" t="n">
        <v>0.6231799</v>
      </c>
      <c r="AE157" t="n">
        <v>0.397646389</v>
      </c>
      <c r="AF157" t="n">
        <v>1.925429551</v>
      </c>
      <c r="AG157" t="n">
        <v>3.202975963</v>
      </c>
      <c r="AI157" t="n">
        <v>-1.92823854</v>
      </c>
      <c r="AJ157" t="n">
        <v>0.176768535</v>
      </c>
      <c r="AK157" t="n">
        <v>1.755599614</v>
      </c>
      <c r="AM157" t="n">
        <v>0.425680896</v>
      </c>
      <c r="AO157" t="n">
        <v>1.321063257</v>
      </c>
      <c r="AS157" t="n">
        <v>2.023470286</v>
      </c>
      <c r="AU157" t="n">
        <v>0.933524708</v>
      </c>
      <c r="AV157" t="n">
        <v>-1.191395651</v>
      </c>
    </row>
    <row r="158">
      <c r="A158" t="inlineStr">
        <is>
          <t>1986-Q2</t>
        </is>
      </c>
      <c r="B158" s="87" t="n">
        <v>31594</v>
      </c>
      <c r="D158" t="n">
        <v>-0.184325321</v>
      </c>
      <c r="E158" t="n">
        <v>1.209921631</v>
      </c>
      <c r="F158" t="n">
        <v>0.203576123</v>
      </c>
      <c r="H158" t="n">
        <v>0.568484015</v>
      </c>
      <c r="I158" t="n">
        <v>0.709904749</v>
      </c>
      <c r="M158" t="n">
        <v>1.150684662</v>
      </c>
      <c r="N158" t="n">
        <v>-0.296741302</v>
      </c>
      <c r="Q158" t="n">
        <v>2.381555918</v>
      </c>
      <c r="T158" t="n">
        <v>0.43515726</v>
      </c>
      <c r="U158" t="n">
        <v>1.073602287</v>
      </c>
      <c r="V158" t="n">
        <v>0.483894</v>
      </c>
      <c r="W158" t="n">
        <v>0.509533898</v>
      </c>
      <c r="X158" t="n">
        <v>2.67650975</v>
      </c>
      <c r="AA158" t="n">
        <v>-0.220145043</v>
      </c>
      <c r="AB158" t="n">
        <v>1.905118594</v>
      </c>
      <c r="AD158" t="n">
        <v>0.646812678</v>
      </c>
      <c r="AE158" t="n">
        <v>-0.245688838</v>
      </c>
      <c r="AF158" t="n">
        <v>3.897172975</v>
      </c>
      <c r="AG158" t="n">
        <v>2.819251519</v>
      </c>
      <c r="AI158" t="n">
        <v>-0.373519773</v>
      </c>
      <c r="AJ158" t="n">
        <v>1.732328888</v>
      </c>
      <c r="AK158" t="n">
        <v>-1.368333259</v>
      </c>
      <c r="AM158" t="n">
        <v>0.627748372</v>
      </c>
      <c r="AO158" t="n">
        <v>1.128379966</v>
      </c>
      <c r="AS158" t="n">
        <v>0.500524353</v>
      </c>
      <c r="AU158" t="n">
        <v>0.450377363</v>
      </c>
      <c r="AV158" t="n">
        <v>0.690410026</v>
      </c>
    </row>
    <row r="159">
      <c r="A159" t="inlineStr">
        <is>
          <t>1986-Q3</t>
        </is>
      </c>
      <c r="B159" s="87" t="n">
        <v>31686</v>
      </c>
      <c r="D159" t="n">
        <v>0.285392455</v>
      </c>
      <c r="E159" t="n">
        <v>0.08147199199999999</v>
      </c>
      <c r="F159" t="n">
        <v>1.230936529</v>
      </c>
      <c r="H159" t="n">
        <v>0.126214599</v>
      </c>
      <c r="I159" t="n">
        <v>0.035565252</v>
      </c>
      <c r="M159" t="n">
        <v>0.738239227</v>
      </c>
      <c r="N159" t="n">
        <v>-0.039017767</v>
      </c>
      <c r="Q159" t="n">
        <v>-0.705039025</v>
      </c>
      <c r="T159" t="n">
        <v>4.358457381</v>
      </c>
      <c r="U159" t="n">
        <v>0.500384288</v>
      </c>
      <c r="V159" t="n">
        <v>0.7639590000000001</v>
      </c>
      <c r="W159" t="n">
        <v>0.456712443</v>
      </c>
      <c r="X159" t="n">
        <v>-1.460956352</v>
      </c>
      <c r="AA159" t="n">
        <v>0.349549576</v>
      </c>
      <c r="AB159" t="n">
        <v>2.438086319</v>
      </c>
      <c r="AD159" t="n">
        <v>0.998122617</v>
      </c>
      <c r="AE159" t="n">
        <v>0.585787749</v>
      </c>
      <c r="AF159" t="n">
        <v>4.317175112</v>
      </c>
      <c r="AG159" t="n">
        <v>1.88521542</v>
      </c>
      <c r="AI159" t="n">
        <v>-1.898208827</v>
      </c>
      <c r="AJ159" t="n">
        <v>0.253506563</v>
      </c>
      <c r="AK159" t="n">
        <v>2.633698263</v>
      </c>
      <c r="AM159" t="n">
        <v>0.686263384</v>
      </c>
      <c r="AO159" t="n">
        <v>0.5352335070000001</v>
      </c>
      <c r="AS159" t="n">
        <v>0.489035763</v>
      </c>
      <c r="AU159" t="n">
        <v>0.956992886</v>
      </c>
      <c r="AV159" t="n">
        <v>0.225035091</v>
      </c>
    </row>
    <row r="160">
      <c r="A160" t="inlineStr">
        <is>
          <t>1986-Q4</t>
        </is>
      </c>
      <c r="B160" s="87" t="n">
        <v>31778</v>
      </c>
      <c r="D160" t="n">
        <v>1.653481653</v>
      </c>
      <c r="E160" t="n">
        <v>0.074006433</v>
      </c>
      <c r="F160" t="n">
        <v>-1.156201418</v>
      </c>
      <c r="H160" t="n">
        <v>-0.722101968</v>
      </c>
      <c r="I160" t="n">
        <v>-0.077682127</v>
      </c>
      <c r="M160" t="n">
        <v>0.997108218</v>
      </c>
      <c r="N160" t="n">
        <v>0.367632584</v>
      </c>
      <c r="Q160" t="n">
        <v>0.638803135</v>
      </c>
      <c r="T160" t="n">
        <v>-1.874460476</v>
      </c>
      <c r="U160" t="n">
        <v>0.119053932</v>
      </c>
      <c r="V160" t="n">
        <v>0.615832</v>
      </c>
      <c r="W160" t="n">
        <v>1.561500019</v>
      </c>
      <c r="X160" t="n">
        <v>2.718685968</v>
      </c>
      <c r="AA160" t="n">
        <v>0.987010685</v>
      </c>
      <c r="AB160" t="n">
        <v>2.747322694</v>
      </c>
      <c r="AD160" t="n">
        <v>0.410590175</v>
      </c>
      <c r="AE160" t="n">
        <v>0.7887211079999999</v>
      </c>
      <c r="AF160" t="n">
        <v>1.559825819</v>
      </c>
      <c r="AG160" t="n">
        <v>0.897677378</v>
      </c>
      <c r="AI160" t="n">
        <v>-0.273023038</v>
      </c>
      <c r="AJ160" t="n">
        <v>-1.274309195</v>
      </c>
      <c r="AK160" t="n">
        <v>0.552502764</v>
      </c>
      <c r="AM160" t="n">
        <v>0.586648931</v>
      </c>
      <c r="AO160" t="n">
        <v>1.600706368</v>
      </c>
      <c r="AS160" t="n">
        <v>0.303682301</v>
      </c>
      <c r="AU160" t="n">
        <v>0.5369857179999999</v>
      </c>
      <c r="AV160" t="n">
        <v>0.419882585</v>
      </c>
    </row>
    <row r="161">
      <c r="A161" t="inlineStr">
        <is>
          <t>1987-Q1</t>
        </is>
      </c>
      <c r="B161" s="87" t="n">
        <v>31868</v>
      </c>
      <c r="D161" t="n">
        <v>0.9800953</v>
      </c>
      <c r="E161" t="n">
        <v>-0.8528270570000001</v>
      </c>
      <c r="F161" t="n">
        <v>0.706357821</v>
      </c>
      <c r="H161" t="n">
        <v>2.307193327</v>
      </c>
      <c r="I161" t="n">
        <v>0.029011769</v>
      </c>
      <c r="M161" t="n">
        <v>-2.509804892</v>
      </c>
      <c r="N161" t="n">
        <v>-1.569174494</v>
      </c>
      <c r="Q161" t="n">
        <v>2.048184242</v>
      </c>
      <c r="T161" t="n">
        <v>0.766620586</v>
      </c>
      <c r="U161" t="n">
        <v>0.116837049</v>
      </c>
      <c r="V161" t="n">
        <v>0.242443</v>
      </c>
      <c r="W161" t="n">
        <v>0.936613316</v>
      </c>
      <c r="X161" t="n">
        <v>-4.286339826</v>
      </c>
      <c r="AA161" t="n">
        <v>1.404725829</v>
      </c>
      <c r="AB161" t="n">
        <v>2.547970949</v>
      </c>
      <c r="AD161" t="n">
        <v>0.40962454</v>
      </c>
      <c r="AE161" t="n">
        <v>-0.07172563799999999</v>
      </c>
      <c r="AF161" t="n">
        <v>3.211522029</v>
      </c>
      <c r="AG161" t="n">
        <v>0.39014948</v>
      </c>
      <c r="AI161" t="n">
        <v>0.597476046</v>
      </c>
      <c r="AJ161" t="n">
        <v>0.239278793</v>
      </c>
      <c r="AK161" t="n">
        <v>-0.375951067</v>
      </c>
      <c r="AM161" t="n">
        <v>0.317298756</v>
      </c>
      <c r="AO161" t="n">
        <v>1.805396508</v>
      </c>
      <c r="AS161" t="n">
        <v>0.45626201</v>
      </c>
      <c r="AU161" t="n">
        <v>0.74501963</v>
      </c>
      <c r="AV161" t="n">
        <v>0.72728254</v>
      </c>
    </row>
    <row r="162">
      <c r="A162" t="inlineStr">
        <is>
          <t>1987-Q2</t>
        </is>
      </c>
      <c r="B162" s="87" t="n">
        <v>31959</v>
      </c>
      <c r="D162" t="n">
        <v>1.586600173</v>
      </c>
      <c r="E162" t="n">
        <v>1.764855166</v>
      </c>
      <c r="F162" t="n">
        <v>1.111189178</v>
      </c>
      <c r="H162" t="n">
        <v>1.291592995</v>
      </c>
      <c r="I162" t="n">
        <v>0.7822971399999999</v>
      </c>
      <c r="M162" t="n">
        <v>2.244993958</v>
      </c>
      <c r="N162" t="n">
        <v>3.024836903</v>
      </c>
      <c r="Q162" t="n">
        <v>1.49605753</v>
      </c>
      <c r="T162" t="n">
        <v>1.741914027</v>
      </c>
      <c r="U162" t="n">
        <v>1.4967205</v>
      </c>
      <c r="V162" t="n">
        <v>1.485782</v>
      </c>
      <c r="W162" t="n">
        <v>1.47921727</v>
      </c>
      <c r="X162" t="n">
        <v>-1.894337321</v>
      </c>
      <c r="AA162" t="n">
        <v>1.567871274</v>
      </c>
      <c r="AB162" t="n">
        <v>1.964998593</v>
      </c>
      <c r="AD162" t="n">
        <v>1.514381795</v>
      </c>
      <c r="AE162" t="n">
        <v>2.0955948</v>
      </c>
      <c r="AF162" t="n">
        <v>4.953211831</v>
      </c>
      <c r="AG162" t="n">
        <v>0.428521307</v>
      </c>
      <c r="AI162" t="n">
        <v>2.736231087</v>
      </c>
      <c r="AJ162" t="n">
        <v>1.642375645</v>
      </c>
      <c r="AK162" t="n">
        <v>2.215607628</v>
      </c>
      <c r="AM162" t="n">
        <v>1.654713131</v>
      </c>
      <c r="AO162" t="n">
        <v>1.60081077</v>
      </c>
      <c r="AS162" t="n">
        <v>2.212031342</v>
      </c>
      <c r="AU162" t="n">
        <v>1.078842316</v>
      </c>
      <c r="AV162" t="n">
        <v>0.356603187</v>
      </c>
    </row>
    <row r="163">
      <c r="A163" t="inlineStr">
        <is>
          <t>1987-Q3</t>
        </is>
      </c>
      <c r="B163" s="87" t="n">
        <v>32051</v>
      </c>
      <c r="D163" t="n">
        <v>1.813492968</v>
      </c>
      <c r="E163" t="n">
        <v>1.214960389</v>
      </c>
      <c r="F163" t="n">
        <v>1.397512752</v>
      </c>
      <c r="H163" t="n">
        <v>1.522052283</v>
      </c>
      <c r="I163" t="n">
        <v>1.160588291</v>
      </c>
      <c r="M163" t="n">
        <v>0.69212071</v>
      </c>
      <c r="N163" t="n">
        <v>-1.381495735</v>
      </c>
      <c r="Q163" t="n">
        <v>2.065202533</v>
      </c>
      <c r="T163" t="n">
        <v>0.388182895</v>
      </c>
      <c r="U163" t="n">
        <v>0.668571413</v>
      </c>
      <c r="V163" t="n">
        <v>1.126034</v>
      </c>
      <c r="W163" t="n">
        <v>2.383817874</v>
      </c>
      <c r="X163" t="n">
        <v>0.298791019</v>
      </c>
      <c r="AA163" t="n">
        <v>1.556645286</v>
      </c>
      <c r="AB163" t="n">
        <v>1.039469583</v>
      </c>
      <c r="AD163" t="n">
        <v>0.288641596</v>
      </c>
      <c r="AE163" t="n">
        <v>2.000277551</v>
      </c>
      <c r="AF163" t="n">
        <v>0.975698471</v>
      </c>
      <c r="AG163" t="n">
        <v>0.946731365</v>
      </c>
      <c r="AI163" t="n">
        <v>0.107060851</v>
      </c>
      <c r="AJ163" t="n">
        <v>1.146136544</v>
      </c>
      <c r="AK163" t="n">
        <v>-2.628731907</v>
      </c>
      <c r="AL163" t="n">
        <v>0.543284009</v>
      </c>
      <c r="AM163" t="n">
        <v>1.100545283</v>
      </c>
      <c r="AO163" t="n">
        <v>1.547363343</v>
      </c>
      <c r="AS163" t="n">
        <v>1.136551934</v>
      </c>
      <c r="AU163" t="n">
        <v>0.8675668560000001</v>
      </c>
      <c r="AV163" t="n">
        <v>0.364927876</v>
      </c>
    </row>
    <row r="164">
      <c r="A164" t="inlineStr">
        <is>
          <t>1987-Q4</t>
        </is>
      </c>
      <c r="B164" s="87" t="n">
        <v>32143</v>
      </c>
      <c r="D164" t="n">
        <v>2.0197345</v>
      </c>
      <c r="E164" t="n">
        <v>0.8101848109999999</v>
      </c>
      <c r="F164" t="n">
        <v>1.290633452</v>
      </c>
      <c r="H164" t="n">
        <v>1.291892412</v>
      </c>
      <c r="I164" t="n">
        <v>0.798226564</v>
      </c>
      <c r="M164" t="n">
        <v>1.599900168</v>
      </c>
      <c r="N164" t="n">
        <v>0.595971644</v>
      </c>
      <c r="Q164" t="n">
        <v>2.045736097</v>
      </c>
      <c r="T164" t="n">
        <v>1.970042331</v>
      </c>
      <c r="U164" t="n">
        <v>1.472334679</v>
      </c>
      <c r="V164" t="n">
        <v>1.732433</v>
      </c>
      <c r="W164" t="n">
        <v>1.336047676</v>
      </c>
      <c r="X164" t="n">
        <v>5.882251649</v>
      </c>
      <c r="AA164" t="n">
        <v>1.428591408</v>
      </c>
      <c r="AB164" t="n">
        <v>0.103175991</v>
      </c>
      <c r="AD164" t="n">
        <v>1.075995276</v>
      </c>
      <c r="AE164" t="n">
        <v>2.574799235</v>
      </c>
      <c r="AF164" t="n">
        <v>2.035328587</v>
      </c>
      <c r="AG164" t="n">
        <v>1.654540177</v>
      </c>
      <c r="AI164" t="n">
        <v>1.208326572</v>
      </c>
      <c r="AJ164" t="n">
        <v>0.814297627</v>
      </c>
      <c r="AK164" t="n">
        <v>1.828657141</v>
      </c>
      <c r="AL164" t="n">
        <v>0.462140064</v>
      </c>
      <c r="AM164" t="n">
        <v>1.821922686</v>
      </c>
      <c r="AO164" t="n">
        <v>1.19749144</v>
      </c>
      <c r="AS164" t="n">
        <v>0.311079872</v>
      </c>
      <c r="AU164" t="n">
        <v>1.717036096</v>
      </c>
      <c r="AV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Q165" t="n">
        <v>0.321543408</v>
      </c>
      <c r="T165" t="n">
        <v>1.273351429</v>
      </c>
      <c r="U165" t="n">
        <v>1.230270112</v>
      </c>
      <c r="V165" t="n">
        <v>0.927717</v>
      </c>
      <c r="W165" t="n">
        <v>1.520296542</v>
      </c>
      <c r="X165" t="n">
        <v>2.302850916</v>
      </c>
      <c r="AA165" t="n">
        <v>1.270740591</v>
      </c>
      <c r="AB165" t="n">
        <v>-0.472976227</v>
      </c>
      <c r="AD165" t="n">
        <v>1.471709696</v>
      </c>
      <c r="AE165" t="n">
        <v>2.387212705</v>
      </c>
      <c r="AF165" t="n">
        <v>7.703239327</v>
      </c>
      <c r="AG165" t="n">
        <v>2.22271802</v>
      </c>
      <c r="AI165" t="n">
        <v>-0.675506228</v>
      </c>
      <c r="AJ165" t="n">
        <v>0.131301948</v>
      </c>
      <c r="AK165" t="n">
        <v>-0.090018208</v>
      </c>
      <c r="AL165" t="n">
        <v>-0.389242746</v>
      </c>
      <c r="AM165" t="n">
        <v>0.821609811</v>
      </c>
      <c r="AO165" t="n">
        <v>4.556632001</v>
      </c>
      <c r="AS165" t="n">
        <v>0.47846826</v>
      </c>
      <c r="AU165" t="n">
        <v>0.516654167</v>
      </c>
      <c r="AV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Q166" t="n">
        <v>1.22318158</v>
      </c>
      <c r="T166" t="n">
        <v>0.804067636</v>
      </c>
      <c r="U166" t="n">
        <v>0.842746146</v>
      </c>
      <c r="V166" t="n">
        <v>0.9190390000000001</v>
      </c>
      <c r="W166" t="n">
        <v>0.217352449</v>
      </c>
      <c r="X166" t="n">
        <v>-3.711946586</v>
      </c>
      <c r="AA166" t="n">
        <v>1.136569822</v>
      </c>
      <c r="AB166" t="n">
        <v>-0.62217562</v>
      </c>
      <c r="AD166" t="n">
        <v>0.635269809</v>
      </c>
      <c r="AE166" t="n">
        <v>-0.145997226</v>
      </c>
      <c r="AF166" t="n">
        <v>-2.1607374</v>
      </c>
      <c r="AG166" t="n">
        <v>2.612814571</v>
      </c>
      <c r="AI166" t="n">
        <v>-0.320852788</v>
      </c>
      <c r="AJ166" t="n">
        <v>0.7618721899999999</v>
      </c>
      <c r="AK166" t="n">
        <v>-1.541244326</v>
      </c>
      <c r="AL166" t="n">
        <v>-0.472468917</v>
      </c>
      <c r="AM166" t="n">
        <v>0.694617646</v>
      </c>
      <c r="AO166" t="n">
        <v>0.454994464</v>
      </c>
      <c r="AS166" t="n">
        <v>0.193406783</v>
      </c>
      <c r="AU166" t="n">
        <v>1.313900617</v>
      </c>
      <c r="AV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Q167" t="n">
        <v>1.802907916</v>
      </c>
      <c r="T167" t="n">
        <v>1.231671554</v>
      </c>
      <c r="U167" t="n">
        <v>1.27411939</v>
      </c>
      <c r="V167" t="n">
        <v>1.07417</v>
      </c>
      <c r="W167" t="n">
        <v>1.345872731</v>
      </c>
      <c r="X167" t="n">
        <v>0.739640086</v>
      </c>
      <c r="AA167" t="n">
        <v>1.018049402</v>
      </c>
      <c r="AB167" t="n">
        <v>-0.413715371</v>
      </c>
      <c r="AD167" t="n">
        <v>1.313966057</v>
      </c>
      <c r="AE167" t="n">
        <v>2.230947392</v>
      </c>
      <c r="AF167" t="n">
        <v>3.145655266</v>
      </c>
      <c r="AG167" t="n">
        <v>2.880656406</v>
      </c>
      <c r="AI167" t="n">
        <v>0.123422488</v>
      </c>
      <c r="AJ167" t="n">
        <v>0.851588504</v>
      </c>
      <c r="AK167" t="n">
        <v>0.849468851</v>
      </c>
      <c r="AL167" t="n">
        <v>0.228432737</v>
      </c>
      <c r="AM167" t="n">
        <v>1.049302028</v>
      </c>
      <c r="AO167" t="n">
        <v>0.762612717</v>
      </c>
      <c r="AS167" t="n">
        <v>0.165338555</v>
      </c>
      <c r="AU167" t="n">
        <v>0.585928314</v>
      </c>
      <c r="AV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Q168" t="n">
        <v>-0.224281664</v>
      </c>
      <c r="T168" t="n">
        <v>1.850135187</v>
      </c>
      <c r="U168" t="n">
        <v>0.825795532</v>
      </c>
      <c r="V168" t="n">
        <v>1.144511</v>
      </c>
      <c r="W168" t="n">
        <v>0.750731405</v>
      </c>
      <c r="X168" t="n">
        <v>1.817496476</v>
      </c>
      <c r="AA168" t="n">
        <v>1.010502067</v>
      </c>
      <c r="AB168" t="n">
        <v>-0.057924087</v>
      </c>
      <c r="AD168" t="n">
        <v>1.193897196</v>
      </c>
      <c r="AE168" t="n">
        <v>1.053823715</v>
      </c>
      <c r="AF168" t="n">
        <v>3.254636181</v>
      </c>
      <c r="AG168" t="n">
        <v>2.926296302</v>
      </c>
      <c r="AI168" t="n">
        <v>1.992230561</v>
      </c>
      <c r="AJ168" t="n">
        <v>0.930330374</v>
      </c>
      <c r="AK168" t="n">
        <v>0.143899069</v>
      </c>
      <c r="AL168" t="n">
        <v>-0.872476051</v>
      </c>
      <c r="AM168" t="n">
        <v>1.155852075</v>
      </c>
      <c r="AO168" t="n">
        <v>1.319190173</v>
      </c>
      <c r="AS168" t="n">
        <v>2.116756794</v>
      </c>
      <c r="AU168" t="n">
        <v>1.332500553</v>
      </c>
      <c r="AV168" t="n">
        <v>0.938980474</v>
      </c>
    </row>
    <row r="169">
      <c r="A169" t="inlineStr">
        <is>
          <t>1989-Q1</t>
        </is>
      </c>
      <c r="B169" s="87" t="n">
        <v>32599</v>
      </c>
      <c r="D169" t="n">
        <v>1.032311195</v>
      </c>
      <c r="E169" t="n">
        <v>0.823139698</v>
      </c>
      <c r="F169" t="n">
        <v>0.76019039</v>
      </c>
      <c r="H169" t="n">
        <v>1.14072018</v>
      </c>
      <c r="I169" t="n">
        <v>0.458756396</v>
      </c>
      <c r="M169" t="n">
        <v>1.045142904</v>
      </c>
      <c r="N169" t="n">
        <v>1.130299648</v>
      </c>
      <c r="Q169" t="n">
        <v>2.358130461</v>
      </c>
      <c r="T169" t="n">
        <v>1.19458455</v>
      </c>
      <c r="U169" t="n">
        <v>1.164050306</v>
      </c>
      <c r="V169" t="n">
        <v>1.256482</v>
      </c>
      <c r="W169" t="n">
        <v>0.513393136</v>
      </c>
      <c r="X169" t="n">
        <v>3.492845301</v>
      </c>
      <c r="AA169" t="n">
        <v>1.206530316</v>
      </c>
      <c r="AB169" t="n">
        <v>0.198630532</v>
      </c>
      <c r="AD169" t="n">
        <v>0.621204493</v>
      </c>
      <c r="AE169" t="n">
        <v>2.698039962</v>
      </c>
      <c r="AF169" t="n">
        <v>0.043277553</v>
      </c>
      <c r="AG169" t="n">
        <v>2.648368327</v>
      </c>
      <c r="AI169" t="n">
        <v>1.873677883</v>
      </c>
      <c r="AJ169" t="n">
        <v>1.517731509</v>
      </c>
      <c r="AK169" t="n">
        <v>-0.632886774</v>
      </c>
      <c r="AL169" t="n">
        <v>1.275326915</v>
      </c>
      <c r="AM169" t="n">
        <v>1.225124723</v>
      </c>
      <c r="AO169" t="n">
        <v>3.766029175</v>
      </c>
      <c r="AS169" t="n">
        <v>0.164711547</v>
      </c>
      <c r="AU169" t="n">
        <v>1.016597674</v>
      </c>
      <c r="AV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Q170" t="n">
        <v>0.984088837</v>
      </c>
      <c r="T170" t="n">
        <v>1.757607555</v>
      </c>
      <c r="U170" t="n">
        <v>1.217269746</v>
      </c>
      <c r="V170" t="n">
        <v>0.322505</v>
      </c>
      <c r="W170" t="n">
        <v>0.406816898</v>
      </c>
      <c r="X170" t="n">
        <v>-1.108916435</v>
      </c>
      <c r="AA170" t="n">
        <v>1.581667362</v>
      </c>
      <c r="AB170" t="n">
        <v>0.315227277</v>
      </c>
      <c r="AD170" t="n">
        <v>0.432396865</v>
      </c>
      <c r="AE170" t="n">
        <v>-1.30573169</v>
      </c>
      <c r="AF170" t="n">
        <v>1.460586398</v>
      </c>
      <c r="AG170" t="n">
        <v>2.140820765</v>
      </c>
      <c r="AI170" t="n">
        <v>0.038205539</v>
      </c>
      <c r="AJ170" t="n">
        <v>1.245802409</v>
      </c>
      <c r="AK170" t="n">
        <v>1.185643331</v>
      </c>
      <c r="AL170" t="n">
        <v>0.5781987159999999</v>
      </c>
      <c r="AM170" t="n">
        <v>0.401378989</v>
      </c>
      <c r="AO170" t="n">
        <v>-1.41413539</v>
      </c>
      <c r="AS170" t="n">
        <v>0.675412149</v>
      </c>
      <c r="AU170" t="n">
        <v>0.763265657</v>
      </c>
      <c r="AV170" t="n">
        <v>0.433857416</v>
      </c>
    </row>
    <row r="171">
      <c r="A171" t="inlineStr">
        <is>
          <t>1989-Q3</t>
        </is>
      </c>
      <c r="B171" s="87" t="n">
        <v>32782</v>
      </c>
      <c r="D171" t="n">
        <v>0.819787588</v>
      </c>
      <c r="E171" t="n">
        <v>0.829097953</v>
      </c>
      <c r="F171" t="n">
        <v>0.37144843</v>
      </c>
      <c r="H171" t="n">
        <v>0.357792585</v>
      </c>
      <c r="I171" t="n">
        <v>0.601303534</v>
      </c>
      <c r="M171" t="n">
        <v>0.9132452559999999</v>
      </c>
      <c r="N171" t="n">
        <v>-1.486353377</v>
      </c>
      <c r="Q171" t="n">
        <v>1.339679544</v>
      </c>
      <c r="T171" t="n">
        <v>1.178506979</v>
      </c>
      <c r="U171" t="n">
        <v>1.107602103</v>
      </c>
      <c r="V171" t="n">
        <v>0.910148</v>
      </c>
      <c r="W171" t="n">
        <v>-0.008344433</v>
      </c>
      <c r="X171" t="n">
        <v>-1.374559638</v>
      </c>
      <c r="AA171" t="n">
        <v>2.164625023</v>
      </c>
      <c r="AB171" t="n">
        <v>0.322138084</v>
      </c>
      <c r="AD171" t="n">
        <v>1.042437027</v>
      </c>
      <c r="AE171" t="n">
        <v>1.749678162</v>
      </c>
      <c r="AF171" t="n">
        <v>2.564383464</v>
      </c>
      <c r="AG171" t="n">
        <v>1.463473366</v>
      </c>
      <c r="AI171" t="n">
        <v>1.864123977</v>
      </c>
      <c r="AJ171" t="n">
        <v>0.87768189</v>
      </c>
      <c r="AK171" t="n">
        <v>0.978089698</v>
      </c>
      <c r="AL171" t="n">
        <v>-1.12506172</v>
      </c>
      <c r="AM171" t="n">
        <v>0.979767838</v>
      </c>
      <c r="AO171" t="n">
        <v>1.972954215</v>
      </c>
      <c r="AS171" t="n">
        <v>0.030821689</v>
      </c>
      <c r="AU171" t="n">
        <v>0.740876994</v>
      </c>
      <c r="AV171" t="n">
        <v>0.080345162</v>
      </c>
    </row>
    <row r="172">
      <c r="A172" t="inlineStr">
        <is>
          <t>1989-Q4</t>
        </is>
      </c>
      <c r="B172" s="87" t="n">
        <v>32874</v>
      </c>
      <c r="D172" t="n">
        <v>-0.272437689</v>
      </c>
      <c r="E172" t="n">
        <v>1.300395898</v>
      </c>
      <c r="F172" t="n">
        <v>1.298638289</v>
      </c>
      <c r="H172" t="n">
        <v>-0.213453123</v>
      </c>
      <c r="I172" t="n">
        <v>1.250615356</v>
      </c>
      <c r="M172" t="n">
        <v>1.158805549</v>
      </c>
      <c r="N172" t="n">
        <v>1.6576394</v>
      </c>
      <c r="Q172" t="n">
        <v>-0.166005345</v>
      </c>
      <c r="T172" t="n">
        <v>0.047319186</v>
      </c>
      <c r="U172" t="n">
        <v>1.431047026</v>
      </c>
      <c r="V172" t="n">
        <v>0.949999</v>
      </c>
      <c r="W172" t="n">
        <v>0.184520093</v>
      </c>
      <c r="X172" t="n">
        <v>4.286397704</v>
      </c>
      <c r="AA172" t="n">
        <v>2.593530417</v>
      </c>
      <c r="AB172" t="n">
        <v>0.280219594</v>
      </c>
      <c r="AD172" t="n">
        <v>1.029139679</v>
      </c>
      <c r="AE172" t="n">
        <v>3.098252201</v>
      </c>
      <c r="AF172" t="n">
        <v>4.129775627</v>
      </c>
      <c r="AG172" t="n">
        <v>0.900854462</v>
      </c>
      <c r="AI172" t="n">
        <v>-0.881771666</v>
      </c>
      <c r="AJ172" t="n">
        <v>0.80527414</v>
      </c>
      <c r="AK172" t="n">
        <v>0.703361985</v>
      </c>
      <c r="AL172" t="n">
        <v>-0.192616372</v>
      </c>
      <c r="AM172" t="n">
        <v>0.966965098</v>
      </c>
      <c r="AO172" t="n">
        <v>0.832613301</v>
      </c>
      <c r="AS172" t="n">
        <v>1.307210199</v>
      </c>
      <c r="AU172" t="n">
        <v>0.197050974</v>
      </c>
      <c r="AV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Q173" t="n">
        <v>0.87601898</v>
      </c>
      <c r="T173" t="n">
        <v>1.354072902</v>
      </c>
      <c r="U173" t="n">
        <v>0.284254167</v>
      </c>
      <c r="V173" t="n">
        <v>0.780527</v>
      </c>
      <c r="W173" t="n">
        <v>0.850561025</v>
      </c>
      <c r="X173" t="n">
        <v>0.9434539280000001</v>
      </c>
      <c r="AA173" t="n">
        <v>2.525290337</v>
      </c>
      <c r="AB173" t="n">
        <v>0.261792364</v>
      </c>
      <c r="AD173" t="n">
        <v>0.398617358</v>
      </c>
      <c r="AE173" t="n">
        <v>-0.475764015</v>
      </c>
      <c r="AF173" t="n">
        <v>1.01855052</v>
      </c>
      <c r="AG173" t="n">
        <v>0.788354081</v>
      </c>
      <c r="AI173" t="n">
        <v>2.174244872</v>
      </c>
      <c r="AJ173" t="n">
        <v>1.253436712</v>
      </c>
      <c r="AK173" t="n">
        <v>-0.392080511</v>
      </c>
      <c r="AL173" t="n">
        <v>-0.171544977</v>
      </c>
      <c r="AM173" t="n">
        <v>0.959197957</v>
      </c>
      <c r="AO173" t="n">
        <v>1.017439357</v>
      </c>
      <c r="AS173" t="n">
        <v>0.212357079</v>
      </c>
      <c r="AU173" t="n">
        <v>1.092795416</v>
      </c>
      <c r="AV173" t="n">
        <v>0.080051424</v>
      </c>
    </row>
    <row r="174">
      <c r="A174" t="inlineStr">
        <is>
          <t>1990-Q2</t>
        </is>
      </c>
      <c r="B174" s="87" t="n">
        <v>33055</v>
      </c>
      <c r="D174" t="n">
        <v>0.110229073</v>
      </c>
      <c r="E174" t="n">
        <v>1.078142771</v>
      </c>
      <c r="F174" t="n">
        <v>-0.353727874</v>
      </c>
      <c r="H174" t="n">
        <v>-0.41411306</v>
      </c>
      <c r="I174" t="n">
        <v>0.30052948</v>
      </c>
      <c r="M174" t="n">
        <v>0.491660084</v>
      </c>
      <c r="N174" t="n">
        <v>2.248686049</v>
      </c>
      <c r="Q174" t="n">
        <v>1.699634141</v>
      </c>
      <c r="T174" t="n">
        <v>-1.376299839</v>
      </c>
      <c r="U174" t="n">
        <v>0.537184702</v>
      </c>
      <c r="V174" t="n">
        <v>0.845137</v>
      </c>
      <c r="W174" t="n">
        <v>0.35209975</v>
      </c>
      <c r="X174" t="n">
        <v>-2.784215709</v>
      </c>
      <c r="AA174" t="n">
        <v>2.059279618</v>
      </c>
      <c r="AB174" t="n">
        <v>0.279188306</v>
      </c>
      <c r="AD174" t="n">
        <v>0.304784304</v>
      </c>
      <c r="AE174" t="n">
        <v>3.153970057</v>
      </c>
      <c r="AF174" t="n">
        <v>2.23062202</v>
      </c>
      <c r="AG174" t="n">
        <v>1.144335786</v>
      </c>
      <c r="AI174" t="n">
        <v>2.169802353</v>
      </c>
      <c r="AJ174" t="n">
        <v>0.83691369</v>
      </c>
      <c r="AK174" t="n">
        <v>1.085835608</v>
      </c>
      <c r="AL174" t="n">
        <v>-0.01431998</v>
      </c>
      <c r="AM174" t="n">
        <v>0.91038253</v>
      </c>
      <c r="AO174" t="n">
        <v>1.870296778</v>
      </c>
      <c r="AS174" t="n">
        <v>-0.305109459</v>
      </c>
      <c r="AU174" t="n">
        <v>0.36291179</v>
      </c>
      <c r="AV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Q175" t="n">
        <v>-0.29846911</v>
      </c>
      <c r="T175" t="n">
        <v>-2.14259536</v>
      </c>
      <c r="U175" t="n">
        <v>0.5869861</v>
      </c>
      <c r="V175" t="n">
        <v>0.499445</v>
      </c>
      <c r="W175" t="n">
        <v>-1.209277939</v>
      </c>
      <c r="X175" t="n">
        <v>-6.848247815</v>
      </c>
      <c r="AA175" t="n">
        <v>1.257670078</v>
      </c>
      <c r="AB175" t="n">
        <v>0.327839303</v>
      </c>
      <c r="AD175" t="n">
        <v>0.160344602</v>
      </c>
      <c r="AE175" t="n">
        <v>1.676741547</v>
      </c>
      <c r="AF175" t="n">
        <v>3.232927558</v>
      </c>
      <c r="AG175" t="n">
        <v>1.933530546</v>
      </c>
      <c r="AI175" t="n">
        <v>1.364136563</v>
      </c>
      <c r="AJ175" t="n">
        <v>1.362324985</v>
      </c>
      <c r="AK175" t="n">
        <v>-0.988602621</v>
      </c>
      <c r="AL175" t="n">
        <v>0.913029468</v>
      </c>
      <c r="AM175" t="n">
        <v>0.365412445</v>
      </c>
      <c r="AO175" t="n">
        <v>0.698606862</v>
      </c>
      <c r="AS175" t="n">
        <v>-0.792884966</v>
      </c>
      <c r="AU175" t="n">
        <v>0.066512432</v>
      </c>
      <c r="AV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Q176" t="n">
        <v>3.78168337</v>
      </c>
      <c r="T176" t="n">
        <v>-0.573305292</v>
      </c>
      <c r="U176" t="n">
        <v>-0.160318573</v>
      </c>
      <c r="V176" t="n">
        <v>-0.360862</v>
      </c>
      <c r="W176" t="n">
        <v>-0.412552456</v>
      </c>
      <c r="X176" t="n">
        <v>10.427887993</v>
      </c>
      <c r="AA176" t="n">
        <v>0.45468201</v>
      </c>
      <c r="AB176" t="n">
        <v>0.31654637</v>
      </c>
      <c r="AD176" t="n">
        <v>-0.649584431</v>
      </c>
      <c r="AE176" t="n">
        <v>-0.189979697</v>
      </c>
      <c r="AF176" t="n">
        <v>2.033266271</v>
      </c>
      <c r="AG176" t="n">
        <v>2.632888285</v>
      </c>
      <c r="AI176" t="n">
        <v>1.270953872</v>
      </c>
      <c r="AJ176" t="n">
        <v>0.792733374</v>
      </c>
      <c r="AK176" t="n">
        <v>2.691254377</v>
      </c>
      <c r="AL176" t="n">
        <v>1.170877093</v>
      </c>
      <c r="AM176" t="n">
        <v>0.221121818</v>
      </c>
      <c r="AO176" t="n">
        <v>2.658981232</v>
      </c>
      <c r="AS176" t="n">
        <v>1.13594325</v>
      </c>
      <c r="AU176" t="n">
        <v>-0.9103945409999999</v>
      </c>
      <c r="AV176" t="n">
        <v>0.092815014</v>
      </c>
    </row>
    <row r="177">
      <c r="A177" t="inlineStr">
        <is>
          <t>1991-Q1</t>
        </is>
      </c>
      <c r="B177" s="87" t="n">
        <v>33329</v>
      </c>
      <c r="D177" t="n">
        <v>-1.2972478</v>
      </c>
      <c r="E177" t="n">
        <v>0.692705087</v>
      </c>
      <c r="F177" t="n">
        <v>-0.431525413</v>
      </c>
      <c r="H177" t="n">
        <v>-1.427068555</v>
      </c>
      <c r="I177" t="n">
        <v>0.274633536</v>
      </c>
      <c r="M177" t="n">
        <v>2.838014299</v>
      </c>
      <c r="N177" t="n">
        <v>0.295591234</v>
      </c>
      <c r="Q177" t="n">
        <v>-1.921754413</v>
      </c>
      <c r="T177" t="n">
        <v>-1.950046361</v>
      </c>
      <c r="U177" t="n">
        <v>0.212997448</v>
      </c>
      <c r="V177" t="n">
        <v>0.282027</v>
      </c>
      <c r="W177" t="n">
        <v>-0.489243764</v>
      </c>
      <c r="X177" t="n">
        <v>0.425654387</v>
      </c>
      <c r="AA177" t="n">
        <v>0.02482338</v>
      </c>
      <c r="AB177" t="n">
        <v>0.148932074</v>
      </c>
      <c r="AD177" t="n">
        <v>1.000022004</v>
      </c>
      <c r="AE177" t="n">
        <v>0.871317214</v>
      </c>
      <c r="AF177" t="n">
        <v>3.750176278</v>
      </c>
      <c r="AG177" t="n">
        <v>2.708053464</v>
      </c>
      <c r="AI177" t="n">
        <v>0.275608267</v>
      </c>
      <c r="AJ177" t="n">
        <v>-0.406317571</v>
      </c>
      <c r="AK177" t="n">
        <v>0.834810665</v>
      </c>
      <c r="AL177" t="n">
        <v>-2.423370976</v>
      </c>
      <c r="AM177" t="n">
        <v>0.070244584</v>
      </c>
      <c r="AO177" t="n">
        <v>-2.330576906</v>
      </c>
      <c r="AS177" t="n">
        <v>-0.31136664</v>
      </c>
      <c r="AU177" t="n">
        <v>-0.467867584</v>
      </c>
      <c r="AV177" t="n">
        <v>-0.795422603</v>
      </c>
    </row>
    <row r="178">
      <c r="A178" t="inlineStr">
        <is>
          <t>1991-Q2</t>
        </is>
      </c>
      <c r="B178" s="87" t="n">
        <v>33420</v>
      </c>
      <c r="D178" t="n">
        <v>-0.174302556</v>
      </c>
      <c r="E178" t="n">
        <v>0.9121643</v>
      </c>
      <c r="F178" t="n">
        <v>1.167532986</v>
      </c>
      <c r="H178" t="n">
        <v>0.466260689</v>
      </c>
      <c r="I178" t="n">
        <v>-1.107734267</v>
      </c>
      <c r="M178" t="n">
        <v>-0.529244929</v>
      </c>
      <c r="N178" t="n">
        <v>1.078705412</v>
      </c>
      <c r="Q178" t="n">
        <v>1.219274668</v>
      </c>
      <c r="T178" t="n">
        <v>-1.196843878</v>
      </c>
      <c r="U178" t="n">
        <v>0.329335526</v>
      </c>
      <c r="V178" t="n">
        <v>0.545867</v>
      </c>
      <c r="W178" t="n">
        <v>-0.375509086</v>
      </c>
      <c r="X178" t="n">
        <v>-1.718026457</v>
      </c>
      <c r="AA178" t="n">
        <v>0.022640762</v>
      </c>
      <c r="AB178" t="n">
        <v>-0.147785638</v>
      </c>
      <c r="AD178" t="n">
        <v>0.5421682759999999</v>
      </c>
      <c r="AE178" t="n">
        <v>1.186411273</v>
      </c>
      <c r="AF178" t="n">
        <v>1.661478045</v>
      </c>
      <c r="AG178" t="n">
        <v>2.245888829</v>
      </c>
      <c r="AI178" t="n">
        <v>1.530225799</v>
      </c>
      <c r="AJ178" t="n">
        <v>1.172009654</v>
      </c>
      <c r="AK178" t="n">
        <v>0.525701948</v>
      </c>
      <c r="AL178" t="n">
        <v>-0.679294109</v>
      </c>
      <c r="AM178" t="n">
        <v>0.630620573</v>
      </c>
      <c r="AO178" t="n">
        <v>1.962589301</v>
      </c>
      <c r="AS178" t="n">
        <v>-1.147189466</v>
      </c>
      <c r="AU178" t="n">
        <v>0.7797180379999999</v>
      </c>
      <c r="AV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Q179" t="n">
        <v>0.7552724750000001</v>
      </c>
      <c r="T179" t="n">
        <v>-2.057785488</v>
      </c>
      <c r="U179" t="n">
        <v>0.356720326</v>
      </c>
      <c r="V179" t="n">
        <v>0.211408</v>
      </c>
      <c r="W179" t="n">
        <v>-0.290975691</v>
      </c>
      <c r="X179" t="n">
        <v>1.849350809</v>
      </c>
      <c r="AA179" t="n">
        <v>0.387840267</v>
      </c>
      <c r="AB179" t="n">
        <v>-0.591563996</v>
      </c>
      <c r="AD179" t="n">
        <v>0.654053656</v>
      </c>
      <c r="AE179" t="n">
        <v>-0.22137912</v>
      </c>
      <c r="AF179" t="n">
        <v>2.145297059</v>
      </c>
      <c r="AG179" t="n">
        <v>1.345213026</v>
      </c>
      <c r="AI179" t="n">
        <v>0.185943273</v>
      </c>
      <c r="AJ179" t="n">
        <v>0.408864799</v>
      </c>
      <c r="AK179" t="n">
        <v>-0.245626066</v>
      </c>
      <c r="AL179" t="n">
        <v>0.318448288</v>
      </c>
      <c r="AM179" t="n">
        <v>0.327790013</v>
      </c>
      <c r="AO179" t="n">
        <v>1.073590737</v>
      </c>
      <c r="AS179" t="n">
        <v>-0.485888327</v>
      </c>
      <c r="AU179" t="n">
        <v>0.505338431</v>
      </c>
      <c r="AV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Q180" t="n">
        <v>0.497512438</v>
      </c>
      <c r="T180" t="n">
        <v>-1.17266231</v>
      </c>
      <c r="U180" t="n">
        <v>0.56214359</v>
      </c>
      <c r="V180" t="n">
        <v>0.533422</v>
      </c>
      <c r="W180" t="n">
        <v>0.200923433</v>
      </c>
      <c r="X180" t="n">
        <v>-0.378222805</v>
      </c>
      <c r="AA180" t="n">
        <v>0.84502496</v>
      </c>
      <c r="AB180" t="n">
        <v>-0.98579378</v>
      </c>
      <c r="AD180" t="n">
        <v>0.501144711</v>
      </c>
      <c r="AE180" t="n">
        <v>0.7023334959999999</v>
      </c>
      <c r="AF180" t="n">
        <v>2.503572026</v>
      </c>
      <c r="AG180" t="n">
        <v>0.419942052</v>
      </c>
      <c r="AI180" t="n">
        <v>1.806169428</v>
      </c>
      <c r="AJ180" t="n">
        <v>1.109336867</v>
      </c>
      <c r="AK180" t="n">
        <v>0.737179349</v>
      </c>
      <c r="AL180" t="n">
        <v>0.645696559</v>
      </c>
      <c r="AM180" t="n">
        <v>0.602421514</v>
      </c>
      <c r="AO180" t="n">
        <v>0.023666545</v>
      </c>
      <c r="AS180" t="n">
        <v>-0.154936158</v>
      </c>
      <c r="AU180" t="n">
        <v>0.348563902</v>
      </c>
      <c r="AV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Q181" t="n">
        <v>0.997700538</v>
      </c>
      <c r="T181" t="n">
        <v>0.321364563</v>
      </c>
      <c r="U181" t="n">
        <v>0.803330392</v>
      </c>
      <c r="V181" t="n">
        <v>0.7946220000000001</v>
      </c>
      <c r="W181" t="n">
        <v>-0.044733911</v>
      </c>
      <c r="X181" t="n">
        <v>2.217449177</v>
      </c>
      <c r="AA181" t="n">
        <v>1.078896145</v>
      </c>
      <c r="AB181" t="n">
        <v>-1.109030913</v>
      </c>
      <c r="AD181" t="n">
        <v>0.447083134</v>
      </c>
      <c r="AE181" t="n">
        <v>0.031100621</v>
      </c>
      <c r="AF181" t="n">
        <v>1.780392603</v>
      </c>
      <c r="AG181" t="n">
        <v>-0.075740707</v>
      </c>
      <c r="AI181" t="n">
        <v>-0.008741364999999999</v>
      </c>
      <c r="AJ181" t="n">
        <v>0.707698191</v>
      </c>
      <c r="AK181" t="n">
        <v>2.109943689</v>
      </c>
      <c r="AL181" t="n">
        <v>0.297480377</v>
      </c>
      <c r="AM181" t="n">
        <v>0.873963244</v>
      </c>
      <c r="AO181" t="n">
        <v>1.768950341</v>
      </c>
      <c r="AS181" t="n">
        <v>0.91757324</v>
      </c>
      <c r="AU181" t="n">
        <v>1.197157574</v>
      </c>
      <c r="AV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Q182" t="n">
        <v>-1.303955142</v>
      </c>
      <c r="T182" t="n">
        <v>-1.124253065</v>
      </c>
      <c r="U182" t="n">
        <v>0.136747916</v>
      </c>
      <c r="V182" t="n">
        <v>0.399841</v>
      </c>
      <c r="W182" t="n">
        <v>-0.326734997</v>
      </c>
      <c r="X182" t="n">
        <v>-3.066086596</v>
      </c>
      <c r="AA182" t="n">
        <v>1.070612909</v>
      </c>
      <c r="AB182" t="n">
        <v>-0.95095968</v>
      </c>
      <c r="AD182" t="n">
        <v>-0.428149234</v>
      </c>
      <c r="AE182" t="n">
        <v>0.35015406</v>
      </c>
      <c r="AF182" t="n">
        <v>0.701694982</v>
      </c>
      <c r="AG182" t="n">
        <v>-0.073511391</v>
      </c>
      <c r="AI182" t="n">
        <v>1.639826199</v>
      </c>
      <c r="AJ182" t="n">
        <v>-0.918964154</v>
      </c>
      <c r="AK182" t="n">
        <v>0.523942028</v>
      </c>
      <c r="AL182" t="n">
        <v>0.007146941</v>
      </c>
      <c r="AM182" t="n">
        <v>0.27829937</v>
      </c>
      <c r="AO182" t="n">
        <v>-0.9193720359999999</v>
      </c>
      <c r="AS182" t="n">
        <v>-0.513647649</v>
      </c>
      <c r="AU182" t="n">
        <v>1.084320604</v>
      </c>
      <c r="AV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Q183" t="n">
        <v>0.0638667</v>
      </c>
      <c r="T183" t="n">
        <v>-0.816173951</v>
      </c>
      <c r="U183" t="n">
        <v>-0.155619275</v>
      </c>
      <c r="V183" t="n">
        <v>0.448551</v>
      </c>
      <c r="W183" t="n">
        <v>0.5523092429999999</v>
      </c>
      <c r="X183" t="n">
        <v>1.547949806</v>
      </c>
      <c r="AA183" t="n">
        <v>0.8626600129999999</v>
      </c>
      <c r="AB183" t="n">
        <v>-0.519061305</v>
      </c>
      <c r="AD183" t="n">
        <v>-0.427269227</v>
      </c>
      <c r="AE183" t="n">
        <v>0.117664944</v>
      </c>
      <c r="AF183" t="n">
        <v>0.067624061</v>
      </c>
      <c r="AG183" t="n">
        <v>0.357165266</v>
      </c>
      <c r="AI183" t="n">
        <v>0.928578032</v>
      </c>
      <c r="AJ183" t="n">
        <v>0.30420957</v>
      </c>
      <c r="AK183" t="n">
        <v>1.317140175</v>
      </c>
      <c r="AL183" t="n">
        <v>-0.768241263</v>
      </c>
      <c r="AM183" t="n">
        <v>0.481410705</v>
      </c>
      <c r="AO183" t="n">
        <v>-0.345960037</v>
      </c>
      <c r="AS183" t="n">
        <v>-1.447435642</v>
      </c>
      <c r="AU183" t="n">
        <v>0.9881071890000001</v>
      </c>
      <c r="AV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Q184" t="n">
        <v>-0.651596125</v>
      </c>
      <c r="T184" t="n">
        <v>-0.706680486</v>
      </c>
      <c r="U184" t="n">
        <v>-0.11226264</v>
      </c>
      <c r="V184" t="n">
        <v>0.326343</v>
      </c>
      <c r="W184" t="n">
        <v>0.537097177</v>
      </c>
      <c r="X184" t="n">
        <v>-0.532170776</v>
      </c>
      <c r="AA184" t="n">
        <v>0.616840493</v>
      </c>
      <c r="AB184" t="n">
        <v>0.034808005</v>
      </c>
      <c r="AD184" t="n">
        <v>-0.399884158</v>
      </c>
      <c r="AE184" t="n">
        <v>-0.63750149</v>
      </c>
      <c r="AF184" t="n">
        <v>1.560677644</v>
      </c>
      <c r="AG184" t="n">
        <v>0.920053031</v>
      </c>
      <c r="AI184" t="n">
        <v>0.08330747099999999</v>
      </c>
      <c r="AJ184" t="n">
        <v>0.376704761</v>
      </c>
      <c r="AK184" t="n">
        <v>-0.719549162</v>
      </c>
      <c r="AL184" t="n">
        <v>1.260307515</v>
      </c>
      <c r="AM184" t="n">
        <v>0.281366167</v>
      </c>
      <c r="AO184" t="n">
        <v>-0.159542129</v>
      </c>
      <c r="AS184" t="n">
        <v>-1.372299789</v>
      </c>
      <c r="AU184" t="n">
        <v>1.042879871</v>
      </c>
      <c r="AV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Q185" t="n">
        <v>-0.932984303</v>
      </c>
      <c r="T185" t="n">
        <v>0.234073512</v>
      </c>
      <c r="U185" t="n">
        <v>-0.632371562</v>
      </c>
      <c r="V185" t="n">
        <v>0.203074</v>
      </c>
      <c r="W185" t="n">
        <v>0.668095416</v>
      </c>
      <c r="X185" t="n">
        <v>-2.653931022</v>
      </c>
      <c r="AA185" t="n">
        <v>0.500612148</v>
      </c>
      <c r="AB185" t="n">
        <v>0.530908061</v>
      </c>
      <c r="AD185" t="n">
        <v>-0.210920618</v>
      </c>
      <c r="AE185" t="n">
        <v>1.126858466</v>
      </c>
      <c r="AF185" t="n">
        <v>1.990657829</v>
      </c>
      <c r="AG185" t="n">
        <v>1.277108781</v>
      </c>
      <c r="AI185" t="n">
        <v>-0.037132414</v>
      </c>
      <c r="AJ185" t="n">
        <v>0.615912517</v>
      </c>
      <c r="AK185" t="n">
        <v>-0.641625201</v>
      </c>
      <c r="AL185" t="n">
        <v>1.646456385</v>
      </c>
      <c r="AM185" t="n">
        <v>0.204441262</v>
      </c>
      <c r="AO185" t="n">
        <v>-1.318634595</v>
      </c>
      <c r="AS185" t="n">
        <v>-1.679617287</v>
      </c>
      <c r="AU185" t="n">
        <v>0.166979092</v>
      </c>
      <c r="AV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Q186" t="n">
        <v>-0.00677533</v>
      </c>
      <c r="T186" t="n">
        <v>-0.192501893</v>
      </c>
      <c r="U186" t="n">
        <v>-0.070743081</v>
      </c>
      <c r="V186" t="n">
        <v>0.186147</v>
      </c>
      <c r="W186" t="n">
        <v>0.395852038</v>
      </c>
      <c r="X186" t="n">
        <v>1.7093619</v>
      </c>
      <c r="AA186" t="n">
        <v>0.530791567</v>
      </c>
      <c r="AB186" t="n">
        <v>0.904943833</v>
      </c>
      <c r="AD186" t="n">
        <v>-0.168778725</v>
      </c>
      <c r="AE186" t="n">
        <v>-0.633145863</v>
      </c>
      <c r="AF186" t="n">
        <v>2.565331673</v>
      </c>
      <c r="AG186" t="n">
        <v>1.392368245</v>
      </c>
      <c r="AI186" t="n">
        <v>0.266040451</v>
      </c>
      <c r="AJ186" t="n">
        <v>0.249895847</v>
      </c>
      <c r="AK186" t="n">
        <v>1.744851318</v>
      </c>
      <c r="AL186" t="n">
        <v>2.211027148</v>
      </c>
      <c r="AM186" t="n">
        <v>0.422082571</v>
      </c>
      <c r="AO186" t="n">
        <v>0.050113557</v>
      </c>
      <c r="AQ186" t="n">
        <v>1.3909376</v>
      </c>
      <c r="AS186" t="n">
        <v>1.329567802</v>
      </c>
      <c r="AU186" t="n">
        <v>0.5821134529999999</v>
      </c>
      <c r="AV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Q187" t="n">
        <v>1.203186557</v>
      </c>
      <c r="T187" t="n">
        <v>0.572295823</v>
      </c>
      <c r="U187" t="n">
        <v>0.086905442</v>
      </c>
      <c r="V187" t="n">
        <v>0.235215</v>
      </c>
      <c r="W187" t="n">
        <v>0.758772442</v>
      </c>
      <c r="X187" t="n">
        <v>0.340400849</v>
      </c>
      <c r="AA187" t="n">
        <v>0.713412997</v>
      </c>
      <c r="AB187" t="n">
        <v>1.210698929</v>
      </c>
      <c r="AD187" t="n">
        <v>-0.238591125</v>
      </c>
      <c r="AE187" t="n">
        <v>-0.717862391</v>
      </c>
      <c r="AF187" t="n">
        <v>1.843683328</v>
      </c>
      <c r="AG187" t="n">
        <v>1.336455741</v>
      </c>
      <c r="AI187" t="n">
        <v>1.022978789</v>
      </c>
      <c r="AJ187" t="n">
        <v>0.817258299</v>
      </c>
      <c r="AK187" t="n">
        <v>2.002360314</v>
      </c>
      <c r="AL187" t="n">
        <v>2.026286966</v>
      </c>
      <c r="AM187" t="n">
        <v>0.382268954</v>
      </c>
      <c r="AO187" t="n">
        <v>0.695529051</v>
      </c>
      <c r="AQ187" t="n">
        <v>1.159824799</v>
      </c>
      <c r="AS187" t="n">
        <v>0.798483063</v>
      </c>
      <c r="AU187" t="n">
        <v>0.477156587</v>
      </c>
      <c r="AV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Q188" t="n">
        <v>0.376845971</v>
      </c>
      <c r="T188" t="n">
        <v>0.754527163</v>
      </c>
      <c r="U188" t="n">
        <v>0.344376088</v>
      </c>
      <c r="V188" t="n">
        <v>0.84841</v>
      </c>
      <c r="W188" t="n">
        <v>0.587440486</v>
      </c>
      <c r="X188" t="n">
        <v>0.19928804</v>
      </c>
      <c r="AA188" t="n">
        <v>1.002046454</v>
      </c>
      <c r="AB188" t="n">
        <v>1.34170469</v>
      </c>
      <c r="AD188" t="n">
        <v>0.744916512</v>
      </c>
      <c r="AE188" t="n">
        <v>0.630002484</v>
      </c>
      <c r="AF188" t="n">
        <v>1.913663988</v>
      </c>
      <c r="AG188" t="n">
        <v>1.162644387</v>
      </c>
      <c r="AI188" t="n">
        <v>1.32413696</v>
      </c>
      <c r="AJ188" t="n">
        <v>-0.620387229</v>
      </c>
      <c r="AK188" t="n">
        <v>3.574977576</v>
      </c>
      <c r="AL188" t="n">
        <v>0.932635534</v>
      </c>
      <c r="AM188" t="n">
        <v>0.874993327</v>
      </c>
      <c r="AO188" t="n">
        <v>0.335461909</v>
      </c>
      <c r="AQ188" t="n">
        <v>1.506506636</v>
      </c>
      <c r="AS188" t="n">
        <v>0.2890885</v>
      </c>
      <c r="AU188" t="n">
        <v>1.36007556</v>
      </c>
      <c r="AV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Q189" t="n">
        <v>0.827092028</v>
      </c>
      <c r="T189" t="n">
        <v>0.664628058</v>
      </c>
      <c r="U189" t="n">
        <v>0.700132045</v>
      </c>
      <c r="V189" t="n">
        <v>0.980714</v>
      </c>
      <c r="W189" t="n">
        <v>1.055220156</v>
      </c>
      <c r="X189" t="n">
        <v>-0.792530175</v>
      </c>
      <c r="AA189" t="n">
        <v>1.350757536</v>
      </c>
      <c r="AB189" t="n">
        <v>1.202459074</v>
      </c>
      <c r="AD189" t="n">
        <v>0.579154781</v>
      </c>
      <c r="AE189" t="n">
        <v>0.893571283</v>
      </c>
      <c r="AF189" t="n">
        <v>2.916855703</v>
      </c>
      <c r="AG189" t="n">
        <v>0.949749123</v>
      </c>
      <c r="AI189" t="n">
        <v>1.018713004</v>
      </c>
      <c r="AJ189" t="n">
        <v>1.49653161</v>
      </c>
      <c r="AK189" t="n">
        <v>-1.092729215</v>
      </c>
      <c r="AL189" t="n">
        <v>1.515655122</v>
      </c>
      <c r="AM189" t="n">
        <v>0.92656653</v>
      </c>
      <c r="AO189" t="n">
        <v>0.33869414</v>
      </c>
      <c r="AQ189" t="n">
        <v>1.788229087</v>
      </c>
      <c r="AS189" t="n">
        <v>1.155365408</v>
      </c>
      <c r="AU189" t="n">
        <v>0.97031284</v>
      </c>
      <c r="AV189" t="n">
        <v>-0.047133474</v>
      </c>
    </row>
    <row r="190">
      <c r="A190" t="inlineStr">
        <is>
          <t>1994-Q2</t>
        </is>
      </c>
      <c r="B190" s="87" t="n">
        <v>34516</v>
      </c>
      <c r="C190" t="n">
        <v>2.06825957</v>
      </c>
      <c r="D190" t="n">
        <v>1.188770456</v>
      </c>
      <c r="E190" t="n">
        <v>0.172232155</v>
      </c>
      <c r="F190" t="n">
        <v>1.149795769</v>
      </c>
      <c r="H190" t="n">
        <v>1.461328599</v>
      </c>
      <c r="I190" t="n">
        <v>-0.976812475</v>
      </c>
      <c r="L190" t="n">
        <v>0.967110121</v>
      </c>
      <c r="M190" t="n">
        <v>0.239648335</v>
      </c>
      <c r="N190" t="n">
        <v>2.928826792</v>
      </c>
      <c r="Q190" t="n">
        <v>0.219252651</v>
      </c>
      <c r="T190" t="n">
        <v>0.867921019</v>
      </c>
      <c r="U190" t="n">
        <v>1.005679173</v>
      </c>
      <c r="V190" t="n">
        <v>0.807602</v>
      </c>
      <c r="W190" t="n">
        <v>1.060404658</v>
      </c>
      <c r="X190" t="n">
        <v>1.218187105</v>
      </c>
      <c r="AA190" t="n">
        <v>1.729523864</v>
      </c>
      <c r="AB190" t="n">
        <v>0.853415134</v>
      </c>
      <c r="AD190" t="n">
        <v>0.832455565</v>
      </c>
      <c r="AE190" t="n">
        <v>-0.5478018569999999</v>
      </c>
      <c r="AF190" t="n">
        <v>1.631592096</v>
      </c>
      <c r="AG190" t="n">
        <v>0.753364699</v>
      </c>
      <c r="AI190" t="n">
        <v>2.101196255</v>
      </c>
      <c r="AJ190" t="n">
        <v>1.150384582</v>
      </c>
      <c r="AK190" t="n">
        <v>2.339464343</v>
      </c>
      <c r="AL190" t="n">
        <v>0.664658503</v>
      </c>
      <c r="AM190" t="n">
        <v>0.555222214</v>
      </c>
      <c r="AO190" t="n">
        <v>1.295817808</v>
      </c>
      <c r="AQ190" t="n">
        <v>1.218534052</v>
      </c>
      <c r="AS190" t="n">
        <v>1.015912924</v>
      </c>
      <c r="AU190" t="n">
        <v>1.355099752</v>
      </c>
      <c r="AV190" t="n">
        <v>0.975661962</v>
      </c>
    </row>
    <row r="191">
      <c r="A191" t="inlineStr">
        <is>
          <t>1994-Q3</t>
        </is>
      </c>
      <c r="B191" s="87" t="n">
        <v>34608</v>
      </c>
      <c r="C191" t="n">
        <v>0.252390576</v>
      </c>
      <c r="D191" t="n">
        <v>0.778161069</v>
      </c>
      <c r="E191" t="n">
        <v>0.906741452</v>
      </c>
      <c r="F191" t="n">
        <v>0.279731148</v>
      </c>
      <c r="H191" t="n">
        <v>1.278408105</v>
      </c>
      <c r="I191" t="n">
        <v>1.008617923</v>
      </c>
      <c r="L191" t="n">
        <v>1.359144477</v>
      </c>
      <c r="M191" t="n">
        <v>0.703946754</v>
      </c>
      <c r="N191" t="n">
        <v>-0.468871678</v>
      </c>
      <c r="Q191" t="n">
        <v>0.793995059</v>
      </c>
      <c r="T191" t="n">
        <v>2.283273409</v>
      </c>
      <c r="U191" t="n">
        <v>0.883696746</v>
      </c>
      <c r="V191" t="n">
        <v>0.803379</v>
      </c>
      <c r="W191" t="n">
        <v>1.083125744</v>
      </c>
      <c r="X191" t="n">
        <v>2.682229849</v>
      </c>
      <c r="AA191" t="n">
        <v>2.188891878</v>
      </c>
      <c r="AB191" t="n">
        <v>0.306349476</v>
      </c>
      <c r="AD191" t="n">
        <v>0.836590705</v>
      </c>
      <c r="AE191" t="n">
        <v>1.149359507</v>
      </c>
      <c r="AF191" t="n">
        <v>1.682199111</v>
      </c>
      <c r="AG191" t="n">
        <v>0.557057233</v>
      </c>
      <c r="AI191" t="n">
        <v>0.772595046</v>
      </c>
      <c r="AJ191" t="n">
        <v>0.758168233</v>
      </c>
      <c r="AK191" t="n">
        <v>-1.364477069</v>
      </c>
      <c r="AL191" t="n">
        <v>1.710847292</v>
      </c>
      <c r="AM191" t="n">
        <v>0.922080146</v>
      </c>
      <c r="AO191" t="n">
        <v>0.452189918</v>
      </c>
      <c r="AQ191" t="n">
        <v>1.899671272</v>
      </c>
      <c r="AS191" t="n">
        <v>0.844941151</v>
      </c>
      <c r="AU191" t="n">
        <v>0.584536016</v>
      </c>
      <c r="AV191" t="n">
        <v>1.124515257</v>
      </c>
    </row>
    <row r="192">
      <c r="A192" t="inlineStr">
        <is>
          <t>1994-Q4</t>
        </is>
      </c>
      <c r="B192" s="87" t="n">
        <v>34700</v>
      </c>
      <c r="C192" t="n">
        <v>1.240934576</v>
      </c>
      <c r="D192" t="n">
        <v>1.055664189</v>
      </c>
      <c r="E192" t="n">
        <v>1.350074333</v>
      </c>
      <c r="F192" t="n">
        <v>1.682112024</v>
      </c>
      <c r="H192" t="n">
        <v>0.729647389</v>
      </c>
      <c r="I192" t="n">
        <v>0.566913467</v>
      </c>
      <c r="L192" t="n">
        <v>2.186255117</v>
      </c>
      <c r="M192" t="n">
        <v>1.187024466</v>
      </c>
      <c r="N192" t="n">
        <v>2.508937106</v>
      </c>
      <c r="Q192" t="n">
        <v>0.374223486</v>
      </c>
      <c r="T192" t="n">
        <v>2.517726235</v>
      </c>
      <c r="U192" t="n">
        <v>0.883657399</v>
      </c>
      <c r="V192" t="n">
        <v>0.777783</v>
      </c>
      <c r="W192" t="n">
        <v>0.485532426</v>
      </c>
      <c r="X192" t="n">
        <v>-0.82163945</v>
      </c>
      <c r="AA192" t="n">
        <v>2.532276072</v>
      </c>
      <c r="AB192" t="n">
        <v>-0.182250763</v>
      </c>
      <c r="AD192" t="n">
        <v>0.953883933</v>
      </c>
      <c r="AE192" t="n">
        <v>-0.40257857</v>
      </c>
      <c r="AF192" t="n">
        <v>3.930438208</v>
      </c>
      <c r="AG192" t="n">
        <v>0.383915746</v>
      </c>
      <c r="AI192" t="n">
        <v>1.165016304</v>
      </c>
      <c r="AJ192" t="n">
        <v>0.946897658</v>
      </c>
      <c r="AK192" t="n">
        <v>3.969366254</v>
      </c>
      <c r="AL192" t="n">
        <v>1.330306034</v>
      </c>
      <c r="AM192" t="n">
        <v>0.972292996</v>
      </c>
      <c r="AO192" t="n">
        <v>1.201951322</v>
      </c>
      <c r="AQ192" t="n">
        <v>1.416354765</v>
      </c>
      <c r="AS192" t="n">
        <v>1.794308965</v>
      </c>
      <c r="AU192" t="n">
        <v>1.145518265</v>
      </c>
      <c r="AV192" t="n">
        <v>1.858295375</v>
      </c>
    </row>
    <row r="193">
      <c r="A193" t="inlineStr">
        <is>
          <t>1995-Q1</t>
        </is>
      </c>
      <c r="B193" s="87" t="n">
        <v>34790</v>
      </c>
      <c r="C193" t="n">
        <v>-1.543121762</v>
      </c>
      <c r="D193" t="n">
        <v>0.012789781</v>
      </c>
      <c r="E193" t="n">
        <v>0.836180191</v>
      </c>
      <c r="F193" t="n">
        <v>-0.055348257</v>
      </c>
      <c r="H193" t="n">
        <v>0.929487425</v>
      </c>
      <c r="I193" t="n">
        <v>-0.478681071</v>
      </c>
      <c r="L193" t="n">
        <v>1.708041588</v>
      </c>
      <c r="M193" t="n">
        <v>-0.338900346</v>
      </c>
      <c r="N193" t="n">
        <v>0.514218948</v>
      </c>
      <c r="Q193" t="n">
        <v>1.139887818</v>
      </c>
      <c r="T193" t="n">
        <v>-0.8264462809999999</v>
      </c>
      <c r="U193" t="n">
        <v>0.304440429</v>
      </c>
      <c r="V193" t="n">
        <v>0.468801</v>
      </c>
      <c r="W193" t="n">
        <v>0.250800926</v>
      </c>
      <c r="X193" t="n">
        <v>-0.040633383</v>
      </c>
      <c r="AA193" t="n">
        <v>5.137595044</v>
      </c>
      <c r="AB193" t="n">
        <v>-2.866830596</v>
      </c>
      <c r="AD193" t="n">
        <v>1.02795997</v>
      </c>
      <c r="AE193" t="n">
        <v>1.111325568</v>
      </c>
      <c r="AF193" t="n">
        <v>2.090489418</v>
      </c>
      <c r="AG193" t="n">
        <v>1.175591279</v>
      </c>
      <c r="AI193" t="n">
        <v>-5.757301812</v>
      </c>
      <c r="AJ193" t="n">
        <v>0.680302747</v>
      </c>
      <c r="AK193" t="n">
        <v>-0.724793914</v>
      </c>
      <c r="AL193" t="n">
        <v>1.21500931</v>
      </c>
      <c r="AM193" t="n">
        <v>0.341592287</v>
      </c>
      <c r="AO193" t="n">
        <v>0.174836529</v>
      </c>
      <c r="AQ193" t="n">
        <v>1.519058229</v>
      </c>
      <c r="AS193" t="n">
        <v>1.304720556</v>
      </c>
      <c r="AU193" t="n">
        <v>0.35469547</v>
      </c>
      <c r="AV193" t="n">
        <v>0.24994674</v>
      </c>
    </row>
    <row r="194">
      <c r="A194" t="inlineStr">
        <is>
          <t>1995-Q2</t>
        </is>
      </c>
      <c r="B194" s="87" t="n">
        <v>34881</v>
      </c>
      <c r="C194" t="n">
        <v>-3.790303996</v>
      </c>
      <c r="D194" t="n">
        <v>0.419946207</v>
      </c>
      <c r="E194" t="n">
        <v>0.424044226</v>
      </c>
      <c r="F194" t="n">
        <v>0.42061728</v>
      </c>
      <c r="H194" t="n">
        <v>0.040377509</v>
      </c>
      <c r="I194" t="n">
        <v>0.195887742</v>
      </c>
      <c r="J194" t="n">
        <v>2.757814856</v>
      </c>
      <c r="L194" t="n">
        <v>0.395624855</v>
      </c>
      <c r="M194" t="n">
        <v>0.732410482</v>
      </c>
      <c r="N194" t="n">
        <v>-0.286098332</v>
      </c>
      <c r="O194" t="n">
        <v>0.578129</v>
      </c>
      <c r="P194" t="n">
        <v>0.579991</v>
      </c>
      <c r="Q194" t="n">
        <v>0.626475344</v>
      </c>
      <c r="R194" t="n">
        <v>-0.988346394</v>
      </c>
      <c r="S194" t="n">
        <v>0.602108</v>
      </c>
      <c r="T194" t="n">
        <v>2.686170213</v>
      </c>
      <c r="U194" t="n">
        <v>0.626454392</v>
      </c>
      <c r="V194" t="n">
        <v>0.441701</v>
      </c>
      <c r="W194" t="n">
        <v>0.182819088</v>
      </c>
      <c r="X194" t="n">
        <v>0.947533377</v>
      </c>
      <c r="Y194" t="n">
        <v>-0.18706781</v>
      </c>
      <c r="AA194" t="n">
        <v>2.141747832</v>
      </c>
      <c r="AB194" t="n">
        <v>2.388079562</v>
      </c>
      <c r="AC194" t="n">
        <v>2.355522062</v>
      </c>
      <c r="AD194" t="n">
        <v>-0.006417736</v>
      </c>
      <c r="AE194" t="n">
        <v>0.943080921</v>
      </c>
      <c r="AF194" t="n">
        <v>2.021824591</v>
      </c>
      <c r="AG194" t="n">
        <v>1.049264784</v>
      </c>
      <c r="AH194" t="n">
        <v>0.542224356</v>
      </c>
      <c r="AI194" t="n">
        <v>-4.891772657</v>
      </c>
      <c r="AJ194" t="n">
        <v>0.784550155</v>
      </c>
      <c r="AK194" t="n">
        <v>0.877009104</v>
      </c>
      <c r="AL194" t="n">
        <v>1.275255675</v>
      </c>
      <c r="AM194" t="n">
        <v>0.365161698</v>
      </c>
      <c r="AN194" t="n">
        <v>1.87038719</v>
      </c>
      <c r="AO194" t="n">
        <v>1.179121107</v>
      </c>
      <c r="AQ194" t="n">
        <v>1.667921102</v>
      </c>
      <c r="AR194" t="n">
        <v>0.387006811</v>
      </c>
      <c r="AS194" t="n">
        <v>0.412605828</v>
      </c>
      <c r="AU194" t="n">
        <v>0.298305699</v>
      </c>
      <c r="AV194" t="n">
        <v>0.287484075</v>
      </c>
    </row>
    <row r="195">
      <c r="A195" t="inlineStr">
        <is>
          <t>1995-Q3</t>
        </is>
      </c>
      <c r="B195" s="87" t="n">
        <v>34973</v>
      </c>
      <c r="C195" t="n">
        <v>-0.386299513</v>
      </c>
      <c r="D195" t="n">
        <v>2.261019595</v>
      </c>
      <c r="E195" t="n">
        <v>0.226812689</v>
      </c>
      <c r="F195" t="n">
        <v>0.599565735</v>
      </c>
      <c r="H195" t="n">
        <v>0.131784833</v>
      </c>
      <c r="I195" t="n">
        <v>0.502138106</v>
      </c>
      <c r="J195" t="n">
        <v>0.489260671</v>
      </c>
      <c r="L195" t="n">
        <v>2.919067488</v>
      </c>
      <c r="M195" t="n">
        <v>0.16878415</v>
      </c>
      <c r="N195" t="n">
        <v>0.4170515</v>
      </c>
      <c r="O195" t="n">
        <v>0.3521</v>
      </c>
      <c r="P195" t="n">
        <v>0.35553</v>
      </c>
      <c r="Q195" t="n">
        <v>0.404785766</v>
      </c>
      <c r="R195" t="n">
        <v>-0.337686778</v>
      </c>
      <c r="S195" t="n">
        <v>0.405752</v>
      </c>
      <c r="T195" t="n">
        <v>-0.451811563</v>
      </c>
      <c r="U195" t="n">
        <v>0.15688441</v>
      </c>
      <c r="V195" t="n">
        <v>0.748389</v>
      </c>
      <c r="W195" t="n">
        <v>1.001778287</v>
      </c>
      <c r="X195" t="n">
        <v>0.537860114</v>
      </c>
      <c r="Y195" t="n">
        <v>-0.012413966</v>
      </c>
      <c r="AA195" t="n">
        <v>1.056255859</v>
      </c>
      <c r="AB195" t="n">
        <v>-0.893556816</v>
      </c>
      <c r="AC195" t="n">
        <v>1.182092004</v>
      </c>
      <c r="AD195" t="n">
        <v>0.6741903889999999</v>
      </c>
      <c r="AE195" t="n">
        <v>1.171935174</v>
      </c>
      <c r="AF195" t="n">
        <v>2.075873115</v>
      </c>
      <c r="AG195" t="n">
        <v>1.039608695</v>
      </c>
      <c r="AH195" t="n">
        <v>-1.03538621</v>
      </c>
      <c r="AI195" t="n">
        <v>1.896337995</v>
      </c>
      <c r="AJ195" t="n">
        <v>0.785696194</v>
      </c>
      <c r="AK195" t="n">
        <v>2.368342722</v>
      </c>
      <c r="AL195" t="n">
        <v>0.923616884</v>
      </c>
      <c r="AM195" t="n">
        <v>0.865186447</v>
      </c>
      <c r="AN195" t="n">
        <v>2.840434254</v>
      </c>
      <c r="AO195" t="n">
        <v>0.433832717</v>
      </c>
      <c r="AQ195" t="n">
        <v>0.5718676029999999</v>
      </c>
      <c r="AR195" t="n">
        <v>0.160993435</v>
      </c>
      <c r="AS195" t="n">
        <v>0.310864889</v>
      </c>
      <c r="AU195" t="n">
        <v>0.850664868</v>
      </c>
      <c r="AV195" t="n">
        <v>0.663462949</v>
      </c>
    </row>
    <row r="196">
      <c r="A196" t="inlineStr">
        <is>
          <t>1995-Q4</t>
        </is>
      </c>
      <c r="B196" s="87" t="n">
        <v>35065</v>
      </c>
      <c r="C196" t="n">
        <v>0.766784665</v>
      </c>
      <c r="D196" t="n">
        <v>-0.018880506</v>
      </c>
      <c r="E196" t="n">
        <v>0.344772176</v>
      </c>
      <c r="F196" t="n">
        <v>0.206090819</v>
      </c>
      <c r="H196" t="n">
        <v>0.409812959</v>
      </c>
      <c r="I196" t="n">
        <v>-0.136881189</v>
      </c>
      <c r="J196" t="n">
        <v>1.839741522</v>
      </c>
      <c r="L196" t="n">
        <v>-0.770604418</v>
      </c>
      <c r="M196" t="n">
        <v>0.051847395</v>
      </c>
      <c r="N196" t="n">
        <v>0.731687334</v>
      </c>
      <c r="O196" t="n">
        <v>0.359496</v>
      </c>
      <c r="P196" t="n">
        <v>0.367865</v>
      </c>
      <c r="Q196" t="n">
        <v>0.747758398</v>
      </c>
      <c r="R196" t="n">
        <v>1.169999267</v>
      </c>
      <c r="S196" t="n">
        <v>0.418005</v>
      </c>
      <c r="T196" t="n">
        <v>0.049144311</v>
      </c>
      <c r="U196" t="n">
        <v>-0.036040532</v>
      </c>
      <c r="V196" t="n">
        <v>0.431236</v>
      </c>
      <c r="W196" t="n">
        <v>0.178658391</v>
      </c>
      <c r="X196" t="n">
        <v>0.579167974</v>
      </c>
      <c r="Y196" t="n">
        <v>-0.418788777</v>
      </c>
      <c r="AA196" t="n">
        <v>1.501876933</v>
      </c>
      <c r="AB196" t="n">
        <v>0.058323831</v>
      </c>
      <c r="AC196" t="n">
        <v>0.7948128840000001</v>
      </c>
      <c r="AD196" t="n">
        <v>0.698715235</v>
      </c>
      <c r="AE196" t="n">
        <v>0.237511222</v>
      </c>
      <c r="AF196" t="n">
        <v>1.870552316</v>
      </c>
      <c r="AG196" t="n">
        <v>1.070725294</v>
      </c>
      <c r="AH196" t="n">
        <v>0.324841724</v>
      </c>
      <c r="AI196" t="n">
        <v>1.917268467</v>
      </c>
      <c r="AJ196" t="n">
        <v>0.712376003</v>
      </c>
      <c r="AK196" t="n">
        <v>1.239708717</v>
      </c>
      <c r="AL196" t="n">
        <v>0.671120466</v>
      </c>
      <c r="AM196" t="n">
        <v>0.542865629</v>
      </c>
      <c r="AN196" t="n">
        <v>1.209761567</v>
      </c>
      <c r="AO196" t="n">
        <v>0.677522441</v>
      </c>
      <c r="AQ196" t="n">
        <v>1.908485742</v>
      </c>
      <c r="AR196" t="n">
        <v>0.223028021</v>
      </c>
      <c r="AS196" t="n">
        <v>1.206232049</v>
      </c>
      <c r="AU196" t="n">
        <v>0.679036536</v>
      </c>
      <c r="AV196" t="n">
        <v>0.336366655</v>
      </c>
    </row>
    <row r="197">
      <c r="A197" t="inlineStr">
        <is>
          <t>1996-Q1</t>
        </is>
      </c>
      <c r="B197" s="87" t="n">
        <v>35156</v>
      </c>
      <c r="C197" t="n">
        <v>2.749659958</v>
      </c>
      <c r="D197" t="n">
        <v>1.647735719</v>
      </c>
      <c r="E197" t="n">
        <v>0.771304111</v>
      </c>
      <c r="F197" t="n">
        <v>-0.201498034</v>
      </c>
      <c r="H197" t="n">
        <v>0.06880559</v>
      </c>
      <c r="I197" t="n">
        <v>0.443841042</v>
      </c>
      <c r="J197" t="n">
        <v>3.079251895</v>
      </c>
      <c r="L197" t="n">
        <v>2.390120762</v>
      </c>
      <c r="M197" t="n">
        <v>-0.816170731</v>
      </c>
      <c r="N197" t="n">
        <v>0.015030293</v>
      </c>
      <c r="O197" t="n">
        <v>0.127567</v>
      </c>
      <c r="P197" t="n">
        <v>0.129865</v>
      </c>
      <c r="Q197" t="n">
        <v>0.596091367</v>
      </c>
      <c r="R197" t="n">
        <v>0.899311948</v>
      </c>
      <c r="S197" t="n">
        <v>0.215301</v>
      </c>
      <c r="T197" t="n">
        <v>1.80299922</v>
      </c>
      <c r="U197" t="n">
        <v>0.722535904</v>
      </c>
      <c r="V197" t="n">
        <v>0.496204</v>
      </c>
      <c r="W197" t="n">
        <v>0.404140934</v>
      </c>
      <c r="X197" t="n">
        <v>0.542957052</v>
      </c>
      <c r="Y197" t="n">
        <v>0.774484665</v>
      </c>
      <c r="AA197" t="n">
        <v>2.936973023</v>
      </c>
      <c r="AB197" t="n">
        <v>4.500016616</v>
      </c>
      <c r="AC197" t="n">
        <v>1.763555835</v>
      </c>
      <c r="AD197" t="n">
        <v>0.266556675</v>
      </c>
      <c r="AE197" t="n">
        <v>0.823593548</v>
      </c>
      <c r="AF197" t="n">
        <v>1.908135199</v>
      </c>
      <c r="AG197" t="n">
        <v>1.186705089</v>
      </c>
      <c r="AH197" t="n">
        <v>-0.26640487</v>
      </c>
      <c r="AI197" t="n">
        <v>2.692718907</v>
      </c>
      <c r="AJ197" t="n">
        <v>0.410827909</v>
      </c>
      <c r="AK197" t="n">
        <v>1.456644768</v>
      </c>
      <c r="AL197" t="n">
        <v>1.406017999</v>
      </c>
      <c r="AM197" t="n">
        <v>0.721181922</v>
      </c>
      <c r="AN197" t="n">
        <v>2.121506539</v>
      </c>
      <c r="AO197" t="n">
        <v>0.78990095</v>
      </c>
      <c r="AQ197" t="n">
        <v>1.692647037</v>
      </c>
      <c r="AR197" t="n">
        <v>0.528063441</v>
      </c>
      <c r="AS197" t="n">
        <v>0.693774239</v>
      </c>
      <c r="AU197" t="n">
        <v>0.748971329</v>
      </c>
      <c r="AV197" t="n">
        <v>1.852498307</v>
      </c>
    </row>
    <row r="198">
      <c r="A198" t="inlineStr">
        <is>
          <t>1996-Q2</t>
        </is>
      </c>
      <c r="B198" s="87" t="n">
        <v>35247</v>
      </c>
      <c r="C198" t="n">
        <v>2.228766023</v>
      </c>
      <c r="D198" t="n">
        <v>0.636789097</v>
      </c>
      <c r="E198" t="n">
        <v>0.748865301</v>
      </c>
      <c r="F198" t="n">
        <v>0.701793472</v>
      </c>
      <c r="G198" t="n">
        <v>1.252150548</v>
      </c>
      <c r="H198" t="n">
        <v>0.696292748</v>
      </c>
      <c r="I198" t="n">
        <v>-0.351312356</v>
      </c>
      <c r="J198" t="n">
        <v>0.994936771</v>
      </c>
      <c r="L198" t="n">
        <v>0.664028831</v>
      </c>
      <c r="M198" t="n">
        <v>1.345352952</v>
      </c>
      <c r="N198" t="n">
        <v>2.708013266</v>
      </c>
      <c r="O198" t="n">
        <v>0.69279</v>
      </c>
      <c r="P198" t="n">
        <v>0.6928840000000001</v>
      </c>
      <c r="Q198" t="n">
        <v>0.7444127780000001</v>
      </c>
      <c r="R198" t="n">
        <v>1.702640906</v>
      </c>
      <c r="S198" t="n">
        <v>0.706142</v>
      </c>
      <c r="T198" t="n">
        <v>0.789033009</v>
      </c>
      <c r="U198" t="n">
        <v>0.125545515</v>
      </c>
      <c r="V198" t="n">
        <v>1.161199</v>
      </c>
      <c r="W198" t="n">
        <v>0.039821691</v>
      </c>
      <c r="X198" t="n">
        <v>0.573881042</v>
      </c>
      <c r="Y198" t="n">
        <v>-0.7505321</v>
      </c>
      <c r="AA198" t="n">
        <v>2.250406036</v>
      </c>
      <c r="AB198" t="n">
        <v>0.270267656</v>
      </c>
      <c r="AC198" t="n">
        <v>1.332242328</v>
      </c>
      <c r="AD198" t="n">
        <v>-0.129782728</v>
      </c>
      <c r="AE198" t="n">
        <v>1.274075909</v>
      </c>
      <c r="AF198" t="n">
        <v>2.020152462</v>
      </c>
      <c r="AG198" t="n">
        <v>-7.017608955</v>
      </c>
      <c r="AH198" t="n">
        <v>-0.118722447</v>
      </c>
      <c r="AI198" t="n">
        <v>1.30615604</v>
      </c>
      <c r="AJ198" t="n">
        <v>1.114967157</v>
      </c>
      <c r="AK198" t="n">
        <v>-0.137804563</v>
      </c>
      <c r="AL198" t="n">
        <v>0.887494397</v>
      </c>
      <c r="AM198" t="n">
        <v>1.125549781</v>
      </c>
      <c r="AN198" t="n">
        <v>2.020675708</v>
      </c>
      <c r="AO198" t="n">
        <v>1.199491897</v>
      </c>
      <c r="AQ198" t="n">
        <v>1.172523361</v>
      </c>
      <c r="AR198" t="n">
        <v>1.350392246</v>
      </c>
      <c r="AS198" t="n">
        <v>-0.857164895</v>
      </c>
      <c r="AU198" t="n">
        <v>1.667883947</v>
      </c>
      <c r="AV198" t="n">
        <v>1.19135893</v>
      </c>
    </row>
    <row r="199">
      <c r="A199" t="inlineStr">
        <is>
          <t>1996-Q3</t>
        </is>
      </c>
      <c r="B199" s="87" t="n">
        <v>35339</v>
      </c>
      <c r="C199" t="n">
        <v>2.296677959</v>
      </c>
      <c r="D199" t="n">
        <v>0.799296148</v>
      </c>
      <c r="E199" t="n">
        <v>0.330163449</v>
      </c>
      <c r="F199" t="n">
        <v>0.46045354</v>
      </c>
      <c r="G199" t="n">
        <v>3.479018434</v>
      </c>
      <c r="H199" t="n">
        <v>0.863973279</v>
      </c>
      <c r="I199" t="n">
        <v>-0.056778619</v>
      </c>
      <c r="J199" t="n">
        <v>0.996914239</v>
      </c>
      <c r="L199" t="n">
        <v>0.522379104</v>
      </c>
      <c r="M199" t="n">
        <v>0.335095243</v>
      </c>
      <c r="N199" t="n">
        <v>0.282819107</v>
      </c>
      <c r="O199" t="n">
        <v>0.516594</v>
      </c>
      <c r="P199" t="n">
        <v>0.519607</v>
      </c>
      <c r="Q199" t="n">
        <v>0.857968292</v>
      </c>
      <c r="R199" t="n">
        <v>3.180538952</v>
      </c>
      <c r="S199" t="n">
        <v>0.484926</v>
      </c>
      <c r="T199" t="n">
        <v>0.58010194</v>
      </c>
      <c r="U199" t="n">
        <v>0.431455301</v>
      </c>
      <c r="V199" t="n">
        <v>0.617098</v>
      </c>
      <c r="W199" t="n">
        <v>1.063589112</v>
      </c>
      <c r="X199" t="n">
        <v>1.360099317</v>
      </c>
      <c r="Y199" t="n">
        <v>-0.148824542</v>
      </c>
      <c r="Z199" t="n">
        <v>0.48898</v>
      </c>
      <c r="AA199" t="n">
        <v>-0.592158544</v>
      </c>
      <c r="AB199" t="n">
        <v>-1.734481027</v>
      </c>
      <c r="AC199" t="n">
        <v>1.204359809</v>
      </c>
      <c r="AD199" t="n">
        <v>0.123362892</v>
      </c>
      <c r="AE199" t="n">
        <v>0.12811134</v>
      </c>
      <c r="AF199" t="n">
        <v>1.758931416</v>
      </c>
      <c r="AG199" t="n">
        <v>7.757616145</v>
      </c>
      <c r="AH199" t="n">
        <v>3.531357358</v>
      </c>
      <c r="AI199" t="n">
        <v>1.686586382</v>
      </c>
      <c r="AJ199" t="n">
        <v>1.400073112</v>
      </c>
      <c r="AK199" t="n">
        <v>3.350027011</v>
      </c>
      <c r="AL199" t="n">
        <v>0.654582075</v>
      </c>
      <c r="AM199" t="n">
        <v>0.728024976</v>
      </c>
      <c r="AN199" t="n">
        <v>1.08517757</v>
      </c>
      <c r="AO199" t="n">
        <v>1.356809474</v>
      </c>
      <c r="AQ199" t="n">
        <v>2.511165818</v>
      </c>
      <c r="AR199" t="n">
        <v>1.248648282</v>
      </c>
      <c r="AS199" t="n">
        <v>0.341545039</v>
      </c>
      <c r="AU199" t="n">
        <v>0.897010936</v>
      </c>
      <c r="AV199" t="n">
        <v>1.191484164</v>
      </c>
    </row>
    <row r="200">
      <c r="A200" t="inlineStr">
        <is>
          <t>1996-Q4</t>
        </is>
      </c>
      <c r="B200" s="87" t="n">
        <v>35431</v>
      </c>
      <c r="C200" t="n">
        <v>1.822265983</v>
      </c>
      <c r="D200" t="n">
        <v>0.931677019</v>
      </c>
      <c r="E200" t="n">
        <v>0.176539839</v>
      </c>
      <c r="F200" t="n">
        <v>0.78868044</v>
      </c>
      <c r="G200" t="n">
        <v>-0.746143641</v>
      </c>
      <c r="H200" t="n">
        <v>0.8053663599999999</v>
      </c>
      <c r="I200" t="n">
        <v>0.48850698</v>
      </c>
      <c r="J200" t="n">
        <v>1.433250697</v>
      </c>
      <c r="L200" t="n">
        <v>0.03648651</v>
      </c>
      <c r="M200" t="n">
        <v>0.757868462</v>
      </c>
      <c r="N200" t="n">
        <v>0.034009024</v>
      </c>
      <c r="O200" t="n">
        <v>0.472437</v>
      </c>
      <c r="P200" t="n">
        <v>0.476234</v>
      </c>
      <c r="Q200" t="n">
        <v>0.521448142</v>
      </c>
      <c r="R200" t="n">
        <v>2.032042567</v>
      </c>
      <c r="S200" t="n">
        <v>0.414972</v>
      </c>
      <c r="T200" t="n">
        <v>1.873057648</v>
      </c>
      <c r="U200" t="n">
        <v>0.333264402</v>
      </c>
      <c r="V200" t="n">
        <v>0.855373</v>
      </c>
      <c r="W200" t="n">
        <v>0.9957241100000001</v>
      </c>
      <c r="X200" t="n">
        <v>1.059410818</v>
      </c>
      <c r="Y200" t="n">
        <v>1.255589465</v>
      </c>
      <c r="Z200" t="n">
        <v>1.58557</v>
      </c>
      <c r="AA200" t="n">
        <v>1.286422251</v>
      </c>
      <c r="AB200" t="n">
        <v>2.231991686</v>
      </c>
      <c r="AC200" t="n">
        <v>1.657753184</v>
      </c>
      <c r="AD200" t="n">
        <v>-0.333282708</v>
      </c>
      <c r="AE200" t="n">
        <v>1.108264782</v>
      </c>
      <c r="AF200" t="n">
        <v>1.691579214</v>
      </c>
      <c r="AG200" t="n">
        <v>1.347940445</v>
      </c>
      <c r="AH200" t="n">
        <v>5.283354371</v>
      </c>
      <c r="AI200" t="n">
        <v>3.020638656</v>
      </c>
      <c r="AJ200" t="n">
        <v>0.710941146</v>
      </c>
      <c r="AK200" t="n">
        <v>-1.612266057</v>
      </c>
      <c r="AL200" t="n">
        <v>1.309478269</v>
      </c>
      <c r="AM200" t="n">
        <v>0.9564638</v>
      </c>
      <c r="AN200" t="n">
        <v>-3.476232795</v>
      </c>
      <c r="AO200" t="n">
        <v>0.282339693</v>
      </c>
      <c r="AQ200" t="n">
        <v>1.970310934</v>
      </c>
      <c r="AR200" t="n">
        <v>1.729729639</v>
      </c>
      <c r="AS200" t="n">
        <v>0.8196888</v>
      </c>
      <c r="AU200" t="n">
        <v>1.038397649</v>
      </c>
      <c r="AV200" t="n">
        <v>0.938171466</v>
      </c>
    </row>
    <row r="201">
      <c r="A201" t="inlineStr">
        <is>
          <t>1997-Q1</t>
        </is>
      </c>
      <c r="B201" s="87" t="n">
        <v>35521</v>
      </c>
      <c r="C201" t="n">
        <v>2.100205284</v>
      </c>
      <c r="D201" t="n">
        <v>0.629668951</v>
      </c>
      <c r="E201" t="n">
        <v>0.605663264</v>
      </c>
      <c r="F201" t="n">
        <v>1.002376205</v>
      </c>
      <c r="G201" t="n">
        <v>1.004076288</v>
      </c>
      <c r="H201" t="n">
        <v>1.319174451</v>
      </c>
      <c r="I201" t="n">
        <v>1.030380376</v>
      </c>
      <c r="J201" t="n">
        <v>2.267707579</v>
      </c>
      <c r="L201" t="n">
        <v>-0.451355878</v>
      </c>
      <c r="M201" t="n">
        <v>-0.522686688</v>
      </c>
      <c r="N201" t="n">
        <v>1.255106285</v>
      </c>
      <c r="O201" t="n">
        <v>0.254463</v>
      </c>
      <c r="P201" t="n">
        <v>0.259986</v>
      </c>
      <c r="Q201" t="n">
        <v>1.02024876</v>
      </c>
      <c r="R201" t="n">
        <v>3.625720995</v>
      </c>
      <c r="S201" t="n">
        <v>0.380964</v>
      </c>
      <c r="T201" t="n">
        <v>1.1790249</v>
      </c>
      <c r="U201" t="n">
        <v>0.332430923</v>
      </c>
      <c r="V201" t="n">
        <v>0.495771</v>
      </c>
      <c r="W201" t="n">
        <v>1.532448804</v>
      </c>
      <c r="X201" t="n">
        <v>0.570901131</v>
      </c>
      <c r="Y201" t="n">
        <v>0.9621282839999999</v>
      </c>
      <c r="Z201" t="n">
        <v>0.75236</v>
      </c>
      <c r="AA201" t="n">
        <v>4.236318716</v>
      </c>
      <c r="AB201" t="n">
        <v>4.161234672</v>
      </c>
      <c r="AC201" t="n">
        <v>0.896882889</v>
      </c>
      <c r="AD201" t="n">
        <v>0.354970203</v>
      </c>
      <c r="AE201" t="n">
        <v>0.26257977</v>
      </c>
      <c r="AF201" t="n">
        <v>0.46806387</v>
      </c>
      <c r="AG201" t="n">
        <v>0.6312388410000001</v>
      </c>
      <c r="AH201" t="n">
        <v>-0.81038239</v>
      </c>
      <c r="AI201" t="n">
        <v>0.176559769</v>
      </c>
      <c r="AJ201" t="n">
        <v>1.090973276</v>
      </c>
      <c r="AK201" t="n">
        <v>2.694030701</v>
      </c>
      <c r="AL201" t="n">
        <v>-0.377599628</v>
      </c>
      <c r="AM201" t="n">
        <v>0.6082076789999999</v>
      </c>
      <c r="AN201" t="n">
        <v>6.286629788</v>
      </c>
      <c r="AO201" t="n">
        <v>1.644745127</v>
      </c>
      <c r="AQ201" t="n">
        <v>0.984532308</v>
      </c>
      <c r="AR201" t="n">
        <v>0.377649057</v>
      </c>
      <c r="AS201" t="n">
        <v>0.891313913</v>
      </c>
      <c r="AU201" t="n">
        <v>0.645560777</v>
      </c>
      <c r="AV201" t="n">
        <v>0.46421678</v>
      </c>
    </row>
    <row r="202">
      <c r="A202" t="inlineStr">
        <is>
          <t>1997-Q2</t>
        </is>
      </c>
      <c r="B202" s="87" t="n">
        <v>35612</v>
      </c>
      <c r="C202" t="n">
        <v>1.487513881</v>
      </c>
      <c r="D202" t="n">
        <v>2.984776871</v>
      </c>
      <c r="E202" t="n">
        <v>0.283994502</v>
      </c>
      <c r="F202" t="n">
        <v>1.546782044</v>
      </c>
      <c r="G202" t="n">
        <v>0.567355952</v>
      </c>
      <c r="H202" t="n">
        <v>1.129631513</v>
      </c>
      <c r="I202" t="n">
        <v>0.285999578</v>
      </c>
      <c r="J202" t="n">
        <v>2.081233855</v>
      </c>
      <c r="L202" t="n">
        <v>-0.226835869</v>
      </c>
      <c r="M202" t="n">
        <v>1.294373116</v>
      </c>
      <c r="N202" t="n">
        <v>1.717487195</v>
      </c>
      <c r="O202" t="n">
        <v>1.219454</v>
      </c>
      <c r="P202" t="n">
        <v>1.222366</v>
      </c>
      <c r="Q202" t="n">
        <v>0.912896259</v>
      </c>
      <c r="R202" t="n">
        <v>4.202831486</v>
      </c>
      <c r="S202" t="n">
        <v>1.209252</v>
      </c>
      <c r="T202" t="n">
        <v>1.518402825</v>
      </c>
      <c r="U202" t="n">
        <v>1.024194907</v>
      </c>
      <c r="V202" t="n">
        <v>1.062939</v>
      </c>
      <c r="W202" t="n">
        <v>1.061110574</v>
      </c>
      <c r="X202" t="n">
        <v>1.714354301</v>
      </c>
      <c r="Y202" t="n">
        <v>1.088371476</v>
      </c>
      <c r="Z202" t="n">
        <v>0.40985</v>
      </c>
      <c r="AA202" t="n">
        <v>4.551138349</v>
      </c>
      <c r="AB202" t="n">
        <v>0.659648495</v>
      </c>
      <c r="AC202" t="n">
        <v>0.6089628580000001</v>
      </c>
      <c r="AD202" t="n">
        <v>1.347884028</v>
      </c>
      <c r="AE202" t="n">
        <v>-0.747524513</v>
      </c>
      <c r="AF202" t="n">
        <v>3.550552773</v>
      </c>
      <c r="AG202" t="n">
        <v>1.210765539</v>
      </c>
      <c r="AH202" t="n">
        <v>4.075656867</v>
      </c>
      <c r="AI202" t="n">
        <v>2.287756492</v>
      </c>
      <c r="AJ202" t="n">
        <v>1.041229521</v>
      </c>
      <c r="AK202" t="n">
        <v>2.424620113</v>
      </c>
      <c r="AL202" t="n">
        <v>1.96221354</v>
      </c>
      <c r="AM202" t="n">
        <v>1.285654122</v>
      </c>
      <c r="AN202" t="n">
        <v>1.386575462</v>
      </c>
      <c r="AO202" t="n">
        <v>0.908618014</v>
      </c>
      <c r="AQ202" t="n">
        <v>1.488004058</v>
      </c>
      <c r="AR202" t="n">
        <v>2.470560209</v>
      </c>
      <c r="AS202" t="n">
        <v>1.175212207</v>
      </c>
      <c r="AU202" t="n">
        <v>1.661978105</v>
      </c>
      <c r="AV202" t="n">
        <v>0.627410873</v>
      </c>
    </row>
    <row r="203">
      <c r="A203" t="inlineStr">
        <is>
          <t>1997-Q3</t>
        </is>
      </c>
      <c r="B203" s="87" t="n">
        <v>35704</v>
      </c>
      <c r="C203" t="n">
        <v>2.517217344</v>
      </c>
      <c r="D203" t="n">
        <v>0.127777198</v>
      </c>
      <c r="E203" t="n">
        <v>1.229151238</v>
      </c>
      <c r="F203" t="n">
        <v>0.881444397</v>
      </c>
      <c r="G203" t="n">
        <v>1.074533664</v>
      </c>
      <c r="H203" t="n">
        <v>1.183433842</v>
      </c>
      <c r="I203" t="n">
        <v>1.056378545</v>
      </c>
      <c r="J203" t="n">
        <v>2.258983605</v>
      </c>
      <c r="L203" t="n">
        <v>-0.581609633</v>
      </c>
      <c r="M203" t="n">
        <v>0.303642371</v>
      </c>
      <c r="N203" t="n">
        <v>-0.282299164</v>
      </c>
      <c r="O203" t="n">
        <v>0.815263</v>
      </c>
      <c r="P203" t="n">
        <v>0.814049</v>
      </c>
      <c r="Q203" t="n">
        <v>1.191036053</v>
      </c>
      <c r="R203" t="n">
        <v>2.693309229</v>
      </c>
      <c r="S203" t="n">
        <v>0.748553</v>
      </c>
      <c r="T203" t="n">
        <v>2.357253706</v>
      </c>
      <c r="U203" t="n">
        <v>0.940005279</v>
      </c>
      <c r="V203" t="n">
        <v>0.875317</v>
      </c>
      <c r="W203" t="n">
        <v>0.934035136</v>
      </c>
      <c r="X203" t="n">
        <v>1.595103859</v>
      </c>
      <c r="Y203" t="n">
        <v>0.8754152589999999</v>
      </c>
      <c r="Z203" t="n">
        <v>1.19283</v>
      </c>
      <c r="AA203" t="n">
        <v>1.653416972</v>
      </c>
      <c r="AB203" t="n">
        <v>-1.047716486</v>
      </c>
      <c r="AC203" t="n">
        <v>-0.008545379000000001</v>
      </c>
      <c r="AD203" t="n">
        <v>0.691892734</v>
      </c>
      <c r="AE203" t="n">
        <v>0.196753638</v>
      </c>
      <c r="AF203" t="n">
        <v>0.791744376</v>
      </c>
      <c r="AG203" t="n">
        <v>1.135210979</v>
      </c>
      <c r="AH203" t="n">
        <v>1.773930135</v>
      </c>
      <c r="AI203" t="n">
        <v>1.909181467</v>
      </c>
      <c r="AJ203" t="n">
        <v>1.45275968</v>
      </c>
      <c r="AK203" t="n">
        <v>-0.108184517</v>
      </c>
      <c r="AL203" t="n">
        <v>-0.231620486</v>
      </c>
      <c r="AM203" t="n">
        <v>0.921739837</v>
      </c>
      <c r="AN203" t="n">
        <v>0.383918615</v>
      </c>
      <c r="AO203" t="n">
        <v>1.300962327</v>
      </c>
      <c r="AQ203" t="n">
        <v>1.667655151</v>
      </c>
      <c r="AR203" t="n">
        <v>0.855481835</v>
      </c>
      <c r="AS203" t="n">
        <v>0.683351324</v>
      </c>
      <c r="AU203" t="n">
        <v>1.250778573</v>
      </c>
      <c r="AV203" t="n">
        <v>0.099423795</v>
      </c>
    </row>
    <row r="204">
      <c r="A204" t="inlineStr">
        <is>
          <t>1997-Q4</t>
        </is>
      </c>
      <c r="B204" s="87" t="n">
        <v>35796</v>
      </c>
      <c r="C204" t="n">
        <v>1.351457572</v>
      </c>
      <c r="D204" t="n">
        <v>1.454726746</v>
      </c>
      <c r="E204" t="n">
        <v>1.006380538</v>
      </c>
      <c r="F204" t="n">
        <v>0.5569780640000001</v>
      </c>
      <c r="G204" t="n">
        <v>1.022335332</v>
      </c>
      <c r="H204" t="n">
        <v>0.968322222</v>
      </c>
      <c r="I204" t="n">
        <v>0.769888419</v>
      </c>
      <c r="J204" t="n">
        <v>2.128630587</v>
      </c>
      <c r="L204" t="n">
        <v>-0.309888036</v>
      </c>
      <c r="M204" t="n">
        <v>0.756802935</v>
      </c>
      <c r="N204" t="n">
        <v>-0.013656432</v>
      </c>
      <c r="O204" t="n">
        <v>1.1208</v>
      </c>
      <c r="P204" t="n">
        <v>1.118792</v>
      </c>
      <c r="Q204" t="n">
        <v>1.366050308</v>
      </c>
      <c r="R204" t="n">
        <v>3.131922478</v>
      </c>
      <c r="S204" t="n">
        <v>1.131097</v>
      </c>
      <c r="T204" t="n">
        <v>2.946020128</v>
      </c>
      <c r="U204" t="n">
        <v>1.059021218</v>
      </c>
      <c r="V204" t="n">
        <v>0.835149</v>
      </c>
      <c r="W204" t="n">
        <v>1.45499958</v>
      </c>
      <c r="X204" t="n">
        <v>0.953433782</v>
      </c>
      <c r="Y204" t="n">
        <v>0.84146534</v>
      </c>
      <c r="Z204" t="n">
        <v>1.60086</v>
      </c>
      <c r="AA204" t="n">
        <v>1.657076833</v>
      </c>
      <c r="AB204" t="n">
        <v>2.90897562</v>
      </c>
      <c r="AC204" t="n">
        <v>1.776445064</v>
      </c>
      <c r="AD204" t="n">
        <v>1.797916923</v>
      </c>
      <c r="AE204" t="n">
        <v>0.029391152</v>
      </c>
      <c r="AF204" t="n">
        <v>-0.455994331</v>
      </c>
      <c r="AG204" t="n">
        <v>1.120175665</v>
      </c>
      <c r="AH204" t="n">
        <v>0.284142907</v>
      </c>
      <c r="AI204" t="n">
        <v>2.479604322</v>
      </c>
      <c r="AJ204" t="n">
        <v>1.282980368</v>
      </c>
      <c r="AK204" t="n">
        <v>1.419936855</v>
      </c>
      <c r="AL204" t="n">
        <v>-0.174835196</v>
      </c>
      <c r="AM204" t="n">
        <v>0.9474859839999999</v>
      </c>
      <c r="AN204" t="n">
        <v>1.724828466</v>
      </c>
      <c r="AO204" t="n">
        <v>0.672324286</v>
      </c>
      <c r="AQ204" t="n">
        <v>-0.542228621</v>
      </c>
      <c r="AR204" t="n">
        <v>0.324969875</v>
      </c>
      <c r="AS204" t="n">
        <v>2.110966501</v>
      </c>
      <c r="AU204" t="n">
        <v>0.858743563</v>
      </c>
      <c r="AV204" t="n">
        <v>0.013815329</v>
      </c>
    </row>
    <row r="205">
      <c r="A205" t="inlineStr">
        <is>
          <t>1998-Q1</t>
        </is>
      </c>
      <c r="B205" s="87" t="n">
        <v>35886</v>
      </c>
      <c r="C205" t="n">
        <v>0.5174215639999999</v>
      </c>
      <c r="D205" t="n">
        <v>0.6501912439999999</v>
      </c>
      <c r="E205" t="n">
        <v>0.841472793</v>
      </c>
      <c r="F205" t="n">
        <v>0.259883446</v>
      </c>
      <c r="G205" t="n">
        <v>-1.972785432</v>
      </c>
      <c r="H205" t="n">
        <v>1.41241503</v>
      </c>
      <c r="I205" t="n">
        <v>0.940083827</v>
      </c>
      <c r="J205" t="n">
        <v>0.803326686</v>
      </c>
      <c r="L205" t="n">
        <v>-0.00572119</v>
      </c>
      <c r="M205" t="n">
        <v>0.938915436</v>
      </c>
      <c r="N205" t="n">
        <v>1.507787696</v>
      </c>
      <c r="O205" t="n">
        <v>0.644493</v>
      </c>
      <c r="P205" t="n">
        <v>0.641194</v>
      </c>
      <c r="Q205" t="n">
        <v>0.8814271809999999</v>
      </c>
      <c r="R205" t="n">
        <v>0.818750899</v>
      </c>
      <c r="S205" t="n">
        <v>0.695226</v>
      </c>
      <c r="T205" t="n">
        <v>-0.728759332</v>
      </c>
      <c r="U205" t="n">
        <v>0.967178962</v>
      </c>
      <c r="V205" t="n">
        <v>0.47115</v>
      </c>
      <c r="W205" t="n">
        <v>0.600514803</v>
      </c>
      <c r="X205" t="n">
        <v>1.20090361</v>
      </c>
      <c r="Y205" t="n">
        <v>0.829282775</v>
      </c>
      <c r="Z205" t="n">
        <v>1.63007</v>
      </c>
      <c r="AA205" t="n">
        <v>2.274638506</v>
      </c>
      <c r="AB205" t="n">
        <v>-2.578806895</v>
      </c>
      <c r="AC205" t="n">
        <v>1.437387474</v>
      </c>
      <c r="AD205" t="n">
        <v>-0.756014947</v>
      </c>
      <c r="AE205" t="n">
        <v>-1.21063513</v>
      </c>
      <c r="AF205" t="n">
        <v>-6.818021985</v>
      </c>
      <c r="AG205" t="n">
        <v>1.072219919</v>
      </c>
      <c r="AH205" t="n">
        <v>5.791369714</v>
      </c>
      <c r="AI205" t="n">
        <v>0.918502433</v>
      </c>
      <c r="AJ205" t="n">
        <v>1.349037285</v>
      </c>
      <c r="AK205" t="n">
        <v>0.968966419</v>
      </c>
      <c r="AL205" t="n">
        <v>-0.528295386</v>
      </c>
      <c r="AM205" t="n">
        <v>0.409375173</v>
      </c>
      <c r="AN205" t="n">
        <v>1.964177941</v>
      </c>
      <c r="AO205" t="n">
        <v>1.447666569</v>
      </c>
      <c r="AQ205" t="n">
        <v>1.774051451</v>
      </c>
      <c r="AR205" t="n">
        <v>0.560366929</v>
      </c>
      <c r="AS205" t="n">
        <v>0.39354755</v>
      </c>
      <c r="AU205" t="n">
        <v>0.999375401</v>
      </c>
      <c r="AV205" t="n">
        <v>0.262703844</v>
      </c>
    </row>
    <row r="206">
      <c r="A206" t="inlineStr">
        <is>
          <t>1998-Q2</t>
        </is>
      </c>
      <c r="B206" s="87" t="n">
        <v>35977</v>
      </c>
      <c r="C206" t="n">
        <v>1.959505358</v>
      </c>
      <c r="D206" t="n">
        <v>0.930912112</v>
      </c>
      <c r="E206" t="n">
        <v>1.006285183</v>
      </c>
      <c r="F206" t="n">
        <v>0.332521666</v>
      </c>
      <c r="G206" t="n">
        <v>1.6198285</v>
      </c>
      <c r="H206" t="n">
        <v>0.053398141</v>
      </c>
      <c r="I206" t="n">
        <v>1.111488051</v>
      </c>
      <c r="J206" t="n">
        <v>1.696357568</v>
      </c>
      <c r="L206" t="n">
        <v>0.274087929</v>
      </c>
      <c r="M206" t="n">
        <v>-0.434083645</v>
      </c>
      <c r="N206" t="n">
        <v>-0.7552173</v>
      </c>
      <c r="O206" t="n">
        <v>0.439453</v>
      </c>
      <c r="P206" t="n">
        <v>0.439894</v>
      </c>
      <c r="Q206" t="n">
        <v>1.134158547</v>
      </c>
      <c r="R206" t="n">
        <v>-0.565287129</v>
      </c>
      <c r="S206" t="n">
        <v>0.421888</v>
      </c>
      <c r="T206" t="n">
        <v>2.01816089</v>
      </c>
      <c r="U206" t="n">
        <v>0.7838259359999999</v>
      </c>
      <c r="V206" t="n">
        <v>0.448845</v>
      </c>
      <c r="W206" t="n">
        <v>0.532167608</v>
      </c>
      <c r="X206" t="n">
        <v>0.442313892</v>
      </c>
      <c r="Y206" t="n">
        <v>1.541611686</v>
      </c>
      <c r="Z206" t="n">
        <v>1.31074</v>
      </c>
      <c r="AA206" t="n">
        <v>2.609346879</v>
      </c>
      <c r="AB206" t="n">
        <v>10.067048432</v>
      </c>
      <c r="AC206" t="n">
        <v>0.010618837</v>
      </c>
      <c r="AD206" t="n">
        <v>0.584501558</v>
      </c>
      <c r="AE206" t="n">
        <v>-0.440220044</v>
      </c>
      <c r="AF206" t="n">
        <v>-0.807932069</v>
      </c>
      <c r="AG206" t="n">
        <v>3.511903992</v>
      </c>
      <c r="AH206" t="n">
        <v>-0.50210121</v>
      </c>
      <c r="AI206" t="n">
        <v>0.719120234</v>
      </c>
      <c r="AJ206" t="n">
        <v>0.715690359</v>
      </c>
      <c r="AK206" t="n">
        <v>1.139085798</v>
      </c>
      <c r="AL206" t="n">
        <v>0.522441911</v>
      </c>
      <c r="AM206" t="n">
        <v>0.4563627</v>
      </c>
      <c r="AN206" t="n">
        <v>0.013995819</v>
      </c>
      <c r="AO206" t="n">
        <v>1.535719128</v>
      </c>
      <c r="AQ206" t="n">
        <v>0.005595249</v>
      </c>
      <c r="AR206" t="n">
        <v>0.823707364</v>
      </c>
      <c r="AS206" t="n">
        <v>1.352632032</v>
      </c>
      <c r="AT206" t="n">
        <v>-0.796542956</v>
      </c>
      <c r="AU206" t="n">
        <v>0.925820507</v>
      </c>
      <c r="AV206" t="n">
        <v>0.141425317</v>
      </c>
    </row>
    <row r="207">
      <c r="A207" t="inlineStr">
        <is>
          <t>1998-Q3</t>
        </is>
      </c>
      <c r="B207" s="87" t="n">
        <v>36069</v>
      </c>
      <c r="C207" t="n">
        <v>-0.304614298</v>
      </c>
      <c r="D207" t="n">
        <v>1.903854276</v>
      </c>
      <c r="E207" t="n">
        <v>0.724918257</v>
      </c>
      <c r="F207" t="n">
        <v>0.292275574</v>
      </c>
      <c r="G207" t="n">
        <v>-0.080704975</v>
      </c>
      <c r="H207" t="n">
        <v>0.91021039</v>
      </c>
      <c r="I207" t="n">
        <v>-0.03141297</v>
      </c>
      <c r="J207" t="n">
        <v>-0.671693751</v>
      </c>
      <c r="L207" t="n">
        <v>0.034371124</v>
      </c>
      <c r="M207" t="n">
        <v>0.473338191</v>
      </c>
      <c r="N207" t="n">
        <v>1.837315059</v>
      </c>
      <c r="O207" t="n">
        <v>0.602925</v>
      </c>
      <c r="P207" t="n">
        <v>0.605233</v>
      </c>
      <c r="Q207" t="n">
        <v>0.9457255530000001</v>
      </c>
      <c r="R207" t="n">
        <v>-0.101681768</v>
      </c>
      <c r="S207" t="n">
        <v>0.602043</v>
      </c>
      <c r="T207" t="n">
        <v>1.256142814</v>
      </c>
      <c r="U207" t="n">
        <v>0.60022231</v>
      </c>
      <c r="V207" t="n">
        <v>0.778506</v>
      </c>
      <c r="W207" t="n">
        <v>0.300977384</v>
      </c>
      <c r="X207" t="n">
        <v>0.349172632</v>
      </c>
      <c r="Y207" t="n">
        <v>0.926370349</v>
      </c>
      <c r="Z207" t="n">
        <v>1.81475</v>
      </c>
      <c r="AA207" t="n">
        <v>3.704940654</v>
      </c>
      <c r="AB207" t="n">
        <v>-0.342422072</v>
      </c>
      <c r="AC207" t="n">
        <v>0.933216005</v>
      </c>
      <c r="AD207" t="n">
        <v>0.137618776</v>
      </c>
      <c r="AE207" t="n">
        <v>0.180778806</v>
      </c>
      <c r="AF207" t="n">
        <v>1.747151805</v>
      </c>
      <c r="AG207" t="n">
        <v>1.849443206</v>
      </c>
      <c r="AH207" t="n">
        <v>-0.9669679329999999</v>
      </c>
      <c r="AI207" t="n">
        <v>0.517837338</v>
      </c>
      <c r="AJ207" t="n">
        <v>0.853584161</v>
      </c>
      <c r="AK207" t="n">
        <v>-1.802816448</v>
      </c>
      <c r="AL207" t="n">
        <v>0.103371045</v>
      </c>
      <c r="AM207" t="n">
        <v>0.698699716</v>
      </c>
      <c r="AN207" t="n">
        <v>0.95970393</v>
      </c>
      <c r="AO207" t="n">
        <v>1.108503881</v>
      </c>
      <c r="AQ207" t="n">
        <v>-0.831251206</v>
      </c>
      <c r="AR207" t="n">
        <v>0.773856323</v>
      </c>
      <c r="AS207" t="n">
        <v>0.475202123</v>
      </c>
      <c r="AT207" t="n">
        <v>-1.407074898</v>
      </c>
      <c r="AU207" t="n">
        <v>1.252764553</v>
      </c>
      <c r="AV207" t="n">
        <v>-0.219033432</v>
      </c>
    </row>
    <row r="208">
      <c r="A208" t="inlineStr">
        <is>
          <t>1998-Q4</t>
        </is>
      </c>
      <c r="B208" s="87" t="n">
        <v>36161</v>
      </c>
      <c r="C208" t="n">
        <v>-2.549266052</v>
      </c>
      <c r="D208" t="n">
        <v>1.515103209</v>
      </c>
      <c r="E208" t="n">
        <v>0.381522037</v>
      </c>
      <c r="F208" t="n">
        <v>0.223771857</v>
      </c>
      <c r="G208" t="n">
        <v>-1.004625923</v>
      </c>
      <c r="H208" t="n">
        <v>1.360670376</v>
      </c>
      <c r="I208" t="n">
        <v>-0.091971172</v>
      </c>
      <c r="J208" t="n">
        <v>-3.23674085</v>
      </c>
      <c r="L208" t="n">
        <v>0.065187632</v>
      </c>
      <c r="M208" t="n">
        <v>-0.40911843</v>
      </c>
      <c r="N208" t="n">
        <v>0.320757081</v>
      </c>
      <c r="O208" t="n">
        <v>0.123987</v>
      </c>
      <c r="P208" t="n">
        <v>0.12814</v>
      </c>
      <c r="Q208" t="n">
        <v>1.086423705</v>
      </c>
      <c r="R208" t="n">
        <v>-1.820650521</v>
      </c>
      <c r="S208" t="n">
        <v>0.186427</v>
      </c>
      <c r="T208" t="n">
        <v>0.8864677480000001</v>
      </c>
      <c r="U208" t="n">
        <v>0.716457933</v>
      </c>
      <c r="V208" t="n">
        <v>0.959637</v>
      </c>
      <c r="W208" t="n">
        <v>0.625417867</v>
      </c>
      <c r="X208" t="n">
        <v>0.787992764</v>
      </c>
      <c r="Y208" t="n">
        <v>0.049344482</v>
      </c>
      <c r="Z208" t="n">
        <v>1.31071</v>
      </c>
      <c r="AA208" t="n">
        <v>-2.395999242</v>
      </c>
      <c r="AB208" t="n">
        <v>3.267955141</v>
      </c>
      <c r="AC208" t="n">
        <v>0.694992346</v>
      </c>
      <c r="AD208" t="n">
        <v>-0.548654226</v>
      </c>
      <c r="AE208" t="n">
        <v>0.798402727</v>
      </c>
      <c r="AF208" t="n">
        <v>2.496049822</v>
      </c>
      <c r="AG208" t="n">
        <v>0.616306338</v>
      </c>
      <c r="AH208" t="n">
        <v>-2.608850264</v>
      </c>
      <c r="AI208" t="n">
        <v>0.133538137</v>
      </c>
      <c r="AJ208" t="n">
        <v>0.9151123759999999</v>
      </c>
      <c r="AK208" t="n">
        <v>0.51406922</v>
      </c>
      <c r="AL208" t="n">
        <v>0.998221559</v>
      </c>
      <c r="AM208" t="n">
        <v>0.84572513</v>
      </c>
      <c r="AN208" t="n">
        <v>0.308403628</v>
      </c>
      <c r="AO208" t="n">
        <v>0.753210152</v>
      </c>
      <c r="AQ208" t="n">
        <v>7.572667353</v>
      </c>
      <c r="AR208" t="n">
        <v>0.745646544</v>
      </c>
      <c r="AS208" t="n">
        <v>1.24636765</v>
      </c>
      <c r="AT208" t="n">
        <v>-0.258688159</v>
      </c>
      <c r="AU208" t="n">
        <v>1.616190702</v>
      </c>
      <c r="AV208" t="n">
        <v>0.096284366</v>
      </c>
    </row>
    <row r="209">
      <c r="A209" t="inlineStr">
        <is>
          <t>1999-Q1</t>
        </is>
      </c>
      <c r="B209" s="87" t="n">
        <v>36251</v>
      </c>
      <c r="C209" t="n">
        <v>-1.245853391</v>
      </c>
      <c r="D209" t="n">
        <v>0.7303676609999999</v>
      </c>
      <c r="E209" t="n">
        <v>0.623542662</v>
      </c>
      <c r="F209" t="n">
        <v>1.04496599</v>
      </c>
      <c r="G209" t="n">
        <v>0.162153334</v>
      </c>
      <c r="H209" t="n">
        <v>1.813816174</v>
      </c>
      <c r="I209" t="n">
        <v>0.093644317</v>
      </c>
      <c r="J209" t="n">
        <v>0.019194374</v>
      </c>
      <c r="L209" t="n">
        <v>0.020765021</v>
      </c>
      <c r="M209" t="n">
        <v>1.154631146</v>
      </c>
      <c r="N209" t="n">
        <v>0.906036323</v>
      </c>
      <c r="O209" t="n">
        <v>1.108828</v>
      </c>
      <c r="P209" t="n">
        <v>1.09289</v>
      </c>
      <c r="Q209" t="n">
        <v>1.003493424</v>
      </c>
      <c r="R209" t="n">
        <v>-0.757954816</v>
      </c>
      <c r="S209" t="n">
        <v>0.972575</v>
      </c>
      <c r="T209" t="n">
        <v>1.649363081</v>
      </c>
      <c r="U209" t="n">
        <v>0.65870072</v>
      </c>
      <c r="V209" t="n">
        <v>0.562082</v>
      </c>
      <c r="W209" t="n">
        <v>0.71753313</v>
      </c>
      <c r="X209" t="n">
        <v>0.762331324</v>
      </c>
      <c r="Y209" t="n">
        <v>-0.018766365</v>
      </c>
      <c r="Z209" t="n">
        <v>1.62415</v>
      </c>
      <c r="AA209" t="n">
        <v>5.635400123</v>
      </c>
      <c r="AB209" t="n">
        <v>-0.310186112</v>
      </c>
      <c r="AC209" t="n">
        <v>-0.791303246</v>
      </c>
      <c r="AD209" t="n">
        <v>0.689512123</v>
      </c>
      <c r="AE209" t="n">
        <v>-1.372258443</v>
      </c>
      <c r="AF209" t="n">
        <v>3.03463255</v>
      </c>
      <c r="AG209" t="n">
        <v>2.745075645</v>
      </c>
      <c r="AH209" t="n">
        <v>3.543088284</v>
      </c>
      <c r="AI209" t="n">
        <v>1.010733905</v>
      </c>
      <c r="AJ209" t="n">
        <v>1.666753831</v>
      </c>
      <c r="AK209" t="n">
        <v>0.856045865</v>
      </c>
      <c r="AL209" t="n">
        <v>1.161601818</v>
      </c>
      <c r="AM209" t="n">
        <v>0.650605599</v>
      </c>
      <c r="AN209" t="n">
        <v>0.80454126</v>
      </c>
      <c r="AO209" t="n">
        <v>1.32919639</v>
      </c>
      <c r="AQ209" t="n">
        <v>-3.356817097</v>
      </c>
      <c r="AR209" t="n">
        <v>1.762052808</v>
      </c>
      <c r="AS209" t="n">
        <v>1.08850564</v>
      </c>
      <c r="AT209" t="n">
        <v>-1.685820218</v>
      </c>
      <c r="AU209" t="n">
        <v>0.943826615</v>
      </c>
      <c r="AV209" t="n">
        <v>0.961068944</v>
      </c>
    </row>
    <row r="210">
      <c r="A210" t="inlineStr">
        <is>
          <t>1999-Q2</t>
        </is>
      </c>
      <c r="B210" s="87" t="n">
        <v>36342</v>
      </c>
      <c r="C210" t="n">
        <v>-1.129907359</v>
      </c>
      <c r="D210" t="n">
        <v>0.324602215</v>
      </c>
      <c r="E210" t="n">
        <v>1.334640263</v>
      </c>
      <c r="F210" t="n">
        <v>1.368173585</v>
      </c>
      <c r="G210" t="n">
        <v>0.408309334</v>
      </c>
      <c r="H210" t="n">
        <v>0.836544698</v>
      </c>
      <c r="I210" t="n">
        <v>0.576256827</v>
      </c>
      <c r="J210" t="n">
        <v>0.272836528</v>
      </c>
      <c r="L210" t="n">
        <v>0.460670666</v>
      </c>
      <c r="M210" t="n">
        <v>4.88e-06</v>
      </c>
      <c r="N210" t="n">
        <v>0.516383093</v>
      </c>
      <c r="O210" t="n">
        <v>0.451816</v>
      </c>
      <c r="P210" t="n">
        <v>0.4558</v>
      </c>
      <c r="Q210" t="n">
        <v>1.192424139</v>
      </c>
      <c r="R210" t="n">
        <v>0.877412453</v>
      </c>
      <c r="S210" t="n">
        <v>0.564265</v>
      </c>
      <c r="T210" t="n">
        <v>0.531208499</v>
      </c>
      <c r="U210" t="n">
        <v>0.631591776</v>
      </c>
      <c r="V210" t="n">
        <v>0.591445</v>
      </c>
      <c r="W210" t="n">
        <v>0.404129602</v>
      </c>
      <c r="X210" t="n">
        <v>0.93320509</v>
      </c>
      <c r="Y210" t="n">
        <v>1.11614035</v>
      </c>
      <c r="Z210" t="n">
        <v>2.58223</v>
      </c>
      <c r="AA210" t="n">
        <v>1.159363724</v>
      </c>
      <c r="AB210" t="n">
        <v>-2.261945487</v>
      </c>
      <c r="AC210" t="n">
        <v>4.075347149</v>
      </c>
      <c r="AD210" t="n">
        <v>0.346684793</v>
      </c>
      <c r="AE210" t="n">
        <v>0.379373888</v>
      </c>
      <c r="AF210" t="n">
        <v>4.383164849</v>
      </c>
      <c r="AG210" t="n">
        <v>2.159141889</v>
      </c>
      <c r="AH210" t="n">
        <v>-1.585285941</v>
      </c>
      <c r="AI210" t="n">
        <v>0.593386236</v>
      </c>
      <c r="AJ210" t="n">
        <v>1.112901909</v>
      </c>
      <c r="AK210" t="n">
        <v>0.045643771</v>
      </c>
      <c r="AL210" t="n">
        <v>0.794519779</v>
      </c>
      <c r="AM210" t="n">
        <v>0.731455541</v>
      </c>
      <c r="AN210" t="n">
        <v>2.094580674</v>
      </c>
      <c r="AO210" t="n">
        <v>0.52210511</v>
      </c>
      <c r="AQ210" t="n">
        <v>-1.701058284</v>
      </c>
      <c r="AR210" t="n">
        <v>4.191901311</v>
      </c>
      <c r="AS210" t="n">
        <v>0.6851744910000001</v>
      </c>
      <c r="AT210" t="n">
        <v>-0.563715666</v>
      </c>
      <c r="AU210" t="n">
        <v>0.83500003</v>
      </c>
      <c r="AV210" t="n">
        <v>0.795890222</v>
      </c>
    </row>
    <row r="211">
      <c r="A211" t="inlineStr">
        <is>
          <t>1999-Q3</t>
        </is>
      </c>
      <c r="B211" s="87" t="n">
        <v>36434</v>
      </c>
      <c r="C211" t="n">
        <v>-0.288150498</v>
      </c>
      <c r="D211" t="n">
        <v>1.15815717</v>
      </c>
      <c r="E211" t="n">
        <v>1.653365346</v>
      </c>
      <c r="F211" t="n">
        <v>1.452361037</v>
      </c>
      <c r="G211" t="n">
        <v>0.107492258</v>
      </c>
      <c r="H211" t="n">
        <v>1.56467609</v>
      </c>
      <c r="I211" t="n">
        <v>0.609090967</v>
      </c>
      <c r="J211" t="n">
        <v>2.109523192</v>
      </c>
      <c r="L211" t="n">
        <v>0.918467132</v>
      </c>
      <c r="M211" t="n">
        <v>1.119865514</v>
      </c>
      <c r="N211" t="n">
        <v>0.618053367</v>
      </c>
      <c r="O211" t="n">
        <v>1.13748</v>
      </c>
      <c r="P211" t="n">
        <v>1.129892</v>
      </c>
      <c r="Q211" t="n">
        <v>1.330389822</v>
      </c>
      <c r="R211" t="n">
        <v>1.031388809</v>
      </c>
      <c r="S211" t="n">
        <v>1.189346</v>
      </c>
      <c r="T211" t="n">
        <v>0.533205236</v>
      </c>
      <c r="U211" t="n">
        <v>1.471402532</v>
      </c>
      <c r="V211" t="n">
        <v>1.188295</v>
      </c>
      <c r="W211" t="n">
        <v>1.680630967</v>
      </c>
      <c r="X211" t="n">
        <v>0.382797756</v>
      </c>
      <c r="Y211" t="n">
        <v>1.874601682</v>
      </c>
      <c r="Z211" t="n">
        <v>1.24533</v>
      </c>
      <c r="AA211" t="n">
        <v>4.028264532</v>
      </c>
      <c r="AB211" t="n">
        <v>0.7397783959999999</v>
      </c>
      <c r="AC211" t="n">
        <v>0.322171816</v>
      </c>
      <c r="AD211" t="n">
        <v>0.882519021</v>
      </c>
      <c r="AE211" t="n">
        <v>0.534001286</v>
      </c>
      <c r="AF211" t="n">
        <v>2.781170984</v>
      </c>
      <c r="AG211" t="n">
        <v>2.875859911</v>
      </c>
      <c r="AH211" t="n">
        <v>3.573544764</v>
      </c>
      <c r="AI211" t="n">
        <v>0.9771776720000001</v>
      </c>
      <c r="AJ211" t="n">
        <v>1.37722889</v>
      </c>
      <c r="AK211" t="n">
        <v>2.065328178</v>
      </c>
      <c r="AL211" t="n">
        <v>2.785360147</v>
      </c>
      <c r="AM211" t="n">
        <v>1.180123097</v>
      </c>
      <c r="AN211" t="n">
        <v>2.000778429</v>
      </c>
      <c r="AO211" t="n">
        <v>0.9803988729999999</v>
      </c>
      <c r="AQ211" t="n">
        <v>-0.622072239</v>
      </c>
      <c r="AR211" t="n">
        <v>-2.663432961</v>
      </c>
      <c r="AS211" t="n">
        <v>0.725324321</v>
      </c>
      <c r="AT211" t="n">
        <v>-1.686618055</v>
      </c>
      <c r="AU211" t="n">
        <v>1.323027026</v>
      </c>
      <c r="AV211" t="n">
        <v>1.091897244</v>
      </c>
    </row>
    <row r="212">
      <c r="A212" t="inlineStr">
        <is>
          <t>1999-Q4</t>
        </is>
      </c>
      <c r="B212" s="87" t="n">
        <v>36526</v>
      </c>
      <c r="C212" t="n">
        <v>1.672821014</v>
      </c>
      <c r="D212" t="n">
        <v>1.697206368</v>
      </c>
      <c r="E212" t="n">
        <v>0.29846761</v>
      </c>
      <c r="F212" t="n">
        <v>1.18423025</v>
      </c>
      <c r="G212" t="n">
        <v>1.374394107</v>
      </c>
      <c r="H212" t="n">
        <v>1.40669634</v>
      </c>
      <c r="I212" t="n">
        <v>2.44812945</v>
      </c>
      <c r="J212" t="n">
        <v>2.634063267</v>
      </c>
      <c r="L212" t="n">
        <v>1.125188044</v>
      </c>
      <c r="M212" t="n">
        <v>0.8153816149999999</v>
      </c>
      <c r="N212" t="n">
        <v>1.398796059</v>
      </c>
      <c r="O212" t="n">
        <v>1.151479</v>
      </c>
      <c r="P212" t="n">
        <v>1.149044</v>
      </c>
      <c r="Q212" t="n">
        <v>1.121813248</v>
      </c>
      <c r="R212" t="n">
        <v>2.589980216</v>
      </c>
      <c r="S212" t="n">
        <v>1.160412</v>
      </c>
      <c r="T212" t="n">
        <v>0.8529039349999999</v>
      </c>
      <c r="U212" t="n">
        <v>1.357536802</v>
      </c>
      <c r="V212" t="n">
        <v>1.239236</v>
      </c>
      <c r="W212" t="n">
        <v>1.44958507</v>
      </c>
      <c r="X212" t="n">
        <v>1.598924514</v>
      </c>
      <c r="Y212" t="n">
        <v>1.174144219</v>
      </c>
      <c r="Z212" t="n">
        <v>1.65076</v>
      </c>
      <c r="AA212" t="n">
        <v>2.332996686</v>
      </c>
      <c r="AB212" t="n">
        <v>4.353663215</v>
      </c>
      <c r="AC212" t="n">
        <v>1.737235096</v>
      </c>
      <c r="AD212" t="n">
        <v>1.462181135</v>
      </c>
      <c r="AE212" t="n">
        <v>0.034387699</v>
      </c>
      <c r="AF212" t="n">
        <v>2.886255375</v>
      </c>
      <c r="AG212" t="n">
        <v>-0.408235262</v>
      </c>
      <c r="AH212" t="n">
        <v>3.294568464</v>
      </c>
      <c r="AI212" t="n">
        <v>0.917446798</v>
      </c>
      <c r="AJ212" t="n">
        <v>1.406875109</v>
      </c>
      <c r="AK212" t="n">
        <v>1.728707385</v>
      </c>
      <c r="AL212" t="n">
        <v>1.2194461</v>
      </c>
      <c r="AM212" t="n">
        <v>1.324482086</v>
      </c>
      <c r="AN212" t="n">
        <v>1.48063991</v>
      </c>
      <c r="AO212" t="n">
        <v>0.57433716</v>
      </c>
      <c r="AQ212" t="n">
        <v>-0.452757899</v>
      </c>
      <c r="AR212" t="n">
        <v>1.802099819</v>
      </c>
      <c r="AS212" t="n">
        <v>1.907741909</v>
      </c>
      <c r="AT212" t="n">
        <v>2.987420294</v>
      </c>
      <c r="AU212" t="n">
        <v>1.642779005</v>
      </c>
      <c r="AV212" t="n">
        <v>1.099982162</v>
      </c>
    </row>
    <row r="213">
      <c r="A213" t="inlineStr">
        <is>
          <t>2000-Q1</t>
        </is>
      </c>
      <c r="B213" s="87" t="n">
        <v>36617</v>
      </c>
      <c r="C213" t="n">
        <v>-0.340002407</v>
      </c>
      <c r="D213" t="n">
        <v>0.402115976</v>
      </c>
      <c r="E213" t="n">
        <v>0.905101448</v>
      </c>
      <c r="F213" t="n">
        <v>0.711111111</v>
      </c>
      <c r="G213" t="n">
        <v>1.086328118</v>
      </c>
      <c r="H213" t="n">
        <v>1.59973568</v>
      </c>
      <c r="I213" t="n">
        <v>0.606394693</v>
      </c>
      <c r="J213" t="n">
        <v>0.9447803849999999</v>
      </c>
      <c r="L213" t="n">
        <v>1.326017012</v>
      </c>
      <c r="M213" t="n">
        <v>1.430528223</v>
      </c>
      <c r="N213" t="n">
        <v>0.975099668</v>
      </c>
      <c r="O213" t="n">
        <v>1.240518</v>
      </c>
      <c r="P213" t="n">
        <v>1.245457</v>
      </c>
      <c r="Q213" t="n">
        <v>1.604993102</v>
      </c>
      <c r="R213" t="n">
        <v>3.798030178</v>
      </c>
      <c r="S213" t="n">
        <v>1.174568</v>
      </c>
      <c r="T213" t="n">
        <v>2.982422893</v>
      </c>
      <c r="U213" t="n">
        <v>0.8396765940000001</v>
      </c>
      <c r="V213" t="n">
        <v>0.886391</v>
      </c>
      <c r="W213" t="n">
        <v>1.161303589</v>
      </c>
      <c r="X213" t="n">
        <v>0.37966256</v>
      </c>
      <c r="Y213" t="n">
        <v>0.899073431</v>
      </c>
      <c r="Z213" t="n">
        <v>2.09953</v>
      </c>
      <c r="AA213" t="n">
        <v>0.921888534</v>
      </c>
      <c r="AB213" t="n">
        <v>-0.072197057</v>
      </c>
      <c r="AC213" t="n">
        <v>2.187655389</v>
      </c>
      <c r="AD213" t="n">
        <v>1.112893605</v>
      </c>
      <c r="AE213" t="n">
        <v>1.702474872</v>
      </c>
      <c r="AF213" t="n">
        <v>1.895051738</v>
      </c>
      <c r="AG213" t="n">
        <v>5.175644811</v>
      </c>
      <c r="AH213" t="n">
        <v>0.877335389</v>
      </c>
      <c r="AI213" t="n">
        <v>1.884811407</v>
      </c>
      <c r="AJ213" t="n">
        <v>0.62271011</v>
      </c>
      <c r="AK213" t="n">
        <v>1.512039914</v>
      </c>
      <c r="AL213" t="n">
        <v>1.451060184</v>
      </c>
      <c r="AM213" t="n">
        <v>1.015148921</v>
      </c>
      <c r="AN213" t="n">
        <v>0.661071775</v>
      </c>
      <c r="AO213" t="n">
        <v>2.225468585</v>
      </c>
      <c r="AQ213" t="n">
        <v>1.067102183</v>
      </c>
      <c r="AR213" t="n">
        <v>1.183313316</v>
      </c>
      <c r="AS213" t="n">
        <v>0.663519218</v>
      </c>
      <c r="AT213" t="n">
        <v>1.574851379</v>
      </c>
      <c r="AU213" t="n">
        <v>0.364447361</v>
      </c>
      <c r="AV213" t="n">
        <v>1.168839972</v>
      </c>
    </row>
    <row r="214">
      <c r="A214" t="inlineStr">
        <is>
          <t>2000-Q2</t>
        </is>
      </c>
      <c r="B214" s="87" t="n">
        <v>36708</v>
      </c>
      <c r="C214" t="n">
        <v>-1.60889246</v>
      </c>
      <c r="D214" t="n">
        <v>0.918688696</v>
      </c>
      <c r="E214" t="n">
        <v>0.777831323</v>
      </c>
      <c r="F214" t="n">
        <v>0.719574385</v>
      </c>
      <c r="G214" t="n">
        <v>1.33164997</v>
      </c>
      <c r="H214" t="n">
        <v>1.188584709</v>
      </c>
      <c r="I214" t="n">
        <v>0.444800139</v>
      </c>
      <c r="J214" t="n">
        <v>0.221694277</v>
      </c>
      <c r="L214" t="n">
        <v>0.9542966859999999</v>
      </c>
      <c r="M214" t="n">
        <v>0.809332948</v>
      </c>
      <c r="N214" t="n">
        <v>1.138417342</v>
      </c>
      <c r="O214" t="n">
        <v>0.91757</v>
      </c>
      <c r="P214" t="n">
        <v>0.911413</v>
      </c>
      <c r="Q214" t="n">
        <v>1.258317872</v>
      </c>
      <c r="R214" t="n">
        <v>2.504250909</v>
      </c>
      <c r="S214" t="n">
        <v>0.97239</v>
      </c>
      <c r="T214" t="n">
        <v>0.770593242</v>
      </c>
      <c r="U214" t="n">
        <v>1.016031218</v>
      </c>
      <c r="V214" t="n">
        <v>1.255699</v>
      </c>
      <c r="W214" t="n">
        <v>0.654921704</v>
      </c>
      <c r="X214" t="n">
        <v>0.921994078</v>
      </c>
      <c r="Y214" t="n">
        <v>0.941513091</v>
      </c>
      <c r="Z214" t="n">
        <v>0.13491</v>
      </c>
      <c r="AA214" t="n">
        <v>2.656386043</v>
      </c>
      <c r="AB214" t="n">
        <v>1.01826089</v>
      </c>
      <c r="AC214" t="n">
        <v>3.074414087</v>
      </c>
      <c r="AD214" t="n">
        <v>0.816881619</v>
      </c>
      <c r="AE214" t="n">
        <v>0.469059162</v>
      </c>
      <c r="AF214" t="n">
        <v>1.332510215</v>
      </c>
      <c r="AG214" t="n">
        <v>-1.308913481</v>
      </c>
      <c r="AH214" t="n">
        <v>-0.251317677</v>
      </c>
      <c r="AI214" t="n">
        <v>1.504488108</v>
      </c>
      <c r="AJ214" t="n">
        <v>1.116802889</v>
      </c>
      <c r="AK214" t="n">
        <v>-1.451450991</v>
      </c>
      <c r="AL214" t="n">
        <v>0.042223043</v>
      </c>
      <c r="AM214" t="n">
        <v>1.257915552</v>
      </c>
      <c r="AN214" t="n">
        <v>1.102604332</v>
      </c>
      <c r="AO214" t="n">
        <v>-0.528487831</v>
      </c>
      <c r="AQ214" t="n">
        <v>0.990221113</v>
      </c>
      <c r="AR214" t="n">
        <v>1.297862499</v>
      </c>
      <c r="AS214" t="n">
        <v>2.535718897</v>
      </c>
      <c r="AT214" t="n">
        <v>3.893370357</v>
      </c>
      <c r="AU214" t="n">
        <v>1.820583008</v>
      </c>
      <c r="AV214" t="n">
        <v>0.9199907859999999</v>
      </c>
    </row>
    <row r="215">
      <c r="A215" t="inlineStr">
        <is>
          <t>2000-Q3</t>
        </is>
      </c>
      <c r="B215" s="87" t="n">
        <v>36800</v>
      </c>
      <c r="C215" t="n">
        <v>-0.255185082</v>
      </c>
      <c r="D215" t="n">
        <v>0.277602942</v>
      </c>
      <c r="E215" t="n">
        <v>0.552912345</v>
      </c>
      <c r="F215" t="n">
        <v>0.463712377</v>
      </c>
      <c r="G215" t="n">
        <v>1.370024877</v>
      </c>
      <c r="H215" t="n">
        <v>1.016981788</v>
      </c>
      <c r="I215" t="n">
        <v>0.9379280679999999</v>
      </c>
      <c r="J215" t="n">
        <v>1.55589961</v>
      </c>
      <c r="L215" t="n">
        <v>1.298622324</v>
      </c>
      <c r="M215" t="n">
        <v>-0.047224415</v>
      </c>
      <c r="N215" t="n">
        <v>0.276238214</v>
      </c>
      <c r="O215" t="n">
        <v>0.560793</v>
      </c>
      <c r="P215" t="n">
        <v>0.562711</v>
      </c>
      <c r="Q215" t="n">
        <v>1.080112971</v>
      </c>
      <c r="R215" t="n">
        <v>1.233841393</v>
      </c>
      <c r="S215" t="n">
        <v>0.5806750000000001</v>
      </c>
      <c r="T215" t="n">
        <v>1.565924032</v>
      </c>
      <c r="U215" t="n">
        <v>0.8298475239999999</v>
      </c>
      <c r="V215" t="n">
        <v>0.230052</v>
      </c>
      <c r="W215" t="n">
        <v>0.510036966</v>
      </c>
      <c r="X215" t="n">
        <v>1.868409667</v>
      </c>
      <c r="Y215" t="n">
        <v>0.897350158</v>
      </c>
      <c r="Z215" t="n">
        <v>1.32769</v>
      </c>
      <c r="AA215" t="n">
        <v>2.167570894</v>
      </c>
      <c r="AB215" t="n">
        <v>2.985293744</v>
      </c>
      <c r="AC215" t="n">
        <v>3.067003573</v>
      </c>
      <c r="AD215" t="n">
        <v>0.614603727</v>
      </c>
      <c r="AE215" t="n">
        <v>0.025366792</v>
      </c>
      <c r="AF215" t="n">
        <v>2.754591172</v>
      </c>
      <c r="AG215" t="n">
        <v>1.742455567</v>
      </c>
      <c r="AH215" t="n">
        <v>3.106537047</v>
      </c>
      <c r="AI215" t="n">
        <v>1.021035656</v>
      </c>
      <c r="AJ215" t="n">
        <v>0.825163363</v>
      </c>
      <c r="AK215" t="n">
        <v>0.9754995869999999</v>
      </c>
      <c r="AL215" t="n">
        <v>0.382484832</v>
      </c>
      <c r="AM215" t="n">
        <v>0.491215125</v>
      </c>
      <c r="AN215" t="n">
        <v>0.326908334</v>
      </c>
      <c r="AO215" t="n">
        <v>1.464864525</v>
      </c>
      <c r="AQ215" t="n">
        <v>0.605184052</v>
      </c>
      <c r="AR215" t="n">
        <v>1.161632434</v>
      </c>
      <c r="AS215" t="n">
        <v>0.770273077</v>
      </c>
      <c r="AT215" t="n">
        <v>1.489316422</v>
      </c>
      <c r="AU215" t="n">
        <v>0.099774128</v>
      </c>
      <c r="AV215" t="n">
        <v>0.990394283</v>
      </c>
    </row>
    <row r="216">
      <c r="A216" t="inlineStr">
        <is>
          <t>2000-Q4</t>
        </is>
      </c>
      <c r="B216" s="87" t="n">
        <v>36892</v>
      </c>
      <c r="C216" t="n">
        <v>0.306858135</v>
      </c>
      <c r="D216" t="n">
        <v>-0.370654228</v>
      </c>
      <c r="E216" t="n">
        <v>1.294243634</v>
      </c>
      <c r="F216" t="n">
        <v>0.977660399</v>
      </c>
      <c r="G216" t="n">
        <v>1.136370621</v>
      </c>
      <c r="H216" t="n">
        <v>0.1712074</v>
      </c>
      <c r="I216" t="n">
        <v>1.333558807</v>
      </c>
      <c r="J216" t="n">
        <v>1.173626284</v>
      </c>
      <c r="L216" t="n">
        <v>0.475647341</v>
      </c>
      <c r="M216" t="n">
        <v>-0.295305313</v>
      </c>
      <c r="N216" t="n">
        <v>0.9778001670000001</v>
      </c>
      <c r="O216" t="n">
        <v>0.682478</v>
      </c>
      <c r="P216" t="n">
        <v>0.682604</v>
      </c>
      <c r="Q216" t="n">
        <v>1.018595501</v>
      </c>
      <c r="R216" t="n">
        <v>2.249922006</v>
      </c>
      <c r="S216" t="n">
        <v>0.642745</v>
      </c>
      <c r="T216" t="n">
        <v>1.063064683</v>
      </c>
      <c r="U216" t="n">
        <v>0.5906565110000001</v>
      </c>
      <c r="V216" t="n">
        <v>0.595846</v>
      </c>
      <c r="W216" t="n">
        <v>0.429040478</v>
      </c>
      <c r="X216" t="n">
        <v>1.418925598</v>
      </c>
      <c r="Y216" t="n">
        <v>1.872540455</v>
      </c>
      <c r="Z216" t="n">
        <v>0.04189</v>
      </c>
      <c r="AA216" t="n">
        <v>1.077139151</v>
      </c>
      <c r="AB216" t="n">
        <v>-1.112979329</v>
      </c>
      <c r="AC216" t="n">
        <v>-0.024754255</v>
      </c>
      <c r="AD216" t="n">
        <v>1.501155012</v>
      </c>
      <c r="AE216" t="n">
        <v>0.974061724</v>
      </c>
      <c r="AF216" t="n">
        <v>-0.324457972</v>
      </c>
      <c r="AG216" t="n">
        <v>0.587565665</v>
      </c>
      <c r="AH216" t="n">
        <v>-1.229389597</v>
      </c>
      <c r="AI216" t="n">
        <v>-0.865749256</v>
      </c>
      <c r="AJ216" t="n">
        <v>1.299729479</v>
      </c>
      <c r="AK216" t="n">
        <v>0.039488318</v>
      </c>
      <c r="AL216" t="n">
        <v>0.183944291</v>
      </c>
      <c r="AM216" t="n">
        <v>0.571609765</v>
      </c>
      <c r="AN216" t="n">
        <v>1.859513897</v>
      </c>
      <c r="AO216" t="n">
        <v>0.669401591</v>
      </c>
      <c r="AQ216" t="n">
        <v>0.567026414</v>
      </c>
      <c r="AR216" t="n">
        <v>0.820155266</v>
      </c>
      <c r="AS216" t="n">
        <v>-0.281104081</v>
      </c>
      <c r="AT216" t="n">
        <v>1.436633405</v>
      </c>
      <c r="AU216" t="n">
        <v>0.594361755</v>
      </c>
      <c r="AV216" t="n">
        <v>0.850954686</v>
      </c>
    </row>
    <row r="217">
      <c r="A217" t="inlineStr">
        <is>
          <t>2001-Q1</t>
        </is>
      </c>
      <c r="B217" s="87" t="n">
        <v>36982</v>
      </c>
      <c r="C217" t="n">
        <v>0.163646159</v>
      </c>
      <c r="D217" t="n">
        <v>1.036188682</v>
      </c>
      <c r="E217" t="n">
        <v>-0.208751373</v>
      </c>
      <c r="F217" t="n">
        <v>0.056388046</v>
      </c>
      <c r="G217" t="n">
        <v>0.236532215</v>
      </c>
      <c r="H217" t="n">
        <v>0.529651011</v>
      </c>
      <c r="I217" t="n">
        <v>-0.190335652</v>
      </c>
      <c r="J217" t="n">
        <v>0.696726562</v>
      </c>
      <c r="L217" t="n">
        <v>1.186158643</v>
      </c>
      <c r="M217" t="n">
        <v>2.02280698</v>
      </c>
      <c r="N217" t="n">
        <v>-1.085721803</v>
      </c>
      <c r="O217" t="n">
        <v>0.993713</v>
      </c>
      <c r="P217" t="n">
        <v>0.993381</v>
      </c>
      <c r="Q217" t="n">
        <v>1.066791396</v>
      </c>
      <c r="R217" t="n">
        <v>1.442799399</v>
      </c>
      <c r="S217" t="n">
        <v>0.893819</v>
      </c>
      <c r="T217" t="n">
        <v>0.489247671</v>
      </c>
      <c r="U217" t="n">
        <v>0.462903678</v>
      </c>
      <c r="V217" t="n">
        <v>0.335307</v>
      </c>
      <c r="W217" t="n">
        <v>0.856367003</v>
      </c>
      <c r="X217" t="n">
        <v>1.237878102</v>
      </c>
      <c r="Y217" t="n">
        <v>0.692356422</v>
      </c>
      <c r="Z217" t="n">
        <v>0.54066</v>
      </c>
      <c r="AA217" t="n">
        <v>1.541675067</v>
      </c>
      <c r="AB217" t="n">
        <v>0.5027618619999999</v>
      </c>
      <c r="AC217" t="n">
        <v>-1.186911494</v>
      </c>
      <c r="AD217" t="n">
        <v>0.595756384</v>
      </c>
      <c r="AE217" t="n">
        <v>0.7387265240000001</v>
      </c>
      <c r="AF217" t="n">
        <v>1.225554801</v>
      </c>
      <c r="AG217" t="n">
        <v>1.631256881</v>
      </c>
      <c r="AH217" t="n">
        <v>2.272529275</v>
      </c>
      <c r="AI217" t="n">
        <v>0.029272172</v>
      </c>
      <c r="AJ217" t="n">
        <v>0.108520684</v>
      </c>
      <c r="AK217" t="n">
        <v>1.183873539</v>
      </c>
      <c r="AL217" t="n">
        <v>0.327868852</v>
      </c>
      <c r="AM217" t="n">
        <v>0.257977987</v>
      </c>
      <c r="AN217" t="n">
        <v>-0.372307176</v>
      </c>
      <c r="AO217" t="n">
        <v>-0.312683656</v>
      </c>
      <c r="AQ217" t="n">
        <v>0.709826378</v>
      </c>
      <c r="AR217" t="n">
        <v>1.330671801</v>
      </c>
      <c r="AS217" t="n">
        <v>0.324523711</v>
      </c>
      <c r="AT217" t="n">
        <v>-5.125129608</v>
      </c>
      <c r="AU217" t="n">
        <v>-0.324221003</v>
      </c>
      <c r="AV217" t="n">
        <v>0.614511833</v>
      </c>
    </row>
    <row r="218">
      <c r="A218" t="inlineStr">
        <is>
          <t>2001-Q2</t>
        </is>
      </c>
      <c r="B218" s="87" t="n">
        <v>37073</v>
      </c>
      <c r="C218" t="n">
        <v>-0.829817774</v>
      </c>
      <c r="D218" t="n">
        <v>0.814870484</v>
      </c>
      <c r="E218" t="n">
        <v>-0.08350875100000001</v>
      </c>
      <c r="F218" t="n">
        <v>0.017986043</v>
      </c>
      <c r="G218" t="n">
        <v>-0.37018911</v>
      </c>
      <c r="H218" t="n">
        <v>0.269490025</v>
      </c>
      <c r="I218" t="n">
        <v>0.465310468</v>
      </c>
      <c r="J218" t="n">
        <v>0.9687387160000001</v>
      </c>
      <c r="L218" t="n">
        <v>0.231661784</v>
      </c>
      <c r="M218" t="n">
        <v>-0.046445592</v>
      </c>
      <c r="N218" t="n">
        <v>0.488181251</v>
      </c>
      <c r="O218" t="n">
        <v>0.089241</v>
      </c>
      <c r="P218" t="n">
        <v>0.092116</v>
      </c>
      <c r="Q218" t="n">
        <v>0.745368702</v>
      </c>
      <c r="R218" t="n">
        <v>0.124262804</v>
      </c>
      <c r="S218" t="n">
        <v>0.110425</v>
      </c>
      <c r="T218" t="n">
        <v>0.119503397</v>
      </c>
      <c r="U218" t="n">
        <v>0.1746762</v>
      </c>
      <c r="V218" t="n">
        <v>0.194051</v>
      </c>
      <c r="W218" t="n">
        <v>0.366006178</v>
      </c>
      <c r="X218" t="n">
        <v>-0.263573867</v>
      </c>
      <c r="Y218" t="n">
        <v>0.820688675</v>
      </c>
      <c r="Z218" t="n">
        <v>2.08137</v>
      </c>
      <c r="AA218" t="n">
        <v>1.174186214</v>
      </c>
      <c r="AB218" t="n">
        <v>3.152916537</v>
      </c>
      <c r="AC218" t="n">
        <v>-0.335507102</v>
      </c>
      <c r="AD218" t="n">
        <v>-0.350156186</v>
      </c>
      <c r="AE218" t="n">
        <v>-0.74700847</v>
      </c>
      <c r="AF218" t="n">
        <v>1.298881026</v>
      </c>
      <c r="AG218" t="n">
        <v>-1.245687013</v>
      </c>
      <c r="AH218" t="n">
        <v>4.603906381</v>
      </c>
      <c r="AI218" t="n">
        <v>-0.537035987</v>
      </c>
      <c r="AJ218" t="n">
        <v>0.505669035</v>
      </c>
      <c r="AK218" t="n">
        <v>-0.178444349</v>
      </c>
      <c r="AL218" t="n">
        <v>1.409150327</v>
      </c>
      <c r="AM218" t="n">
        <v>0.145037976</v>
      </c>
      <c r="AN218" t="n">
        <v>-0.316917178</v>
      </c>
      <c r="AO218" t="n">
        <v>0.967446145</v>
      </c>
      <c r="AQ218" t="n">
        <v>1.057788828</v>
      </c>
      <c r="AR218" t="n">
        <v>0.0154267</v>
      </c>
      <c r="AS218" t="n">
        <v>0.052417728</v>
      </c>
      <c r="AT218" t="n">
        <v>-4.844038717</v>
      </c>
      <c r="AU218" t="n">
        <v>0.621389215</v>
      </c>
      <c r="AV218" t="n">
        <v>0.499704416</v>
      </c>
    </row>
    <row r="219">
      <c r="A219" t="inlineStr">
        <is>
          <t>2001-Q3</t>
        </is>
      </c>
      <c r="B219" s="87" t="n">
        <v>37165</v>
      </c>
      <c r="C219" t="n">
        <v>-4.645878876</v>
      </c>
      <c r="D219" t="n">
        <v>1.174176579</v>
      </c>
      <c r="E219" t="n">
        <v>0.04006862</v>
      </c>
      <c r="F219" t="n">
        <v>-0.190617769</v>
      </c>
      <c r="G219" t="n">
        <v>-0.435874509</v>
      </c>
      <c r="H219" t="n">
        <v>-0.066614244</v>
      </c>
      <c r="I219" t="n">
        <v>-0.045321665</v>
      </c>
      <c r="J219" t="n">
        <v>-0.23509538</v>
      </c>
      <c r="L219" t="n">
        <v>0.431920505</v>
      </c>
      <c r="M219" t="n">
        <v>-0.209109191</v>
      </c>
      <c r="N219" t="n">
        <v>0.897826274</v>
      </c>
      <c r="O219" t="n">
        <v>0.085553</v>
      </c>
      <c r="P219" t="n">
        <v>0.087977</v>
      </c>
      <c r="Q219" t="n">
        <v>0.931995265</v>
      </c>
      <c r="R219" t="n">
        <v>2.065120284</v>
      </c>
      <c r="S219" t="n">
        <v>0.214408</v>
      </c>
      <c r="T219" t="n">
        <v>0.632169934</v>
      </c>
      <c r="U219" t="n">
        <v>0.633585364</v>
      </c>
      <c r="V219" t="n">
        <v>-0.331094</v>
      </c>
      <c r="W219" t="n">
        <v>0.460117524</v>
      </c>
      <c r="X219" t="n">
        <v>1.621616296</v>
      </c>
      <c r="Y219" t="n">
        <v>0.888847747</v>
      </c>
      <c r="Z219" t="n">
        <v>1.23686</v>
      </c>
      <c r="AA219" t="n">
        <v>-0.515803771</v>
      </c>
      <c r="AB219" t="n">
        <v>-2.438486219</v>
      </c>
      <c r="AC219" t="n">
        <v>-1.041742522</v>
      </c>
      <c r="AD219" t="n">
        <v>-0.31675082</v>
      </c>
      <c r="AE219" t="n">
        <v>-1.089326319</v>
      </c>
      <c r="AF219" t="n">
        <v>1.350193624</v>
      </c>
      <c r="AG219" t="n">
        <v>1.438634796</v>
      </c>
      <c r="AH219" t="n">
        <v>-2.140859082</v>
      </c>
      <c r="AI219" t="n">
        <v>0.219283075</v>
      </c>
      <c r="AJ219" t="n">
        <v>0.173787806</v>
      </c>
      <c r="AK219" t="n">
        <v>1.236688161</v>
      </c>
      <c r="AL219" t="n">
        <v>0.750212689</v>
      </c>
      <c r="AM219" t="n">
        <v>-0.071178546</v>
      </c>
      <c r="AN219" t="n">
        <v>0.49209935</v>
      </c>
      <c r="AO219" t="n">
        <v>0.146341395</v>
      </c>
      <c r="AQ219" t="n">
        <v>0.379598081</v>
      </c>
      <c r="AR219" t="n">
        <v>0.635797482</v>
      </c>
      <c r="AS219" t="n">
        <v>0.381136517</v>
      </c>
      <c r="AT219" t="n">
        <v>1.251785772</v>
      </c>
      <c r="AU219" t="n">
        <v>-0.400349016</v>
      </c>
      <c r="AV219" t="n">
        <v>0.265747943</v>
      </c>
    </row>
    <row r="220">
      <c r="A220" t="inlineStr">
        <is>
          <t>2001-Q4</t>
        </is>
      </c>
      <c r="B220" s="87" t="n">
        <v>37257</v>
      </c>
      <c r="C220" t="n">
        <v>-5.694872931</v>
      </c>
      <c r="D220" t="n">
        <v>1.2174993</v>
      </c>
      <c r="E220" t="n">
        <v>0.37726774</v>
      </c>
      <c r="F220" t="n">
        <v>-0.09969491</v>
      </c>
      <c r="G220" t="n">
        <v>-0.476640768</v>
      </c>
      <c r="H220" t="n">
        <v>0.608829247</v>
      </c>
      <c r="I220" t="n">
        <v>-0.307199665</v>
      </c>
      <c r="J220" t="n">
        <v>0.6246003369999999</v>
      </c>
      <c r="L220" t="n">
        <v>0.740816546</v>
      </c>
      <c r="M220" t="n">
        <v>-0.08149295300000001</v>
      </c>
      <c r="N220" t="n">
        <v>-0.197216541</v>
      </c>
      <c r="O220" t="n">
        <v>0.104699</v>
      </c>
      <c r="P220" t="n">
        <v>0.106875</v>
      </c>
      <c r="Q220" t="n">
        <v>0.680507295</v>
      </c>
      <c r="R220" t="n">
        <v>1.467101159</v>
      </c>
      <c r="S220" t="n">
        <v>0.078373</v>
      </c>
      <c r="T220" t="n">
        <v>-0.281151844</v>
      </c>
      <c r="U220" t="n">
        <v>-0.398215188</v>
      </c>
      <c r="V220" t="n">
        <v>0.06193</v>
      </c>
      <c r="W220" t="n">
        <v>0.162426854</v>
      </c>
      <c r="X220" t="n">
        <v>0.264898641</v>
      </c>
      <c r="Y220" t="n">
        <v>0.7511566750000001</v>
      </c>
      <c r="Z220" t="n">
        <v>2.29588</v>
      </c>
      <c r="AA220" t="n">
        <v>1.915058104</v>
      </c>
      <c r="AB220" t="n">
        <v>5.909541148</v>
      </c>
      <c r="AC220" t="n">
        <v>-0.415621568</v>
      </c>
      <c r="AD220" t="n">
        <v>-0.199735202</v>
      </c>
      <c r="AE220" t="n">
        <v>-0.343954589</v>
      </c>
      <c r="AF220" t="n">
        <v>1.762585517</v>
      </c>
      <c r="AG220" t="n">
        <v>2.616537596</v>
      </c>
      <c r="AH220" t="n">
        <v>3.287888983</v>
      </c>
      <c r="AI220" t="n">
        <v>-0.6381528990000001</v>
      </c>
      <c r="AJ220" t="n">
        <v>0.322515301</v>
      </c>
      <c r="AK220" t="n">
        <v>0.873096416</v>
      </c>
      <c r="AL220" t="n">
        <v>1.481576254</v>
      </c>
      <c r="AM220" t="n">
        <v>0.153802963</v>
      </c>
      <c r="AN220" t="n">
        <v>0.029048122</v>
      </c>
      <c r="AO220" t="n">
        <v>1.399039679</v>
      </c>
      <c r="AQ220" t="n">
        <v>2.177787744</v>
      </c>
      <c r="AR220" t="n">
        <v>1.147886059</v>
      </c>
      <c r="AS220" t="n">
        <v>0.831553761</v>
      </c>
      <c r="AT220" t="n">
        <v>-1.682896271</v>
      </c>
      <c r="AU220" t="n">
        <v>0.277314358</v>
      </c>
      <c r="AV220" t="n">
        <v>0.769322925</v>
      </c>
    </row>
    <row r="221">
      <c r="A221" t="inlineStr">
        <is>
          <t>2002-Q1</t>
        </is>
      </c>
      <c r="B221" s="87" t="n">
        <v>37347</v>
      </c>
      <c r="C221" t="n">
        <v>-4.931018536</v>
      </c>
      <c r="D221" t="n">
        <v>0.753055613</v>
      </c>
      <c r="E221" t="n">
        <v>0.994675351</v>
      </c>
      <c r="F221" t="n">
        <v>0.859674646</v>
      </c>
      <c r="G221" t="n">
        <v>2.536152691</v>
      </c>
      <c r="H221" t="n">
        <v>1.484226046</v>
      </c>
      <c r="I221" t="n">
        <v>0.008044313000000001</v>
      </c>
      <c r="J221" t="n">
        <v>0.8374344339999999</v>
      </c>
      <c r="L221" t="n">
        <v>-0.196354374</v>
      </c>
      <c r="M221" t="n">
        <v>-0.512640062</v>
      </c>
      <c r="N221" t="n">
        <v>-0.033566445</v>
      </c>
      <c r="O221" t="n">
        <v>0.137988</v>
      </c>
      <c r="P221" t="n">
        <v>0.145123</v>
      </c>
      <c r="Q221" t="n">
        <v>0.430755321</v>
      </c>
      <c r="R221" t="n">
        <v>0.696996917</v>
      </c>
      <c r="S221" t="n">
        <v>0.168872</v>
      </c>
      <c r="T221" t="n">
        <v>0.654199432</v>
      </c>
      <c r="U221" t="n">
        <v>0.543787736</v>
      </c>
      <c r="V221" t="n">
        <v>0.50828</v>
      </c>
      <c r="W221" t="n">
        <v>0.347322027</v>
      </c>
      <c r="X221" t="n">
        <v>0.8170476679999999</v>
      </c>
      <c r="Y221" t="n">
        <v>2.263604446</v>
      </c>
      <c r="Z221" t="n">
        <v>0.8071</v>
      </c>
      <c r="AA221" t="n">
        <v>1.936901611</v>
      </c>
      <c r="AB221" t="n">
        <v>-5.765540269</v>
      </c>
      <c r="AC221" t="n">
        <v>0.279672056</v>
      </c>
      <c r="AD221" t="n">
        <v>0.165912888</v>
      </c>
      <c r="AE221" t="n">
        <v>0.169549515</v>
      </c>
      <c r="AF221" t="n">
        <v>2.544481592</v>
      </c>
      <c r="AG221" t="n">
        <v>0.418170158</v>
      </c>
      <c r="AH221" t="n">
        <v>-0.027736468</v>
      </c>
      <c r="AI221" t="n">
        <v>-0.670277637</v>
      </c>
      <c r="AJ221" t="n">
        <v>-0.610179989</v>
      </c>
      <c r="AK221" t="n">
        <v>-0.898576419</v>
      </c>
      <c r="AL221" t="n">
        <v>0.882523513</v>
      </c>
      <c r="AM221" t="n">
        <v>0.559891708</v>
      </c>
      <c r="AN221" t="n">
        <v>0.6552334829999999</v>
      </c>
      <c r="AO221" t="n">
        <v>0.177808538</v>
      </c>
      <c r="AQ221" t="n">
        <v>0.312094084</v>
      </c>
      <c r="AR221" t="n">
        <v>1.411073598</v>
      </c>
      <c r="AS221" t="n">
        <v>-0.13546393</v>
      </c>
      <c r="AT221" t="n">
        <v>3.777582554</v>
      </c>
      <c r="AU221" t="n">
        <v>0.828227216</v>
      </c>
      <c r="AV221" t="n">
        <v>1.08600902</v>
      </c>
    </row>
    <row r="222">
      <c r="A222" t="inlineStr">
        <is>
          <t>2002-Q2</t>
        </is>
      </c>
      <c r="B222" s="87" t="n">
        <v>37438</v>
      </c>
      <c r="C222" t="n">
        <v>0.423986148</v>
      </c>
      <c r="D222" t="n">
        <v>1.727695502</v>
      </c>
      <c r="E222" t="n">
        <v>0.515584805</v>
      </c>
      <c r="F222" t="n">
        <v>0.855923515</v>
      </c>
      <c r="G222" t="n">
        <v>0.373104858</v>
      </c>
      <c r="H222" t="n">
        <v>0.589373312</v>
      </c>
      <c r="I222" t="n">
        <v>0.255825651</v>
      </c>
      <c r="J222" t="n">
        <v>0.8134583949999999</v>
      </c>
      <c r="L222" t="n">
        <v>0.501471521</v>
      </c>
      <c r="M222" t="n">
        <v>0.433303471</v>
      </c>
      <c r="N222" t="n">
        <v>-0.009920152999999999</v>
      </c>
      <c r="O222" t="n">
        <v>0.5153720000000001</v>
      </c>
      <c r="P222" t="n">
        <v>0.518727</v>
      </c>
      <c r="Q222" t="n">
        <v>0.821027301</v>
      </c>
      <c r="R222" t="n">
        <v>3.497038928</v>
      </c>
      <c r="S222" t="n">
        <v>0.553913</v>
      </c>
      <c r="T222" t="n">
        <v>0.989145658</v>
      </c>
      <c r="U222" t="n">
        <v>0.41964968</v>
      </c>
      <c r="V222" t="n">
        <v>0.586562</v>
      </c>
      <c r="W222" t="n">
        <v>0.525863509</v>
      </c>
      <c r="X222" t="n">
        <v>2.238306787</v>
      </c>
      <c r="Y222" t="n">
        <v>0.559372259</v>
      </c>
      <c r="Z222" t="n">
        <v>0.62376</v>
      </c>
      <c r="AA222" t="n">
        <v>0.48644121</v>
      </c>
      <c r="AB222" t="n">
        <v>3.554913161</v>
      </c>
      <c r="AC222" t="n">
        <v>0.5472659989999999</v>
      </c>
      <c r="AD222" t="n">
        <v>0.362171875</v>
      </c>
      <c r="AE222" t="n">
        <v>0.809514647</v>
      </c>
      <c r="AF222" t="n">
        <v>1.812135416</v>
      </c>
      <c r="AG222" t="n">
        <v>1.758029925</v>
      </c>
      <c r="AH222" t="n">
        <v>3.840218258</v>
      </c>
      <c r="AI222" t="n">
        <v>0.908642453</v>
      </c>
      <c r="AJ222" t="n">
        <v>0.348263578</v>
      </c>
      <c r="AK222" t="n">
        <v>2.083760725</v>
      </c>
      <c r="AL222" t="n">
        <v>1.312204754</v>
      </c>
      <c r="AM222" t="n">
        <v>0.792090959</v>
      </c>
      <c r="AN222" t="n">
        <v>0.71173549</v>
      </c>
      <c r="AO222" t="n">
        <v>-0.463985813</v>
      </c>
      <c r="AQ222" t="n">
        <v>1.004027928</v>
      </c>
      <c r="AR222" t="n">
        <v>-0.465465693</v>
      </c>
      <c r="AS222" t="n">
        <v>1.563695824</v>
      </c>
      <c r="AT222" t="n">
        <v>4.316415446</v>
      </c>
      <c r="AU222" t="n">
        <v>0.615502456</v>
      </c>
      <c r="AV222" t="n">
        <v>1.268859181</v>
      </c>
    </row>
    <row r="223">
      <c r="A223" t="inlineStr">
        <is>
          <t>2002-Q3</t>
        </is>
      </c>
      <c r="B223" s="87" t="n">
        <v>37530</v>
      </c>
      <c r="C223" t="n">
        <v>0.074497309</v>
      </c>
      <c r="D223" t="n">
        <v>0.299910058</v>
      </c>
      <c r="E223" t="n">
        <v>0.223276168</v>
      </c>
      <c r="F223" t="n">
        <v>0.5354356770000001</v>
      </c>
      <c r="G223" t="n">
        <v>1.242078585</v>
      </c>
      <c r="H223" t="n">
        <v>0.86544944</v>
      </c>
      <c r="I223" t="n">
        <v>-0.039878418</v>
      </c>
      <c r="J223" t="n">
        <v>1.089337165</v>
      </c>
      <c r="L223" t="n">
        <v>0.637050449</v>
      </c>
      <c r="M223" t="n">
        <v>0.466422564</v>
      </c>
      <c r="N223" t="n">
        <v>0.340052292</v>
      </c>
      <c r="O223" t="n">
        <v>0.364586</v>
      </c>
      <c r="P223" t="n">
        <v>0.370419</v>
      </c>
      <c r="Q223" t="n">
        <v>0.616873221</v>
      </c>
      <c r="R223" t="n">
        <v>2.004470128</v>
      </c>
      <c r="S223" t="n">
        <v>0.452527</v>
      </c>
      <c r="T223" t="n">
        <v>-0.234029644</v>
      </c>
      <c r="U223" t="n">
        <v>0.514652633</v>
      </c>
      <c r="V223" t="n">
        <v>0.434198</v>
      </c>
      <c r="W223" t="n">
        <v>0.725898944</v>
      </c>
      <c r="X223" t="n">
        <v>0.577044906</v>
      </c>
      <c r="Y223" t="n">
        <v>0.926331913</v>
      </c>
      <c r="Z223" t="n">
        <v>0.59356</v>
      </c>
      <c r="AA223" t="n">
        <v>1.936236942</v>
      </c>
      <c r="AB223" t="n">
        <v>-0.853559831</v>
      </c>
      <c r="AC223" t="n">
        <v>0.048287699</v>
      </c>
      <c r="AD223" t="n">
        <v>0.204819055</v>
      </c>
      <c r="AE223" t="n">
        <v>0.316554625</v>
      </c>
      <c r="AF223" t="n">
        <v>2.021812956</v>
      </c>
      <c r="AG223" t="n">
        <v>-1.554092716</v>
      </c>
      <c r="AH223" t="n">
        <v>1.199102706</v>
      </c>
      <c r="AI223" t="n">
        <v>0.784935114</v>
      </c>
      <c r="AJ223" t="n">
        <v>0.155263883</v>
      </c>
      <c r="AK223" t="n">
        <v>-1.48828962</v>
      </c>
      <c r="AL223" t="n">
        <v>1.194059308</v>
      </c>
      <c r="AM223" t="n">
        <v>0.513642539</v>
      </c>
      <c r="AN223" t="n">
        <v>0.965443427</v>
      </c>
      <c r="AO223" t="n">
        <v>-0.453600128</v>
      </c>
      <c r="AQ223" t="n">
        <v>2.252652092</v>
      </c>
      <c r="AR223" t="n">
        <v>1.305344234</v>
      </c>
      <c r="AS223" t="n">
        <v>0.615411799</v>
      </c>
      <c r="AT223" t="n">
        <v>1.366468032</v>
      </c>
      <c r="AU223" t="n">
        <v>0.403528704</v>
      </c>
      <c r="AV223" t="n">
        <v>1.131829481</v>
      </c>
    </row>
    <row r="224">
      <c r="A224" t="inlineStr">
        <is>
          <t>2002-Q4</t>
        </is>
      </c>
      <c r="B224" s="87" t="n">
        <v>37622</v>
      </c>
      <c r="C224" t="n">
        <v>1.019056942</v>
      </c>
      <c r="D224" t="n">
        <v>0.8157156679999999</v>
      </c>
      <c r="E224" t="n">
        <v>-0.323173047</v>
      </c>
      <c r="F224" t="n">
        <v>0.373866936</v>
      </c>
      <c r="G224" t="n">
        <v>0.9779287250000001</v>
      </c>
      <c r="H224" t="n">
        <v>0.548620905</v>
      </c>
      <c r="I224" t="n">
        <v>-0.426116716</v>
      </c>
      <c r="J224" t="n">
        <v>1.453285153</v>
      </c>
      <c r="L224" t="n">
        <v>0.662962813</v>
      </c>
      <c r="M224" t="n">
        <v>-0.127664929</v>
      </c>
      <c r="N224" t="n">
        <v>-0.330022229</v>
      </c>
      <c r="O224" t="n">
        <v>0.241329</v>
      </c>
      <c r="P224" t="n">
        <v>0.245257</v>
      </c>
      <c r="Q224" t="n">
        <v>0.748338211</v>
      </c>
      <c r="R224" t="n">
        <v>0.7320213290000001</v>
      </c>
      <c r="S224" t="n">
        <v>0.210357</v>
      </c>
      <c r="T224" t="n">
        <v>1.138140747</v>
      </c>
      <c r="U224" t="n">
        <v>-0.016572681</v>
      </c>
      <c r="V224" t="n">
        <v>0.206943</v>
      </c>
      <c r="W224" t="n">
        <v>0.838067847</v>
      </c>
      <c r="X224" t="n">
        <v>0.771020466</v>
      </c>
      <c r="Y224" t="n">
        <v>1.208634245</v>
      </c>
      <c r="Z224" t="n">
        <v>0.07824</v>
      </c>
      <c r="AA224" t="n">
        <v>1.594641131</v>
      </c>
      <c r="AB224" t="n">
        <v>1.917147048</v>
      </c>
      <c r="AC224" t="n">
        <v>-0.210825281</v>
      </c>
      <c r="AD224" t="n">
        <v>0.424185025</v>
      </c>
      <c r="AE224" t="n">
        <v>0.276905748</v>
      </c>
      <c r="AF224" t="n">
        <v>1.097353992</v>
      </c>
      <c r="AG224" t="n">
        <v>-0.350453465</v>
      </c>
      <c r="AH224" t="n">
        <v>4.061124589</v>
      </c>
      <c r="AI224" t="n">
        <v>0.234399386</v>
      </c>
      <c r="AJ224" t="n">
        <v>0.149651197</v>
      </c>
      <c r="AK224" t="n">
        <v>1.132480748</v>
      </c>
      <c r="AL224" t="n">
        <v>1.372568141</v>
      </c>
      <c r="AM224" t="n">
        <v>0.33450618</v>
      </c>
      <c r="AN224" t="n">
        <v>0.489349652</v>
      </c>
      <c r="AO224" t="n">
        <v>-0.746441208</v>
      </c>
      <c r="AQ224" t="n">
        <v>0.656925241</v>
      </c>
      <c r="AR224" t="n">
        <v>1.89370458</v>
      </c>
      <c r="AS224" t="n">
        <v>0.143072453</v>
      </c>
      <c r="AT224" t="n">
        <v>2.13363529</v>
      </c>
      <c r="AU224" t="n">
        <v>0.130655767</v>
      </c>
      <c r="AV224" t="n">
        <v>0.831988659</v>
      </c>
    </row>
    <row r="225">
      <c r="A225" t="inlineStr">
        <is>
          <t>2003-Q1</t>
        </is>
      </c>
      <c r="B225" s="87" t="n">
        <v>37712</v>
      </c>
      <c r="C225" t="n">
        <v>3.695017177</v>
      </c>
      <c r="D225" t="n">
        <v>0.188630055</v>
      </c>
      <c r="E225" t="n">
        <v>0.665865047</v>
      </c>
      <c r="F225" t="n">
        <v>-0.263543192</v>
      </c>
      <c r="G225" t="n">
        <v>-0.319062253</v>
      </c>
      <c r="H225" t="n">
        <v>0.553325235</v>
      </c>
      <c r="I225" t="n">
        <v>-0.45405222</v>
      </c>
      <c r="J225" t="n">
        <v>1.421052776</v>
      </c>
      <c r="L225" t="n">
        <v>1.055680792</v>
      </c>
      <c r="M225" t="n">
        <v>-1.478778285</v>
      </c>
      <c r="N225" t="n">
        <v>0.5359057820000001</v>
      </c>
      <c r="O225" t="n">
        <v>-0.32196</v>
      </c>
      <c r="P225" t="n">
        <v>-0.315265</v>
      </c>
      <c r="Q225" t="n">
        <v>0.936732447</v>
      </c>
      <c r="R225" t="n">
        <v>2.293804776</v>
      </c>
      <c r="S225" t="n">
        <v>-0.212076</v>
      </c>
      <c r="T225" t="n">
        <v>-0.70655442</v>
      </c>
      <c r="U225" t="n">
        <v>0.08721681000000001</v>
      </c>
      <c r="V225" t="n">
        <v>0.152883</v>
      </c>
      <c r="W225" t="n">
        <v>0.6333212539999999</v>
      </c>
      <c r="X225" t="n">
        <v>2.081952583</v>
      </c>
      <c r="Y225" t="n">
        <v>0.756517278</v>
      </c>
      <c r="Z225" t="n">
        <v>2.25109</v>
      </c>
      <c r="AA225" t="n">
        <v>-0.275963777</v>
      </c>
      <c r="AB225" t="n">
        <v>1.603247449</v>
      </c>
      <c r="AC225" t="n">
        <v>1.12812539</v>
      </c>
      <c r="AD225" t="n">
        <v>-0.354571079</v>
      </c>
      <c r="AE225" t="n">
        <v>0.062399437</v>
      </c>
      <c r="AF225" t="n">
        <v>-0.659159835</v>
      </c>
      <c r="AG225" t="n">
        <v>-0.127873515</v>
      </c>
      <c r="AH225" t="n">
        <v>0.6096831110000001</v>
      </c>
      <c r="AI225" t="n">
        <v>0.236983165</v>
      </c>
      <c r="AJ225" t="n">
        <v>0.017344153</v>
      </c>
      <c r="AK225" t="n">
        <v>-0.028625331</v>
      </c>
      <c r="AL225" t="n">
        <v>0.61085592</v>
      </c>
      <c r="AM225" t="n">
        <v>0.203522519</v>
      </c>
      <c r="AN225" t="n">
        <v>0.391525551</v>
      </c>
      <c r="AO225" t="n">
        <v>0.105061371</v>
      </c>
      <c r="AQ225" t="n">
        <v>1.780732589</v>
      </c>
      <c r="AR225" t="n">
        <v>-0.118990662</v>
      </c>
      <c r="AS225" t="n">
        <v>1.172652683</v>
      </c>
      <c r="AT225" t="n">
        <v>0.083600699</v>
      </c>
      <c r="AU225" t="n">
        <v>0.516723187</v>
      </c>
      <c r="AV225" t="n">
        <v>0.63476228</v>
      </c>
    </row>
    <row r="226">
      <c r="A226" t="inlineStr">
        <is>
          <t>2003-Q2</t>
        </is>
      </c>
      <c r="B226" s="87" t="n">
        <v>37803</v>
      </c>
      <c r="C226" t="n">
        <v>3.164325049</v>
      </c>
      <c r="D226" t="n">
        <v>0.424919639</v>
      </c>
      <c r="E226" t="n">
        <v>0.160994723</v>
      </c>
      <c r="F226" t="n">
        <v>0.213740458</v>
      </c>
      <c r="G226" t="n">
        <v>-0.827015706</v>
      </c>
      <c r="H226" t="n">
        <v>-0.147463728</v>
      </c>
      <c r="I226" t="n">
        <v>-0.216991003</v>
      </c>
      <c r="J226" t="n">
        <v>1.058676682</v>
      </c>
      <c r="L226" t="n">
        <v>1.051891208</v>
      </c>
      <c r="M226" t="n">
        <v>0.10615703</v>
      </c>
      <c r="N226" t="n">
        <v>-0.930017583</v>
      </c>
      <c r="O226" t="n">
        <v>0.091097</v>
      </c>
      <c r="P226" t="n">
        <v>0.097138</v>
      </c>
      <c r="Q226" t="n">
        <v>0.526951735</v>
      </c>
      <c r="R226" t="n">
        <v>2.315752309</v>
      </c>
      <c r="S226" t="n">
        <v>0.106652</v>
      </c>
      <c r="T226" t="n">
        <v>1.438304315</v>
      </c>
      <c r="U226" t="n">
        <v>-0.262247302</v>
      </c>
      <c r="V226" t="n">
        <v>0.572246</v>
      </c>
      <c r="W226" t="n">
        <v>0.856305203</v>
      </c>
      <c r="X226" t="n">
        <v>1.771173645</v>
      </c>
      <c r="Y226" t="n">
        <v>1.064502169</v>
      </c>
      <c r="Z226" t="n">
        <v>2.5332</v>
      </c>
      <c r="AA226" t="n">
        <v>0.637690338</v>
      </c>
      <c r="AB226" t="n">
        <v>-2.905446965</v>
      </c>
      <c r="AC226" t="n">
        <v>-0.199787445</v>
      </c>
      <c r="AD226" t="n">
        <v>-0.132972305</v>
      </c>
      <c r="AE226" t="n">
        <v>0.684776775</v>
      </c>
      <c r="AF226" t="n">
        <v>-0.154146863</v>
      </c>
      <c r="AG226" t="n">
        <v>2.509913073</v>
      </c>
      <c r="AH226" t="n">
        <v>2.432795276</v>
      </c>
      <c r="AI226" t="n">
        <v>0.234243382</v>
      </c>
      <c r="AJ226" t="n">
        <v>-0.345329821</v>
      </c>
      <c r="AK226" t="n">
        <v>-0.476978198</v>
      </c>
      <c r="AL226" t="n">
        <v>0.494801004</v>
      </c>
      <c r="AM226" t="n">
        <v>0.515490962</v>
      </c>
      <c r="AN226" t="n">
        <v>1.703750144</v>
      </c>
      <c r="AO226" t="n">
        <v>-0.888761522</v>
      </c>
      <c r="AP226" t="n">
        <v>1.115436542</v>
      </c>
      <c r="AQ226" t="n">
        <v>1.511396081</v>
      </c>
      <c r="AR226" t="n">
        <v>-0.015411324</v>
      </c>
      <c r="AS226" t="n">
        <v>-0.595232026</v>
      </c>
      <c r="AT226" t="n">
        <v>0.336326982</v>
      </c>
      <c r="AU226" t="n">
        <v>0.893377801</v>
      </c>
      <c r="AV226" t="n">
        <v>0.488369504</v>
      </c>
    </row>
    <row r="227">
      <c r="A227" t="inlineStr">
        <is>
          <t>2003-Q3</t>
        </is>
      </c>
      <c r="B227" s="87" t="n">
        <v>37895</v>
      </c>
      <c r="C227" t="n">
        <v>2.443638131</v>
      </c>
      <c r="D227" t="n">
        <v>1.742176211</v>
      </c>
      <c r="E227" t="n">
        <v>0.271819487</v>
      </c>
      <c r="F227" t="n">
        <v>0.408990765</v>
      </c>
      <c r="G227" t="n">
        <v>0.817857119</v>
      </c>
      <c r="H227" t="n">
        <v>0.373654347</v>
      </c>
      <c r="I227" t="n">
        <v>1.03874973</v>
      </c>
      <c r="J227" t="n">
        <v>0.659224704</v>
      </c>
      <c r="L227" t="n">
        <v>1.075444689</v>
      </c>
      <c r="M227" t="n">
        <v>0.765875935</v>
      </c>
      <c r="N227" t="n">
        <v>0.343466356</v>
      </c>
      <c r="O227" t="n">
        <v>0.519787</v>
      </c>
      <c r="P227" t="n">
        <v>0.520413</v>
      </c>
      <c r="Q227" t="n">
        <v>0.659827719</v>
      </c>
      <c r="R227" t="n">
        <v>0.983639362</v>
      </c>
      <c r="S227" t="n">
        <v>0.649505</v>
      </c>
      <c r="T227" t="n">
        <v>1.196162047</v>
      </c>
      <c r="U227" t="n">
        <v>0.983293469</v>
      </c>
      <c r="V227" t="n">
        <v>1.077928</v>
      </c>
      <c r="W227" t="n">
        <v>0.985626756</v>
      </c>
      <c r="X227" t="n">
        <v>0.627318594</v>
      </c>
      <c r="Y227" t="n">
        <v>1.205100952</v>
      </c>
      <c r="Z227" t="n">
        <v>2.63211</v>
      </c>
      <c r="AA227" t="n">
        <v>-0.110664036</v>
      </c>
      <c r="AB227" t="n">
        <v>0.191515198</v>
      </c>
      <c r="AC227" t="n">
        <v>0.913743715</v>
      </c>
      <c r="AD227" t="n">
        <v>-0.08361911599999999</v>
      </c>
      <c r="AE227" t="n">
        <v>0.297445378</v>
      </c>
      <c r="AF227" t="n">
        <v>1.932669509</v>
      </c>
      <c r="AG227" t="n">
        <v>1.059318182</v>
      </c>
      <c r="AH227" t="n">
        <v>2.129969424</v>
      </c>
      <c r="AI227" t="n">
        <v>-0.042015309</v>
      </c>
      <c r="AJ227" t="n">
        <v>0.088712714</v>
      </c>
      <c r="AK227" t="n">
        <v>1.407083868</v>
      </c>
      <c r="AL227" t="n">
        <v>2.147852148</v>
      </c>
      <c r="AM227" t="n">
        <v>1.064352843</v>
      </c>
      <c r="AN227" t="n">
        <v>1.272729526</v>
      </c>
      <c r="AO227" t="n">
        <v>0.887370155</v>
      </c>
      <c r="AP227" t="n">
        <v>1.688167184</v>
      </c>
      <c r="AQ227" t="n">
        <v>0.38911734</v>
      </c>
      <c r="AR227" t="n">
        <v>1.597362007</v>
      </c>
      <c r="AS227" t="n">
        <v>1.466732858</v>
      </c>
      <c r="AT227" t="n">
        <v>2.851212403</v>
      </c>
      <c r="AU227" t="n">
        <v>1.66689627</v>
      </c>
      <c r="AV227" t="n">
        <v>0.542690582</v>
      </c>
    </row>
    <row r="228">
      <c r="A228" t="inlineStr">
        <is>
          <t>2003-Q4</t>
        </is>
      </c>
      <c r="B228" s="87" t="n">
        <v>37987</v>
      </c>
      <c r="C228" t="n">
        <v>1.87649889</v>
      </c>
      <c r="D228" t="n">
        <v>1.658112436</v>
      </c>
      <c r="E228" t="n">
        <v>0.154881081</v>
      </c>
      <c r="F228" t="n">
        <v>0.695603459</v>
      </c>
      <c r="G228" t="n">
        <v>1.044983868</v>
      </c>
      <c r="H228" t="n">
        <v>0.689959181</v>
      </c>
      <c r="I228" t="n">
        <v>1.189103882</v>
      </c>
      <c r="J228" t="n">
        <v>0.542622994</v>
      </c>
      <c r="L228" t="n">
        <v>0.813002368</v>
      </c>
      <c r="M228" t="n">
        <v>0.280635378</v>
      </c>
      <c r="N228" t="n">
        <v>1.86298281</v>
      </c>
      <c r="O228" t="n">
        <v>0.736671</v>
      </c>
      <c r="P228" t="n">
        <v>0.737328</v>
      </c>
      <c r="Q228" t="n">
        <v>0.852443519</v>
      </c>
      <c r="R228" t="n">
        <v>2.611120275</v>
      </c>
      <c r="S228" t="n">
        <v>0.7193889999999999</v>
      </c>
      <c r="T228" t="n">
        <v>0.183308401</v>
      </c>
      <c r="U228" t="n">
        <v>0.44028191</v>
      </c>
      <c r="V228" t="n">
        <v>0.934605</v>
      </c>
      <c r="W228" t="n">
        <v>0.777338573</v>
      </c>
      <c r="X228" t="n">
        <v>2.137179548</v>
      </c>
      <c r="Y228" t="n">
        <v>1.017085424</v>
      </c>
      <c r="Z228" t="n">
        <v>3.28321</v>
      </c>
      <c r="AA228" t="n">
        <v>6.321295859</v>
      </c>
      <c r="AB228" t="n">
        <v>3.164047333</v>
      </c>
      <c r="AC228" t="n">
        <v>0.41911875</v>
      </c>
      <c r="AD228" t="n">
        <v>0.88070564</v>
      </c>
      <c r="AE228" t="n">
        <v>1.091248877</v>
      </c>
      <c r="AF228" t="n">
        <v>2.639479586</v>
      </c>
      <c r="AG228" t="n">
        <v>3.762226134</v>
      </c>
      <c r="AH228" t="n">
        <v>1.298330326</v>
      </c>
      <c r="AI228" t="n">
        <v>1.100464531</v>
      </c>
      <c r="AJ228" t="n">
        <v>0.535395784</v>
      </c>
      <c r="AK228" t="n">
        <v>0.032046618</v>
      </c>
      <c r="AL228" t="n">
        <v>1.329607638</v>
      </c>
      <c r="AM228" t="n">
        <v>1.06175546</v>
      </c>
      <c r="AN228" t="n">
        <v>0.741664015</v>
      </c>
      <c r="AO228" t="n">
        <v>0.377797496</v>
      </c>
      <c r="AP228" t="n">
        <v>1.823818769</v>
      </c>
      <c r="AQ228" t="n">
        <v>1.68905457</v>
      </c>
      <c r="AR228" t="n">
        <v>0.689994472</v>
      </c>
      <c r="AS228" t="n">
        <v>0.617231536</v>
      </c>
      <c r="AT228" t="n">
        <v>3.023013077</v>
      </c>
      <c r="AU228" t="n">
        <v>1.154045728</v>
      </c>
      <c r="AV228" t="n">
        <v>0.5769312720000001</v>
      </c>
    </row>
    <row r="229">
      <c r="A229" t="inlineStr">
        <is>
          <t>2004-Q1</t>
        </is>
      </c>
      <c r="B229" s="87" t="n">
        <v>38078</v>
      </c>
      <c r="C229" t="n">
        <v>3.220746182</v>
      </c>
      <c r="D229" t="n">
        <v>0.765133943</v>
      </c>
      <c r="E229" t="n">
        <v>0.9893294540000001</v>
      </c>
      <c r="F229" t="n">
        <v>1.498661289</v>
      </c>
      <c r="G229" t="n">
        <v>1.499196507</v>
      </c>
      <c r="H229" t="n">
        <v>0.720267587</v>
      </c>
      <c r="I229" t="n">
        <v>0.5581238509999999</v>
      </c>
      <c r="J229" t="n">
        <v>2.106265265</v>
      </c>
      <c r="L229" t="n">
        <v>1.065731847</v>
      </c>
      <c r="M229" t="n">
        <v>-0.174887574</v>
      </c>
      <c r="N229" t="n">
        <v>0.481617502</v>
      </c>
      <c r="O229" t="n">
        <v>0.503851</v>
      </c>
      <c r="P229" t="n">
        <v>0.507839</v>
      </c>
      <c r="Q229" t="n">
        <v>0.60844005</v>
      </c>
      <c r="R229" t="n">
        <v>2.319078607</v>
      </c>
      <c r="S229" t="n">
        <v>0.6346810000000001</v>
      </c>
      <c r="T229" t="n">
        <v>1.276604694</v>
      </c>
      <c r="U229" t="n">
        <v>0.973506742</v>
      </c>
      <c r="V229" t="n">
        <v>0.526224</v>
      </c>
      <c r="W229" t="n">
        <v>0.44474421</v>
      </c>
      <c r="X229" t="n">
        <v>1.828564537</v>
      </c>
      <c r="Y229" t="n">
        <v>1.665365928</v>
      </c>
      <c r="Z229" t="n">
        <v>0.36449</v>
      </c>
      <c r="AA229" t="n">
        <v>-0.565896602</v>
      </c>
      <c r="AB229" t="n">
        <v>3.92201562</v>
      </c>
      <c r="AC229" t="n">
        <v>2.291899802</v>
      </c>
      <c r="AD229" t="n">
        <v>0.263446372</v>
      </c>
      <c r="AE229" t="n">
        <v>0.73500132</v>
      </c>
      <c r="AF229" t="n">
        <v>1.254800591</v>
      </c>
      <c r="AG229" t="n">
        <v>-0.642237043</v>
      </c>
      <c r="AH229" t="n">
        <v>3.361463852</v>
      </c>
      <c r="AI229" t="n">
        <v>1.408804553</v>
      </c>
      <c r="AJ229" t="n">
        <v>0.905236953</v>
      </c>
      <c r="AK229" t="n">
        <v>3.539428959</v>
      </c>
      <c r="AL229" t="n">
        <v>1.714311977</v>
      </c>
      <c r="AM229" t="n">
        <v>0.763730994</v>
      </c>
      <c r="AN229" t="n">
        <v>2.291210219</v>
      </c>
      <c r="AO229" t="n">
        <v>0.902894616</v>
      </c>
      <c r="AP229" t="n">
        <v>1.878666931</v>
      </c>
      <c r="AQ229" t="n">
        <v>1.299229081</v>
      </c>
      <c r="AR229" t="n">
        <v>0.888313817</v>
      </c>
      <c r="AS229" t="n">
        <v>1.867662217</v>
      </c>
      <c r="AT229" t="n">
        <v>2.754282995</v>
      </c>
      <c r="AU229" t="n">
        <v>0.572916486</v>
      </c>
      <c r="AV229" t="n">
        <v>1.513781636</v>
      </c>
    </row>
    <row r="230">
      <c r="A230" t="inlineStr">
        <is>
          <t>2004-Q2</t>
        </is>
      </c>
      <c r="B230" s="87" t="n">
        <v>38169</v>
      </c>
      <c r="C230" t="n">
        <v>-1.049678802</v>
      </c>
      <c r="D230" t="n">
        <v>0.674207258</v>
      </c>
      <c r="E230" t="n">
        <v>0.785319376</v>
      </c>
      <c r="F230" t="n">
        <v>0.961516501</v>
      </c>
      <c r="G230" t="n">
        <v>2.70134152</v>
      </c>
      <c r="H230" t="n">
        <v>1.187819015</v>
      </c>
      <c r="I230" t="n">
        <v>0.79965567</v>
      </c>
      <c r="J230" t="n">
        <v>1.922414893</v>
      </c>
      <c r="L230" t="n">
        <v>1.234532121</v>
      </c>
      <c r="M230" t="n">
        <v>0.5139600479999999</v>
      </c>
      <c r="N230" t="n">
        <v>0.595381652</v>
      </c>
      <c r="O230" t="n">
        <v>0.613888</v>
      </c>
      <c r="P230" t="n">
        <v>0.613167</v>
      </c>
      <c r="Q230" t="n">
        <v>0.983144346</v>
      </c>
      <c r="R230" t="n">
        <v>-0.679633543</v>
      </c>
      <c r="S230" t="n">
        <v>0.630335</v>
      </c>
      <c r="T230" t="n">
        <v>0.859723809</v>
      </c>
      <c r="U230" t="n">
        <v>0.571449041</v>
      </c>
      <c r="V230" t="n">
        <v>0.588035</v>
      </c>
      <c r="W230" t="n">
        <v>0.529076685</v>
      </c>
      <c r="X230" t="n">
        <v>-0.018592188</v>
      </c>
      <c r="Y230" t="n">
        <v>1.074695715</v>
      </c>
      <c r="Z230" t="n">
        <v>2.37817</v>
      </c>
      <c r="AA230" t="n">
        <v>2.149160907</v>
      </c>
      <c r="AB230" t="n">
        <v>-0.918490245</v>
      </c>
      <c r="AC230" t="n">
        <v>0.729835788</v>
      </c>
      <c r="AD230" t="n">
        <v>0.396487249</v>
      </c>
      <c r="AE230" t="n">
        <v>0.008830934</v>
      </c>
      <c r="AF230" t="n">
        <v>0.763499369</v>
      </c>
      <c r="AG230" t="n">
        <v>0.117532252</v>
      </c>
      <c r="AH230" t="n">
        <v>1.330051863</v>
      </c>
      <c r="AI230" t="n">
        <v>1.547026719</v>
      </c>
      <c r="AJ230" t="n">
        <v>0.476796103</v>
      </c>
      <c r="AK230" t="n">
        <v>0.206085483</v>
      </c>
      <c r="AL230" t="n">
        <v>0.867561339</v>
      </c>
      <c r="AM230" t="n">
        <v>0.694224741</v>
      </c>
      <c r="AN230" t="n">
        <v>0.8394793820000001</v>
      </c>
      <c r="AO230" t="n">
        <v>0.57209479</v>
      </c>
      <c r="AP230" t="n">
        <v>1.927184041</v>
      </c>
      <c r="AQ230" t="n">
        <v>0.656809485</v>
      </c>
      <c r="AR230" t="n">
        <v>1.258955383</v>
      </c>
      <c r="AS230" t="n">
        <v>0.371812472</v>
      </c>
      <c r="AT230" t="n">
        <v>2.328300885</v>
      </c>
      <c r="AU230" t="n">
        <v>0.778738758</v>
      </c>
      <c r="AV230" t="n">
        <v>1.397449924</v>
      </c>
    </row>
    <row r="231">
      <c r="A231" t="inlineStr">
        <is>
          <t>2004-Q3</t>
        </is>
      </c>
      <c r="B231" s="87" t="n">
        <v>38261</v>
      </c>
      <c r="C231" t="n">
        <v>5.006931196</v>
      </c>
      <c r="D231" t="n">
        <v>0.766732135</v>
      </c>
      <c r="E231" t="n">
        <v>1.147828227</v>
      </c>
      <c r="F231" t="n">
        <v>0.872053567</v>
      </c>
      <c r="G231" t="n">
        <v>1.200420804</v>
      </c>
      <c r="H231" t="n">
        <v>1.180435577</v>
      </c>
      <c r="I231" t="n">
        <v>-0.073171495</v>
      </c>
      <c r="J231" t="n">
        <v>2.618171548</v>
      </c>
      <c r="L231" t="n">
        <v>1.451829559</v>
      </c>
      <c r="M231" t="n">
        <v>-0.209174363</v>
      </c>
      <c r="N231" t="n">
        <v>0.235625688</v>
      </c>
      <c r="O231" t="n">
        <v>0.225299</v>
      </c>
      <c r="P231" t="n">
        <v>0.227634</v>
      </c>
      <c r="Q231" t="n">
        <v>0.941201225</v>
      </c>
      <c r="R231" t="n">
        <v>2.261346018</v>
      </c>
      <c r="S231" t="n">
        <v>0.309133</v>
      </c>
      <c r="T231" t="n">
        <v>1.085054253</v>
      </c>
      <c r="U231" t="n">
        <v>0.386178925</v>
      </c>
      <c r="V231" t="n">
        <v>0.6214</v>
      </c>
      <c r="W231" t="n">
        <v>0.238714305</v>
      </c>
      <c r="X231" t="n">
        <v>1.334459386</v>
      </c>
      <c r="Y231" t="n">
        <v>1.197269667</v>
      </c>
      <c r="Z231" t="n">
        <v>2.39764</v>
      </c>
      <c r="AA231" t="n">
        <v>-1.075185805</v>
      </c>
      <c r="AB231" t="n">
        <v>4.828181237</v>
      </c>
      <c r="AC231" t="n">
        <v>1.232696131</v>
      </c>
      <c r="AD231" t="n">
        <v>-0.053439978</v>
      </c>
      <c r="AE231" t="n">
        <v>0.615140824</v>
      </c>
      <c r="AF231" t="n">
        <v>0.405586129</v>
      </c>
      <c r="AG231" t="n">
        <v>2.337739124</v>
      </c>
      <c r="AH231" t="n">
        <v>0.490824959</v>
      </c>
      <c r="AI231" t="n">
        <v>-0.219119217</v>
      </c>
      <c r="AJ231" t="n">
        <v>0.149388239</v>
      </c>
      <c r="AK231" t="n">
        <v>-1.156209367</v>
      </c>
      <c r="AL231" t="n">
        <v>0.302378713</v>
      </c>
      <c r="AM231" t="n">
        <v>0.609756759</v>
      </c>
      <c r="AN231" t="n">
        <v>-0.07412105300000001</v>
      </c>
      <c r="AO231" t="n">
        <v>0.039396612</v>
      </c>
      <c r="AP231" t="n">
        <v>1.514535194</v>
      </c>
      <c r="AQ231" t="n">
        <v>2.323866576</v>
      </c>
      <c r="AR231" t="n">
        <v>1.039640539</v>
      </c>
      <c r="AS231" t="n">
        <v>0.82203195</v>
      </c>
      <c r="AT231" t="n">
        <v>1.127730536</v>
      </c>
      <c r="AU231" t="n">
        <v>0.941247225</v>
      </c>
      <c r="AV231" t="n">
        <v>1.635117939</v>
      </c>
    </row>
    <row r="232">
      <c r="A232" t="inlineStr">
        <is>
          <t>2004-Q4</t>
        </is>
      </c>
      <c r="B232" s="87" t="n">
        <v>38353</v>
      </c>
      <c r="C232" t="n">
        <v>1.366027862</v>
      </c>
      <c r="D232" t="n">
        <v>0.7479233159999999</v>
      </c>
      <c r="E232" t="n">
        <v>0.346922428</v>
      </c>
      <c r="F232" t="n">
        <v>0.356570198</v>
      </c>
      <c r="G232" t="n">
        <v>0.839167113</v>
      </c>
      <c r="H232" t="n">
        <v>0.7184265439999999</v>
      </c>
      <c r="I232" t="n">
        <v>0.245059737</v>
      </c>
      <c r="J232" t="n">
        <v>1.622261174</v>
      </c>
      <c r="L232" t="n">
        <v>1.868563901</v>
      </c>
      <c r="M232" t="n">
        <v>-0.093170489</v>
      </c>
      <c r="N232" t="n">
        <v>1.08087338</v>
      </c>
      <c r="O232" t="n">
        <v>0.397737</v>
      </c>
      <c r="P232" t="n">
        <v>0.403533</v>
      </c>
      <c r="Q232" t="n">
        <v>0.671859278</v>
      </c>
      <c r="R232" t="n">
        <v>2.078502913</v>
      </c>
      <c r="S232" t="n">
        <v>0.44965</v>
      </c>
      <c r="T232" t="n">
        <v>1.505214274</v>
      </c>
      <c r="U232" t="n">
        <v>0.63451735</v>
      </c>
      <c r="V232" t="n">
        <v>0.578583</v>
      </c>
      <c r="W232" t="n">
        <v>0.316186089</v>
      </c>
      <c r="X232" t="n">
        <v>-0.381337288</v>
      </c>
      <c r="Y232" t="n">
        <v>0.415963579</v>
      </c>
      <c r="Z232" t="n">
        <v>1.93661</v>
      </c>
      <c r="AA232" t="n">
        <v>3.564929925</v>
      </c>
      <c r="AB232" t="n">
        <v>1.153160413</v>
      </c>
      <c r="AC232" t="n">
        <v>1.314310335</v>
      </c>
      <c r="AD232" t="n">
        <v>0.32013714</v>
      </c>
      <c r="AE232" t="n">
        <v>-0.187211716</v>
      </c>
      <c r="AF232" t="n">
        <v>0.7579337739999999</v>
      </c>
      <c r="AG232" t="n">
        <v>-1.079093839</v>
      </c>
      <c r="AH232" t="n">
        <v>2.318948913</v>
      </c>
      <c r="AI232" t="n">
        <v>1.327547374</v>
      </c>
      <c r="AJ232" t="n">
        <v>0.218014009</v>
      </c>
      <c r="AK232" t="n">
        <v>0.983877647</v>
      </c>
      <c r="AL232" t="n">
        <v>0.379625288</v>
      </c>
      <c r="AM232" t="n">
        <v>0.689159368</v>
      </c>
      <c r="AN232" t="n">
        <v>1.033885282</v>
      </c>
      <c r="AO232" t="n">
        <v>-0.295723234</v>
      </c>
      <c r="AP232" t="n">
        <v>1.118170784</v>
      </c>
      <c r="AQ232" t="n">
        <v>1.532986741</v>
      </c>
      <c r="AR232" t="n">
        <v>0.330227315</v>
      </c>
      <c r="AS232" t="n">
        <v>0.813575444</v>
      </c>
      <c r="AT232" t="n">
        <v>1.622484668</v>
      </c>
      <c r="AU232" t="n">
        <v>1.022027369</v>
      </c>
      <c r="AV232" t="n">
        <v>1.067930101</v>
      </c>
    </row>
    <row r="233">
      <c r="A233" t="inlineStr">
        <is>
          <t>2005-Q1</t>
        </is>
      </c>
      <c r="B233" s="87" t="n">
        <v>38443</v>
      </c>
      <c r="C233" t="n">
        <v>2.898721164</v>
      </c>
      <c r="D233" t="n">
        <v>0.7581112759999999</v>
      </c>
      <c r="E233" t="n">
        <v>-0.197090834</v>
      </c>
      <c r="F233" t="n">
        <v>0.526251103</v>
      </c>
      <c r="G233" t="n">
        <v>0.8447871</v>
      </c>
      <c r="H233" t="n">
        <v>0.346066595</v>
      </c>
      <c r="I233" t="n">
        <v>0.82727949</v>
      </c>
      <c r="J233" t="n">
        <v>0.113133549</v>
      </c>
      <c r="L233" t="n">
        <v>1.718163938</v>
      </c>
      <c r="M233" t="n">
        <v>0.002916701</v>
      </c>
      <c r="N233" t="n">
        <v>-0.362985061</v>
      </c>
      <c r="O233" t="n">
        <v>0.205831</v>
      </c>
      <c r="P233" t="n">
        <v>0.1999</v>
      </c>
      <c r="Q233" t="n">
        <v>0.981551608</v>
      </c>
      <c r="R233" t="n">
        <v>1.756258866</v>
      </c>
      <c r="S233" t="n">
        <v>0.242432</v>
      </c>
      <c r="T233" t="n">
        <v>0.989264573</v>
      </c>
      <c r="U233" t="n">
        <v>0.263065112</v>
      </c>
      <c r="V233" t="n">
        <v>0.693067</v>
      </c>
      <c r="W233" t="n">
        <v>0.750302595</v>
      </c>
      <c r="X233" t="n">
        <v>-0.588090483</v>
      </c>
      <c r="Y233" t="n">
        <v>0.906858173</v>
      </c>
      <c r="Z233" t="n">
        <v>1.75097</v>
      </c>
      <c r="AA233" t="n">
        <v>1.453854226</v>
      </c>
      <c r="AB233" t="n">
        <v>-2.802383611</v>
      </c>
      <c r="AC233" t="n">
        <v>0.7778186929999999</v>
      </c>
      <c r="AD233" t="n">
        <v>-0.257359459</v>
      </c>
      <c r="AE233" t="n">
        <v>0.511401539</v>
      </c>
      <c r="AF233" t="n">
        <v>0.850903369</v>
      </c>
      <c r="AG233" t="n">
        <v>-0.8277917970000001</v>
      </c>
      <c r="AH233" t="n">
        <v>2.618958263</v>
      </c>
      <c r="AI233" t="n">
        <v>0.165233746</v>
      </c>
      <c r="AJ233" t="n">
        <v>0.322858268</v>
      </c>
      <c r="AK233" t="n">
        <v>1.566586303</v>
      </c>
      <c r="AL233" t="n">
        <v>1.165713777</v>
      </c>
      <c r="AM233" t="n">
        <v>0.750433054</v>
      </c>
      <c r="AN233" t="n">
        <v>0.722372485</v>
      </c>
      <c r="AO233" t="n">
        <v>0.769012778</v>
      </c>
      <c r="AP233" t="n">
        <v>1.748082059</v>
      </c>
      <c r="AQ233" t="n">
        <v>1.234861009</v>
      </c>
      <c r="AR233" t="n">
        <v>0.849476746</v>
      </c>
      <c r="AS233" t="n">
        <v>0.44594349</v>
      </c>
      <c r="AT233" t="n">
        <v>4.609951611</v>
      </c>
      <c r="AU233" t="n">
        <v>1.110882508</v>
      </c>
      <c r="AV233" t="n">
        <v>1.016599753</v>
      </c>
    </row>
    <row r="234">
      <c r="A234" t="inlineStr">
        <is>
          <t>2005-Q2</t>
        </is>
      </c>
      <c r="B234" s="87" t="n">
        <v>38534</v>
      </c>
      <c r="C234" t="n">
        <v>2.205059295</v>
      </c>
      <c r="D234" t="n">
        <v>0.450194564</v>
      </c>
      <c r="E234" t="n">
        <v>1.267711904</v>
      </c>
      <c r="F234" t="n">
        <v>0.599075268</v>
      </c>
      <c r="G234" t="n">
        <v>1.132763549</v>
      </c>
      <c r="H234" t="n">
        <v>0.725522707</v>
      </c>
      <c r="I234" t="n">
        <v>1.084930107</v>
      </c>
      <c r="J234" t="n">
        <v>1.660761948</v>
      </c>
      <c r="L234" t="n">
        <v>1.527264726</v>
      </c>
      <c r="M234" t="n">
        <v>0.536190398</v>
      </c>
      <c r="N234" t="n">
        <v>1.968906957</v>
      </c>
      <c r="O234" t="n">
        <v>0.615804</v>
      </c>
      <c r="P234" t="n">
        <v>0.628858</v>
      </c>
      <c r="Q234" t="n">
        <v>0.888808271</v>
      </c>
      <c r="R234" t="n">
        <v>3.959926751</v>
      </c>
      <c r="S234" t="n">
        <v>0.662226</v>
      </c>
      <c r="T234" t="n">
        <v>-1.196153235</v>
      </c>
      <c r="U234" t="n">
        <v>0.228734482</v>
      </c>
      <c r="V234" t="n">
        <v>0.583824</v>
      </c>
      <c r="W234" t="n">
        <v>0.946491587</v>
      </c>
      <c r="X234" t="n">
        <v>0.237815218</v>
      </c>
      <c r="Y234" t="n">
        <v>2.022016136</v>
      </c>
      <c r="Z234" t="n">
        <v>3.1669</v>
      </c>
      <c r="AA234" t="n">
        <v>2.39311992</v>
      </c>
      <c r="AB234" t="n">
        <v>7.144254011</v>
      </c>
      <c r="AC234" t="n">
        <v>1.151785776</v>
      </c>
      <c r="AD234" t="n">
        <v>0.8096399399999999</v>
      </c>
      <c r="AE234" t="n">
        <v>0.772006429</v>
      </c>
      <c r="AF234" t="n">
        <v>1.887062862</v>
      </c>
      <c r="AG234" t="n">
        <v>0.814255761</v>
      </c>
      <c r="AH234" t="n">
        <v>2.273269168</v>
      </c>
      <c r="AI234" t="n">
        <v>0.283432646</v>
      </c>
      <c r="AJ234" t="n">
        <v>0.703469864</v>
      </c>
      <c r="AK234" t="n">
        <v>0.525457662</v>
      </c>
      <c r="AL234" t="n">
        <v>1.616272677</v>
      </c>
      <c r="AM234" t="n">
        <v>0.680860546</v>
      </c>
      <c r="AN234" t="n">
        <v>0.438103671</v>
      </c>
      <c r="AO234" t="n">
        <v>0.368647118</v>
      </c>
      <c r="AP234" t="n">
        <v>1.522295172</v>
      </c>
      <c r="AQ234" t="n">
        <v>2.100160493</v>
      </c>
      <c r="AR234" t="n">
        <v>1.866824358</v>
      </c>
      <c r="AS234" t="n">
        <v>0.657524332</v>
      </c>
      <c r="AT234" t="n">
        <v>0.422159476</v>
      </c>
      <c r="AU234" t="n">
        <v>0.486604478</v>
      </c>
      <c r="AV234" t="n">
        <v>1.794553973</v>
      </c>
    </row>
    <row r="235">
      <c r="A235" t="inlineStr">
        <is>
          <t>2005-Q3</t>
        </is>
      </c>
      <c r="B235" s="87" t="n">
        <v>38626</v>
      </c>
      <c r="C235" t="n">
        <v>0.686994862</v>
      </c>
      <c r="D235" t="n">
        <v>1.127087133</v>
      </c>
      <c r="E235" t="n">
        <v>0.66808901</v>
      </c>
      <c r="F235" t="n">
        <v>0.395532035</v>
      </c>
      <c r="G235" t="n">
        <v>-0.670140992</v>
      </c>
      <c r="H235" t="n">
        <v>1.211374835</v>
      </c>
      <c r="I235" t="n">
        <v>1.066100666</v>
      </c>
      <c r="J235" t="n">
        <v>2.431318548</v>
      </c>
      <c r="L235" t="n">
        <v>1.493346037</v>
      </c>
      <c r="M235" t="n">
        <v>0.8463755120000001</v>
      </c>
      <c r="N235" t="n">
        <v>0.111335017</v>
      </c>
      <c r="O235" t="n">
        <v>0.734555</v>
      </c>
      <c r="P235" t="n">
        <v>0.73565</v>
      </c>
      <c r="Q235" t="n">
        <v>0.967356128</v>
      </c>
      <c r="R235" t="n">
        <v>2.394843156</v>
      </c>
      <c r="S235" t="n">
        <v>0.802837</v>
      </c>
      <c r="T235" t="n">
        <v>1.447934682</v>
      </c>
      <c r="U235" t="n">
        <v>0.669123133</v>
      </c>
      <c r="V235" t="n">
        <v>0.833321</v>
      </c>
      <c r="W235" t="n">
        <v>0.857838571</v>
      </c>
      <c r="X235" t="n">
        <v>1.390843165</v>
      </c>
      <c r="Y235" t="n">
        <v>0.725134514</v>
      </c>
      <c r="Z235" t="n">
        <v>1.39142</v>
      </c>
      <c r="AA235" t="n">
        <v>-1.894117169</v>
      </c>
      <c r="AB235" t="n">
        <v>0.359790154</v>
      </c>
      <c r="AC235" t="n">
        <v>1.238779311</v>
      </c>
      <c r="AD235" t="n">
        <v>0.6349922609999999</v>
      </c>
      <c r="AE235" t="n">
        <v>1.018876103</v>
      </c>
      <c r="AF235" t="n">
        <v>1.505330894</v>
      </c>
      <c r="AG235" t="n">
        <v>2.017206476</v>
      </c>
      <c r="AH235" t="n">
        <v>5.013708561</v>
      </c>
      <c r="AI235" t="n">
        <v>0.841778862</v>
      </c>
      <c r="AJ235" t="n">
        <v>1.342952261</v>
      </c>
      <c r="AK235" t="n">
        <v>0.831250921</v>
      </c>
      <c r="AL235" t="n">
        <v>0.499891798</v>
      </c>
      <c r="AM235" t="n">
        <v>0.900082218</v>
      </c>
      <c r="AN235" t="n">
        <v>1.906716498</v>
      </c>
      <c r="AO235" t="n">
        <v>-0.471937283</v>
      </c>
      <c r="AP235" t="n">
        <v>1.762204946</v>
      </c>
      <c r="AQ235" t="n">
        <v>1.63401542</v>
      </c>
      <c r="AR235" t="n">
        <v>0.847938783</v>
      </c>
      <c r="AS235" t="n">
        <v>1.206542618</v>
      </c>
      <c r="AT235" t="n">
        <v>1.41197126</v>
      </c>
      <c r="AU235" t="n">
        <v>0.7856219800000001</v>
      </c>
      <c r="AV235" t="n">
        <v>1.363618551</v>
      </c>
    </row>
    <row r="236">
      <c r="A236" t="inlineStr">
        <is>
          <t>2005-Q4</t>
        </is>
      </c>
      <c r="B236" s="87" t="n">
        <v>38718</v>
      </c>
      <c r="C236" t="n">
        <v>1.89189</v>
      </c>
      <c r="D236" t="n">
        <v>0.77144399</v>
      </c>
      <c r="E236" t="n">
        <v>0.88101484</v>
      </c>
      <c r="F236" t="n">
        <v>0.767038264</v>
      </c>
      <c r="G236" t="n">
        <v>1.421666859</v>
      </c>
      <c r="H236" t="n">
        <v>0.988734322</v>
      </c>
      <c r="I236" t="n">
        <v>1.076717852</v>
      </c>
      <c r="J236" t="n">
        <v>1.202331316</v>
      </c>
      <c r="L236" t="n">
        <v>1.849312679</v>
      </c>
      <c r="M236" t="n">
        <v>0.471373573</v>
      </c>
      <c r="N236" t="n">
        <v>0.324723372</v>
      </c>
      <c r="O236" t="n">
        <v>0.639734</v>
      </c>
      <c r="P236" t="n">
        <v>0.642209</v>
      </c>
      <c r="Q236" t="n">
        <v>1.001443906</v>
      </c>
      <c r="R236" t="n">
        <v>2.309238168</v>
      </c>
      <c r="S236" t="n">
        <v>0.685663</v>
      </c>
      <c r="T236" t="n">
        <v>0.28743607</v>
      </c>
      <c r="U236" t="n">
        <v>0.625090025</v>
      </c>
      <c r="V236" t="n">
        <v>0.5288620000000001</v>
      </c>
      <c r="W236" t="n">
        <v>1.043946134</v>
      </c>
      <c r="X236" t="n">
        <v>0.501015516</v>
      </c>
      <c r="Y236" t="n">
        <v>1.107122792</v>
      </c>
      <c r="Z236" t="n">
        <v>2.52791</v>
      </c>
      <c r="AA236" t="n">
        <v>3.966681978</v>
      </c>
      <c r="AB236" t="n">
        <v>1.683677313</v>
      </c>
      <c r="AC236" t="n">
        <v>1.755779643</v>
      </c>
      <c r="AD236" t="n">
        <v>0.153526917</v>
      </c>
      <c r="AE236" t="n">
        <v>0.178636308</v>
      </c>
      <c r="AF236" t="n">
        <v>1.012464666</v>
      </c>
      <c r="AG236" t="n">
        <v>5.18345186</v>
      </c>
      <c r="AH236" t="n">
        <v>3.793923594</v>
      </c>
      <c r="AI236" t="n">
        <v>1.672274202</v>
      </c>
      <c r="AJ236" t="n">
        <v>0.630550925</v>
      </c>
      <c r="AK236" t="n">
        <v>0.225499966</v>
      </c>
      <c r="AL236" t="n">
        <v>-0.398354902</v>
      </c>
      <c r="AM236" t="n">
        <v>0.753703897</v>
      </c>
      <c r="AN236" t="n">
        <v>1.753212013</v>
      </c>
      <c r="AO236" t="n">
        <v>0.13303494</v>
      </c>
      <c r="AP236" t="n">
        <v>2.062840474</v>
      </c>
      <c r="AQ236" t="n">
        <v>1.455624831</v>
      </c>
      <c r="AR236" t="n">
        <v>1.755316062</v>
      </c>
      <c r="AS236" t="n">
        <v>0.67076051</v>
      </c>
      <c r="AT236" t="n">
        <v>3.306804141</v>
      </c>
      <c r="AU236" t="n">
        <v>0.567928238</v>
      </c>
      <c r="AV236" t="n">
        <v>0.669356074</v>
      </c>
    </row>
    <row r="237">
      <c r="A237" t="inlineStr">
        <is>
          <t>2006-Q1</t>
        </is>
      </c>
      <c r="B237" s="87" t="n">
        <v>38808</v>
      </c>
      <c r="C237" t="n">
        <v>2.597090985</v>
      </c>
      <c r="D237" t="n">
        <v>0.10099889</v>
      </c>
      <c r="E237" t="n">
        <v>1.188613748</v>
      </c>
      <c r="F237" t="n">
        <v>0.614857043</v>
      </c>
      <c r="G237" t="n">
        <v>1.436440004</v>
      </c>
      <c r="H237" t="n">
        <v>0.8109954110000001</v>
      </c>
      <c r="I237" t="n">
        <v>1.226506843</v>
      </c>
      <c r="J237" t="n">
        <v>0.904371131</v>
      </c>
      <c r="L237" t="n">
        <v>1.839711359</v>
      </c>
      <c r="M237" t="n">
        <v>0.961211712</v>
      </c>
      <c r="N237" t="n">
        <v>1.256661041</v>
      </c>
      <c r="O237" t="n">
        <v>0.868043</v>
      </c>
      <c r="P237" t="n">
        <v>0.866316</v>
      </c>
      <c r="Q237" t="n">
        <v>1.150570686</v>
      </c>
      <c r="R237" t="n">
        <v>2.297257292</v>
      </c>
      <c r="S237" t="n">
        <v>0.9374130000000001</v>
      </c>
      <c r="T237" t="n">
        <v>2.494514835</v>
      </c>
      <c r="U237" t="n">
        <v>0.7589659479999999</v>
      </c>
      <c r="V237" t="n">
        <v>0.905986</v>
      </c>
      <c r="W237" t="n">
        <v>0.344745269</v>
      </c>
      <c r="X237" t="n">
        <v>3.258220871</v>
      </c>
      <c r="Y237" t="n">
        <v>0.792029454</v>
      </c>
      <c r="Z237" t="n">
        <v>2.50557</v>
      </c>
      <c r="AA237" t="n">
        <v>1.90372498</v>
      </c>
      <c r="AB237" t="n">
        <v>-0.51044919</v>
      </c>
      <c r="AC237" t="n">
        <v>1.290474543</v>
      </c>
      <c r="AD237" t="n">
        <v>0.149610197</v>
      </c>
      <c r="AE237" t="n">
        <v>0.154423303</v>
      </c>
      <c r="AF237" t="n">
        <v>1.639117138</v>
      </c>
      <c r="AG237" t="n">
        <v>0.084699513</v>
      </c>
      <c r="AH237" t="n">
        <v>-0.886593034</v>
      </c>
      <c r="AI237" t="n">
        <v>1.756490058</v>
      </c>
      <c r="AJ237" t="n">
        <v>0.623937875</v>
      </c>
      <c r="AK237" t="n">
        <v>0.70674634</v>
      </c>
      <c r="AL237" t="n">
        <v>1.584659287</v>
      </c>
      <c r="AM237" t="n">
        <v>1.020206594</v>
      </c>
      <c r="AN237" t="n">
        <v>1.521110652</v>
      </c>
      <c r="AO237" t="n">
        <v>0.817392645</v>
      </c>
      <c r="AP237" t="n">
        <v>1.930605205</v>
      </c>
      <c r="AQ237" t="n">
        <v>2.379120573</v>
      </c>
      <c r="AR237" t="n">
        <v>0.590842779</v>
      </c>
      <c r="AS237" t="n">
        <v>1.546546547</v>
      </c>
      <c r="AT237" t="n">
        <v>1.14513327</v>
      </c>
      <c r="AU237" t="n">
        <v>1.34866612</v>
      </c>
      <c r="AV237" t="n">
        <v>1.757168426</v>
      </c>
    </row>
    <row r="238">
      <c r="A238" t="inlineStr">
        <is>
          <t>2006-Q2</t>
        </is>
      </c>
      <c r="B238" s="87" t="n">
        <v>38899</v>
      </c>
      <c r="C238" t="n">
        <v>1.309834311</v>
      </c>
      <c r="D238" t="n">
        <v>0.229512923</v>
      </c>
      <c r="E238" t="n">
        <v>0.157496087</v>
      </c>
      <c r="F238" t="n">
        <v>0.354937099</v>
      </c>
      <c r="G238" t="n">
        <v>0.417652543</v>
      </c>
      <c r="H238" t="n">
        <v>0.051646385</v>
      </c>
      <c r="I238" t="n">
        <v>0.805798575</v>
      </c>
      <c r="J238" t="n">
        <v>2.075793122</v>
      </c>
      <c r="L238" t="n">
        <v>1.944582606</v>
      </c>
      <c r="M238" t="n">
        <v>1.722767893</v>
      </c>
      <c r="N238" t="n">
        <v>2.982414581</v>
      </c>
      <c r="O238" t="n">
        <v>1.106371</v>
      </c>
      <c r="P238" t="n">
        <v>1.10762</v>
      </c>
      <c r="Q238" t="n">
        <v>0.975689234</v>
      </c>
      <c r="R238" t="n">
        <v>2.094785244</v>
      </c>
      <c r="S238" t="n">
        <v>1.229825</v>
      </c>
      <c r="T238" t="n">
        <v>0.244923148</v>
      </c>
      <c r="U238" t="n">
        <v>1.025241294</v>
      </c>
      <c r="V238" t="n">
        <v>0.453087</v>
      </c>
      <c r="W238" t="n">
        <v>0.235756048</v>
      </c>
      <c r="X238" t="n">
        <v>0.307050511</v>
      </c>
      <c r="Y238" t="n">
        <v>1.405398296</v>
      </c>
      <c r="Z238" t="n">
        <v>1.43638</v>
      </c>
      <c r="AA238" t="n">
        <v>0.193942562</v>
      </c>
      <c r="AB238" t="n">
        <v>4.443068054</v>
      </c>
      <c r="AC238" t="n">
        <v>2.200874571</v>
      </c>
      <c r="AD238" t="n">
        <v>0.70757194</v>
      </c>
      <c r="AE238" t="n">
        <v>0.147863128</v>
      </c>
      <c r="AF238" t="n">
        <v>0.730602028</v>
      </c>
      <c r="AG238" t="n">
        <v>0.283221508</v>
      </c>
      <c r="AH238" t="n">
        <v>5.056168026</v>
      </c>
      <c r="AI238" t="n">
        <v>0.975338444</v>
      </c>
      <c r="AJ238" t="n">
        <v>1.497031303</v>
      </c>
      <c r="AK238" t="n">
        <v>0.125089789</v>
      </c>
      <c r="AL238" t="n">
        <v>0.412862585</v>
      </c>
      <c r="AM238" t="n">
        <v>0.674497992</v>
      </c>
      <c r="AN238" t="n">
        <v>2.325274285</v>
      </c>
      <c r="AO238" t="n">
        <v>0.96512188</v>
      </c>
      <c r="AP238" t="n">
        <v>1.925103954</v>
      </c>
      <c r="AQ238" t="n">
        <v>2.336672956</v>
      </c>
      <c r="AR238" t="n">
        <v>2.329532083</v>
      </c>
      <c r="AS238" t="n">
        <v>1.627051604</v>
      </c>
      <c r="AT238" t="n">
        <v>3.046122099</v>
      </c>
      <c r="AU238" t="n">
        <v>0.245583731</v>
      </c>
      <c r="AV238" t="n">
        <v>1.420243604</v>
      </c>
    </row>
    <row r="239">
      <c r="A239" t="inlineStr">
        <is>
          <t>2006-Q3</t>
        </is>
      </c>
      <c r="B239" s="87" t="n">
        <v>38991</v>
      </c>
      <c r="C239" t="n">
        <v>2.764431047</v>
      </c>
      <c r="D239" t="n">
        <v>1.48924755</v>
      </c>
      <c r="E239" t="n">
        <v>1.335742727</v>
      </c>
      <c r="F239" t="n">
        <v>0.880418794</v>
      </c>
      <c r="G239" t="n">
        <v>1.622356603</v>
      </c>
      <c r="H239" t="n">
        <v>0.279245485</v>
      </c>
      <c r="I239" t="n">
        <v>0.664856641</v>
      </c>
      <c r="J239" t="n">
        <v>1.361350966</v>
      </c>
      <c r="L239" t="n">
        <v>1.211839455</v>
      </c>
      <c r="M239" t="n">
        <v>0.77994355</v>
      </c>
      <c r="N239" t="n">
        <v>-0.666822567</v>
      </c>
      <c r="O239" t="n">
        <v>0.599635</v>
      </c>
      <c r="P239" t="n">
        <v>0.603128</v>
      </c>
      <c r="Q239" t="n">
        <v>0.929862547</v>
      </c>
      <c r="R239" t="n">
        <v>2.290223412</v>
      </c>
      <c r="S239" t="n">
        <v>0.649245</v>
      </c>
      <c r="T239" t="n">
        <v>0.950365525</v>
      </c>
      <c r="U239" t="n">
        <v>0.173685992</v>
      </c>
      <c r="V239" t="n">
        <v>0.189065</v>
      </c>
      <c r="W239" t="n">
        <v>0.142617665</v>
      </c>
      <c r="X239" t="n">
        <v>0.477438963</v>
      </c>
      <c r="Y239" t="n">
        <v>0.550482025</v>
      </c>
      <c r="Z239" t="n">
        <v>3.303</v>
      </c>
      <c r="AA239" t="n">
        <v>0.6136287580000001</v>
      </c>
      <c r="AB239" t="n">
        <v>0.042242639</v>
      </c>
      <c r="AC239" t="n">
        <v>-0.65346495</v>
      </c>
      <c r="AD239" t="n">
        <v>0.479358063</v>
      </c>
      <c r="AE239" t="n">
        <v>-0.192239419</v>
      </c>
      <c r="AF239" t="n">
        <v>1.613954951</v>
      </c>
      <c r="AG239" t="n">
        <v>0.49382694</v>
      </c>
      <c r="AH239" t="n">
        <v>3.384333788</v>
      </c>
      <c r="AI239" t="n">
        <v>0.275050561</v>
      </c>
      <c r="AJ239" t="n">
        <v>0.598152747</v>
      </c>
      <c r="AK239" t="n">
        <v>1.027564479</v>
      </c>
      <c r="AL239" t="n">
        <v>0.629464002</v>
      </c>
      <c r="AM239" t="n">
        <v>0.373789809</v>
      </c>
      <c r="AN239" t="n">
        <v>1.611462907</v>
      </c>
      <c r="AO239" t="n">
        <v>-0.112732238</v>
      </c>
      <c r="AP239" t="n">
        <v>2.296129166</v>
      </c>
      <c r="AQ239" t="n">
        <v>1.907625558</v>
      </c>
      <c r="AR239" t="n">
        <v>1.655723826</v>
      </c>
      <c r="AS239" t="n">
        <v>1.200160773</v>
      </c>
      <c r="AT239" t="n">
        <v>-0.753486109</v>
      </c>
      <c r="AU239" t="n">
        <v>0.150456188</v>
      </c>
      <c r="AV239" t="n">
        <v>1.381152984</v>
      </c>
    </row>
    <row r="240">
      <c r="A240" t="inlineStr">
        <is>
          <t>2006-Q4</t>
        </is>
      </c>
      <c r="B240" s="87" t="n">
        <v>39083</v>
      </c>
      <c r="C240" t="n">
        <v>2.138420959</v>
      </c>
      <c r="D240" t="n">
        <v>1.282096698</v>
      </c>
      <c r="E240" t="n">
        <v>0.865080525</v>
      </c>
      <c r="F240" t="n">
        <v>1.135413316</v>
      </c>
      <c r="G240" t="n">
        <v>1.278680659</v>
      </c>
      <c r="H240" t="n">
        <v>0.398598242</v>
      </c>
      <c r="I240" t="n">
        <v>1.271438167</v>
      </c>
      <c r="J240" t="n">
        <v>2.134831237</v>
      </c>
      <c r="L240" t="n">
        <v>1.34905802</v>
      </c>
      <c r="M240" t="n">
        <v>1.514652417</v>
      </c>
      <c r="N240" t="n">
        <v>-0.271021311</v>
      </c>
      <c r="O240" t="n">
        <v>1.170514</v>
      </c>
      <c r="P240" t="n">
        <v>1.170935</v>
      </c>
      <c r="Q240" t="n">
        <v>0.948808227</v>
      </c>
      <c r="R240" t="n">
        <v>2.480963173</v>
      </c>
      <c r="S240" t="n">
        <v>1.031261</v>
      </c>
      <c r="T240" t="n">
        <v>0.785150741</v>
      </c>
      <c r="U240" t="n">
        <v>0.60342089</v>
      </c>
      <c r="V240" t="n">
        <v>0.9509030000000001</v>
      </c>
      <c r="W240" t="n">
        <v>0.436638333</v>
      </c>
      <c r="X240" t="n">
        <v>2.542940426</v>
      </c>
      <c r="Y240" t="n">
        <v>0.926656389</v>
      </c>
      <c r="Z240" t="n">
        <v>1.71129</v>
      </c>
      <c r="AA240" t="n">
        <v>0.9272353840000001</v>
      </c>
      <c r="AB240" t="n">
        <v>0.945841005</v>
      </c>
      <c r="AC240" t="n">
        <v>1.453156611</v>
      </c>
      <c r="AD240" t="n">
        <v>1.296625507</v>
      </c>
      <c r="AE240" t="n">
        <v>1.353122732</v>
      </c>
      <c r="AF240" t="n">
        <v>0.779357615</v>
      </c>
      <c r="AG240" t="n">
        <v>1.458742893</v>
      </c>
      <c r="AH240" t="n">
        <v>4.483854449</v>
      </c>
      <c r="AI240" t="n">
        <v>0.249611714</v>
      </c>
      <c r="AJ240" t="n">
        <v>0.824500468</v>
      </c>
      <c r="AK240" t="n">
        <v>1.832666418</v>
      </c>
      <c r="AL240" t="n">
        <v>0.823504634</v>
      </c>
      <c r="AM240" t="n">
        <v>0.9615125879999999</v>
      </c>
      <c r="AN240" t="n">
        <v>-1.455255089</v>
      </c>
      <c r="AO240" t="n">
        <v>0.711999077</v>
      </c>
      <c r="AP240" t="n">
        <v>1.899240513</v>
      </c>
      <c r="AQ240" t="n">
        <v>2.818710272</v>
      </c>
      <c r="AR240" t="n">
        <v>2.134069489</v>
      </c>
      <c r="AS240" t="n">
        <v>0.662063611</v>
      </c>
      <c r="AT240" t="n">
        <v>2.258713045</v>
      </c>
      <c r="AU240" t="n">
        <v>0.843711696</v>
      </c>
      <c r="AV240" t="n">
        <v>1.382817924</v>
      </c>
    </row>
    <row r="241">
      <c r="A241" t="inlineStr">
        <is>
          <t>2007-Q1</t>
        </is>
      </c>
      <c r="B241" s="87" t="n">
        <v>39173</v>
      </c>
      <c r="C241" t="n">
        <v>2.3345292</v>
      </c>
      <c r="D241" t="n">
        <v>1.382902589</v>
      </c>
      <c r="E241" t="n">
        <v>1.139781476</v>
      </c>
      <c r="F241" t="n">
        <v>1.417379597</v>
      </c>
      <c r="G241" t="n">
        <v>1.751329914</v>
      </c>
      <c r="H241" t="n">
        <v>0.639626644</v>
      </c>
      <c r="I241" t="n">
        <v>0.585813338</v>
      </c>
      <c r="J241" t="n">
        <v>1.026061307</v>
      </c>
      <c r="L241" t="n">
        <v>1.711122785</v>
      </c>
      <c r="M241" t="n">
        <v>0.062645067</v>
      </c>
      <c r="N241" t="n">
        <v>0.33129799</v>
      </c>
      <c r="O241" t="n">
        <v>0.596173</v>
      </c>
      <c r="P241" t="n">
        <v>0.603609</v>
      </c>
      <c r="Q241" t="n">
        <v>0.9203708</v>
      </c>
      <c r="R241" t="n">
        <v>3.315682022</v>
      </c>
      <c r="S241" t="n">
        <v>0.735262</v>
      </c>
      <c r="T241" t="n">
        <v>1.932458496</v>
      </c>
      <c r="U241" t="n">
        <v>0.792169754</v>
      </c>
      <c r="V241" t="n">
        <v>0.396064</v>
      </c>
      <c r="W241" t="n">
        <v>1.040825177</v>
      </c>
      <c r="X241" t="n">
        <v>-0.7852856620000001</v>
      </c>
      <c r="Y241" t="n">
        <v>-1.236078676</v>
      </c>
      <c r="Z241" t="n">
        <v>2.7934</v>
      </c>
      <c r="AA241" t="n">
        <v>5.490509544</v>
      </c>
      <c r="AB241" t="n">
        <v>1.386953928</v>
      </c>
      <c r="AC241" t="n">
        <v>2.036011742</v>
      </c>
      <c r="AD241" t="n">
        <v>-0.274261556</v>
      </c>
      <c r="AE241" t="n">
        <v>0.659981168</v>
      </c>
      <c r="AF241" t="n">
        <v>1.674043596</v>
      </c>
      <c r="AG241" t="n">
        <v>5.019353865</v>
      </c>
      <c r="AH241" t="n">
        <v>1.578764838</v>
      </c>
      <c r="AI241" t="n">
        <v>0.7057779709999999</v>
      </c>
      <c r="AJ241" t="n">
        <v>1.145697378</v>
      </c>
      <c r="AK241" t="n">
        <v>0.027707845</v>
      </c>
      <c r="AL241" t="n">
        <v>1.318125796</v>
      </c>
      <c r="AM241" t="n">
        <v>0.685002058</v>
      </c>
      <c r="AN241" t="n">
        <v>4.467008549</v>
      </c>
      <c r="AO241" t="n">
        <v>1.052270567</v>
      </c>
      <c r="AP241" t="n">
        <v>1.813650933</v>
      </c>
      <c r="AQ241" t="n">
        <v>2.098523106</v>
      </c>
      <c r="AR241" t="n">
        <v>1.866242491</v>
      </c>
      <c r="AS241" t="n">
        <v>0.941306063</v>
      </c>
      <c r="AT241" t="n">
        <v>1.823080444</v>
      </c>
      <c r="AU241" t="n">
        <v>0.293598861</v>
      </c>
      <c r="AV241" t="n">
        <v>1.623672013</v>
      </c>
    </row>
    <row r="242">
      <c r="A242" t="inlineStr">
        <is>
          <t>2007-Q2</t>
        </is>
      </c>
      <c r="B242" s="87" t="n">
        <v>39264</v>
      </c>
      <c r="C242" t="n">
        <v>2.192765523</v>
      </c>
      <c r="D242" t="n">
        <v>0.66609699</v>
      </c>
      <c r="E242" t="n">
        <v>1.030013874</v>
      </c>
      <c r="F242" t="n">
        <v>0.456797608</v>
      </c>
      <c r="G242" t="n">
        <v>1.737242026</v>
      </c>
      <c r="H242" t="n">
        <v>0.968907263</v>
      </c>
      <c r="I242" t="n">
        <v>1.536924617</v>
      </c>
      <c r="J242" t="n">
        <v>1.016700992</v>
      </c>
      <c r="L242" t="n">
        <v>0.811557483</v>
      </c>
      <c r="M242" t="n">
        <v>0.838052582</v>
      </c>
      <c r="N242" t="n">
        <v>-0.447886765</v>
      </c>
      <c r="O242" t="n">
        <v>0.7248790000000001</v>
      </c>
      <c r="P242" t="n">
        <v>0.7250450000000001</v>
      </c>
      <c r="Q242" t="n">
        <v>0.902488869</v>
      </c>
      <c r="R242" t="n">
        <v>0.390307795</v>
      </c>
      <c r="S242" t="n">
        <v>0.719979</v>
      </c>
      <c r="T242" t="n">
        <v>1.797506864</v>
      </c>
      <c r="U242" t="n">
        <v>0.677203875</v>
      </c>
      <c r="V242" t="n">
        <v>0.5592279999999999</v>
      </c>
      <c r="W242" t="n">
        <v>0.658963332</v>
      </c>
      <c r="X242" t="n">
        <v>2.911721824</v>
      </c>
      <c r="Y242" t="n">
        <v>-0.102219575</v>
      </c>
      <c r="Z242" t="n">
        <v>2.52015</v>
      </c>
      <c r="AA242" t="n">
        <v>-1.105924478</v>
      </c>
      <c r="AB242" t="n">
        <v>6.130305399</v>
      </c>
      <c r="AC242" t="n">
        <v>1.667622636</v>
      </c>
      <c r="AD242" t="n">
        <v>0.271710179</v>
      </c>
      <c r="AE242" t="n">
        <v>0.025347985</v>
      </c>
      <c r="AF242" t="n">
        <v>1.730290857</v>
      </c>
      <c r="AG242" t="n">
        <v>2.209702452</v>
      </c>
      <c r="AH242" t="n">
        <v>2.076676942</v>
      </c>
      <c r="AI242" t="n">
        <v>0.7660850850000001</v>
      </c>
      <c r="AJ242" t="n">
        <v>0.5116467730000001</v>
      </c>
      <c r="AK242" t="n">
        <v>-0.00159044</v>
      </c>
      <c r="AL242" t="n">
        <v>0.907179085</v>
      </c>
      <c r="AM242" t="n">
        <v>0.67095327</v>
      </c>
      <c r="AN242" t="n">
        <v>1.333962094</v>
      </c>
      <c r="AO242" t="n">
        <v>0.443121174</v>
      </c>
      <c r="AP242" t="n">
        <v>2.52379819</v>
      </c>
      <c r="AQ242" t="n">
        <v>2.476595135</v>
      </c>
      <c r="AR242" t="n">
        <v>1.417080719</v>
      </c>
      <c r="AS242" t="n">
        <v>0.514504372</v>
      </c>
      <c r="AT242" t="n">
        <v>0.030535506</v>
      </c>
      <c r="AU242" t="n">
        <v>0.6384345299999999</v>
      </c>
      <c r="AV242" t="n">
        <v>0.819557991</v>
      </c>
    </row>
    <row r="243">
      <c r="A243" t="inlineStr">
        <is>
          <t>2007-Q3</t>
        </is>
      </c>
      <c r="B243" s="87" t="n">
        <v>39356</v>
      </c>
      <c r="C243" t="n">
        <v>1.324432646</v>
      </c>
      <c r="D243" t="n">
        <v>1.125926629</v>
      </c>
      <c r="E243" t="n">
        <v>0.309434764</v>
      </c>
      <c r="F243" t="n">
        <v>0.77208828</v>
      </c>
      <c r="G243" t="n">
        <v>1.001478922</v>
      </c>
      <c r="H243" t="n">
        <v>0.419854575</v>
      </c>
      <c r="I243" t="n">
        <v>0.854587542</v>
      </c>
      <c r="J243" t="n">
        <v>0.274925169</v>
      </c>
      <c r="L243" t="n">
        <v>1.405869481</v>
      </c>
      <c r="M243" t="n">
        <v>0.518079044</v>
      </c>
      <c r="N243" t="n">
        <v>0.939515371</v>
      </c>
      <c r="O243" t="n">
        <v>0.454646</v>
      </c>
      <c r="P243" t="n">
        <v>0.453615</v>
      </c>
      <c r="Q243" t="n">
        <v>0.767469701</v>
      </c>
      <c r="R243" t="n">
        <v>0.201068205</v>
      </c>
      <c r="S243" t="n">
        <v>0.526961</v>
      </c>
      <c r="T243" t="n">
        <v>0.918417552</v>
      </c>
      <c r="U243" t="n">
        <v>0.442746107</v>
      </c>
      <c r="V243" t="n">
        <v>0.386968</v>
      </c>
      <c r="W243" t="n">
        <v>0.760831396</v>
      </c>
      <c r="X243" t="n">
        <v>-0.623113458</v>
      </c>
      <c r="Y243" t="n">
        <v>0.495531308</v>
      </c>
      <c r="Z243" t="n">
        <v>1.79448</v>
      </c>
      <c r="AA243" t="n">
        <v>-2.644139044</v>
      </c>
      <c r="AB243" t="n">
        <v>-1.128455798</v>
      </c>
      <c r="AC243" t="n">
        <v>1.894814999</v>
      </c>
      <c r="AD243" t="n">
        <v>0.208515152</v>
      </c>
      <c r="AE243" t="n">
        <v>-0.535110667</v>
      </c>
      <c r="AF243" t="n">
        <v>1.173831453</v>
      </c>
      <c r="AG243" t="n">
        <v>-0.734537985</v>
      </c>
      <c r="AH243" t="n">
        <v>1.876844922</v>
      </c>
      <c r="AI243" t="n">
        <v>0.62933438</v>
      </c>
      <c r="AJ243" t="n">
        <v>1.117501908</v>
      </c>
      <c r="AK243" t="n">
        <v>1.285493893</v>
      </c>
      <c r="AL243" t="n">
        <v>0.778472478</v>
      </c>
      <c r="AM243" t="n">
        <v>0.524794366</v>
      </c>
      <c r="AN243" t="n">
        <v>1.7387767</v>
      </c>
      <c r="AO243" t="n">
        <v>0.205999342</v>
      </c>
      <c r="AP243" t="n">
        <v>2.20511038</v>
      </c>
      <c r="AQ243" t="n">
        <v>2.36964191</v>
      </c>
      <c r="AR243" t="n">
        <v>1.929286094</v>
      </c>
      <c r="AS243" t="n">
        <v>0.796047914</v>
      </c>
      <c r="AT243" t="n">
        <v>0.586394599</v>
      </c>
      <c r="AU243" t="n">
        <v>0.602306657</v>
      </c>
      <c r="AV243" t="n">
        <v>1.171935193</v>
      </c>
    </row>
    <row r="244">
      <c r="A244" t="inlineStr">
        <is>
          <t>2007-Q4</t>
        </is>
      </c>
      <c r="B244" s="87" t="n">
        <v>39448</v>
      </c>
      <c r="C244" t="n">
        <v>3.075639908</v>
      </c>
      <c r="D244" t="n">
        <v>0.409537986</v>
      </c>
      <c r="E244" t="n">
        <v>0.862452145</v>
      </c>
      <c r="F244" t="n">
        <v>0.405803087</v>
      </c>
      <c r="G244" t="n">
        <v>1.490453388</v>
      </c>
      <c r="H244" t="n">
        <v>0.113617046</v>
      </c>
      <c r="I244" t="n">
        <v>0.888359576</v>
      </c>
      <c r="J244" t="n">
        <v>1.879740207</v>
      </c>
      <c r="L244" t="n">
        <v>1.303889735</v>
      </c>
      <c r="M244" t="n">
        <v>0.644263863</v>
      </c>
      <c r="N244" t="n">
        <v>1.005988508</v>
      </c>
      <c r="O244" t="n">
        <v>0.506812</v>
      </c>
      <c r="P244" t="n">
        <v>0.504486</v>
      </c>
      <c r="Q244" t="n">
        <v>0.630260395</v>
      </c>
      <c r="R244" t="n">
        <v>-0.600339009</v>
      </c>
      <c r="S244" t="n">
        <v>0.602911</v>
      </c>
      <c r="T244" t="n">
        <v>1.319947274</v>
      </c>
      <c r="U244" t="n">
        <v>0.190383553</v>
      </c>
      <c r="V244" t="n">
        <v>0.474633</v>
      </c>
      <c r="W244" t="n">
        <v>0.660700654</v>
      </c>
      <c r="X244" t="n">
        <v>-0.495876772</v>
      </c>
      <c r="Y244" t="n">
        <v>0.312554437</v>
      </c>
      <c r="Z244" t="n">
        <v>3.37688</v>
      </c>
      <c r="AA244" t="n">
        <v>3.736315859</v>
      </c>
      <c r="AB244" t="n">
        <v>4.085255043</v>
      </c>
      <c r="AC244" t="n">
        <v>1.365338986</v>
      </c>
      <c r="AD244" t="n">
        <v>-0.359101905</v>
      </c>
      <c r="AE244" t="n">
        <v>0.441623222</v>
      </c>
      <c r="AF244" t="n">
        <v>2.156948555</v>
      </c>
      <c r="AG244" t="n">
        <v>0.793246783</v>
      </c>
      <c r="AH244" t="n">
        <v>-1.125113811</v>
      </c>
      <c r="AI244" t="n">
        <v>0.393477486</v>
      </c>
      <c r="AJ244" t="n">
        <v>1.353023647</v>
      </c>
      <c r="AK244" t="n">
        <v>1.09003592</v>
      </c>
      <c r="AL244" t="n">
        <v>0.160168684</v>
      </c>
      <c r="AM244" t="n">
        <v>0.710689766</v>
      </c>
      <c r="AN244" t="n">
        <v>1.311995889</v>
      </c>
      <c r="AO244" t="n">
        <v>1.118249303</v>
      </c>
      <c r="AP244" t="n">
        <v>3.193832161</v>
      </c>
      <c r="AQ244" t="n">
        <v>6.371014</v>
      </c>
      <c r="AR244" t="n">
        <v>0.033445911</v>
      </c>
      <c r="AS244" t="n">
        <v>1.145362991</v>
      </c>
      <c r="AT244" t="n">
        <v>3.432599138</v>
      </c>
      <c r="AU244" t="n">
        <v>0.609644003</v>
      </c>
      <c r="AV244" t="n">
        <v>1.417079709</v>
      </c>
    </row>
    <row r="245">
      <c r="A245" t="inlineStr">
        <is>
          <t>2008-Q1</t>
        </is>
      </c>
      <c r="B245" s="87" t="n">
        <v>39539</v>
      </c>
      <c r="C245" t="n">
        <v>0.927297377</v>
      </c>
      <c r="D245" t="n">
        <v>1.005519583</v>
      </c>
      <c r="E245" t="n">
        <v>0.806175004</v>
      </c>
      <c r="F245" t="n">
        <v>0.431929904</v>
      </c>
      <c r="G245" t="n">
        <v>1.336584125</v>
      </c>
      <c r="H245" t="n">
        <v>0.07664056700000001</v>
      </c>
      <c r="I245" t="n">
        <v>0.849486057</v>
      </c>
      <c r="J245" t="n">
        <v>2.107285899</v>
      </c>
      <c r="L245" t="n">
        <v>0.470427993</v>
      </c>
      <c r="M245" t="n">
        <v>0.640153777</v>
      </c>
      <c r="N245" t="n">
        <v>-0.041561001</v>
      </c>
      <c r="O245" t="n">
        <v>0.513426</v>
      </c>
      <c r="P245" t="n">
        <v>0.523587</v>
      </c>
      <c r="Q245" t="n">
        <v>0.221135567</v>
      </c>
      <c r="R245" t="n">
        <v>-2.220162216</v>
      </c>
      <c r="S245" t="n">
        <v>0.562037</v>
      </c>
      <c r="T245" t="n">
        <v>-0.122968349</v>
      </c>
      <c r="U245" t="n">
        <v>0.493697346</v>
      </c>
      <c r="V245" t="n">
        <v>0.071882</v>
      </c>
      <c r="W245" t="n">
        <v>0.484699608</v>
      </c>
      <c r="X245" t="n">
        <v>0.611597606</v>
      </c>
      <c r="Y245" t="n">
        <v>1.07743591</v>
      </c>
      <c r="Z245" t="n">
        <v>0.6059</v>
      </c>
      <c r="AA245" t="n">
        <v>-2.506535337</v>
      </c>
      <c r="AB245" t="n">
        <v>-3.039920478</v>
      </c>
      <c r="AC245" t="n">
        <v>0.9442870759999999</v>
      </c>
      <c r="AD245" t="n">
        <v>1.165336477</v>
      </c>
      <c r="AE245" t="n">
        <v>0.362009167</v>
      </c>
      <c r="AF245" t="n">
        <v>0.402394858</v>
      </c>
      <c r="AG245" t="n">
        <v>1.072631667</v>
      </c>
      <c r="AH245" t="n">
        <v>1.976170235</v>
      </c>
      <c r="AI245" t="n">
        <v>-0.181346054</v>
      </c>
      <c r="AJ245" t="n">
        <v>0.327531403</v>
      </c>
      <c r="AK245" t="n">
        <v>-1.017831138</v>
      </c>
      <c r="AL245" t="n">
        <v>-0.449374519</v>
      </c>
      <c r="AM245" t="n">
        <v>0.186665625</v>
      </c>
      <c r="AN245" t="n">
        <v>1.435153579</v>
      </c>
      <c r="AO245" t="n">
        <v>0.007673184</v>
      </c>
      <c r="AP245" t="n">
        <v>2.653171822</v>
      </c>
      <c r="AQ245" t="n">
        <v>-2.840290969</v>
      </c>
      <c r="AR245" t="n">
        <v>1.782101415</v>
      </c>
      <c r="AS245" t="n">
        <v>-0.815077862</v>
      </c>
      <c r="AT245" t="n">
        <v>2.106492108</v>
      </c>
      <c r="AU245" t="n">
        <v>-0.407429474</v>
      </c>
      <c r="AV245" t="n">
        <v>0.420005275</v>
      </c>
    </row>
    <row r="246">
      <c r="A246" t="inlineStr">
        <is>
          <t>2008-Q2</t>
        </is>
      </c>
      <c r="B246" s="87" t="n">
        <v>39630</v>
      </c>
      <c r="C246" t="n">
        <v>0.5538917759999999</v>
      </c>
      <c r="D246" t="n">
        <v>0.329523168</v>
      </c>
      <c r="E246" t="n">
        <v>0.789187284</v>
      </c>
      <c r="F246" t="n">
        <v>0.06348686200000001</v>
      </c>
      <c r="G246" t="n">
        <v>2.041525118</v>
      </c>
      <c r="H246" t="n">
        <v>0.361671897</v>
      </c>
      <c r="I246" t="n">
        <v>1.179682974</v>
      </c>
      <c r="J246" t="n">
        <v>0.09872054500000001</v>
      </c>
      <c r="L246" t="n">
        <v>0.72075756</v>
      </c>
      <c r="M246" t="n">
        <v>-0.243822487</v>
      </c>
      <c r="N246" t="n">
        <v>-0.922683985</v>
      </c>
      <c r="O246" t="n">
        <v>-0.335894</v>
      </c>
      <c r="P246" t="n">
        <v>-0.331845</v>
      </c>
      <c r="Q246" t="n">
        <v>0.115662067</v>
      </c>
      <c r="R246" t="n">
        <v>1.015879619</v>
      </c>
      <c r="S246" t="n">
        <v>-0.263685</v>
      </c>
      <c r="T246" t="n">
        <v>-0.802954874</v>
      </c>
      <c r="U246" t="n">
        <v>-0.594421373</v>
      </c>
      <c r="V246" t="n">
        <v>0.035266</v>
      </c>
      <c r="W246" t="n">
        <v>-0.476414117</v>
      </c>
      <c r="X246" t="n">
        <v>-0.639736483</v>
      </c>
      <c r="Y246" t="n">
        <v>0.492858412</v>
      </c>
      <c r="Z246" t="n">
        <v>1.04386</v>
      </c>
      <c r="AA246" t="n">
        <v>-1.644817418</v>
      </c>
      <c r="AB246" t="n">
        <v>4.171341492</v>
      </c>
      <c r="AC246" t="n">
        <v>-0.08018958299999999</v>
      </c>
      <c r="AD246" t="n">
        <v>-0.949721102</v>
      </c>
      <c r="AE246" t="n">
        <v>-0.605129508</v>
      </c>
      <c r="AF246" t="n">
        <v>0.523473003</v>
      </c>
      <c r="AG246" t="n">
        <v>-1.102387232</v>
      </c>
      <c r="AH246" t="n">
        <v>-3.651639305</v>
      </c>
      <c r="AI246" t="n">
        <v>0.736549296</v>
      </c>
      <c r="AJ246" t="n">
        <v>0.492586831</v>
      </c>
      <c r="AK246" t="n">
        <v>0.049825936</v>
      </c>
      <c r="AL246" t="n">
        <v>-0.290768605</v>
      </c>
      <c r="AM246" t="n">
        <v>0.014258673</v>
      </c>
      <c r="AN246" t="n">
        <v>0.571673452</v>
      </c>
      <c r="AO246" t="n">
        <v>-0.492606075</v>
      </c>
      <c r="AP246" t="n">
        <v>0.6216023939999999</v>
      </c>
      <c r="AQ246" t="n">
        <v>1.260888192</v>
      </c>
      <c r="AR246" t="n">
        <v>1.735682449</v>
      </c>
      <c r="AS246" t="n">
        <v>-0.037499782</v>
      </c>
      <c r="AT246" t="n">
        <v>-3.548598571</v>
      </c>
      <c r="AU246" t="n">
        <v>0.572295345</v>
      </c>
      <c r="AV246" t="n">
        <v>1.220887141</v>
      </c>
    </row>
    <row r="247">
      <c r="A247" t="inlineStr">
        <is>
          <t>2008-Q3</t>
        </is>
      </c>
      <c r="B247" s="87" t="n">
        <v>39722</v>
      </c>
      <c r="C247" t="n">
        <v>0.743915726</v>
      </c>
      <c r="D247" t="n">
        <v>0.677633484</v>
      </c>
      <c r="E247" t="n">
        <v>-0.645565324</v>
      </c>
      <c r="F247" t="n">
        <v>-0.584322554</v>
      </c>
      <c r="G247" t="n">
        <v>1.484070784</v>
      </c>
      <c r="H247" t="n">
        <v>0.820044012</v>
      </c>
      <c r="I247" t="n">
        <v>0.490463632</v>
      </c>
      <c r="J247" t="n">
        <v>-0.814893415</v>
      </c>
      <c r="L247" t="n">
        <v>0.24770763</v>
      </c>
      <c r="M247" t="n">
        <v>-0.6376239339999999</v>
      </c>
      <c r="N247" t="n">
        <v>-0.584136662</v>
      </c>
      <c r="O247" t="n">
        <v>-0.523161</v>
      </c>
      <c r="P247" t="n">
        <v>-0.5281090000000001</v>
      </c>
      <c r="Q247" t="n">
        <v>-0.182712679</v>
      </c>
      <c r="R247" t="n">
        <v>0.047697236</v>
      </c>
      <c r="S247" t="n">
        <v>-0.476282</v>
      </c>
      <c r="T247" t="n">
        <v>0.345367222</v>
      </c>
      <c r="U247" t="n">
        <v>-0.125881602</v>
      </c>
      <c r="V247" t="n">
        <v>-0.677782</v>
      </c>
      <c r="W247" t="n">
        <v>-1.513153285</v>
      </c>
      <c r="X247" t="n">
        <v>-0.097483141</v>
      </c>
      <c r="Y247" t="n">
        <v>-0.239131776</v>
      </c>
      <c r="Z247" t="n">
        <v>0.87024</v>
      </c>
      <c r="AA247" t="n">
        <v>-1.236105817</v>
      </c>
      <c r="AB247" t="n">
        <v>-5.804792168</v>
      </c>
      <c r="AC247" t="n">
        <v>0.255581827</v>
      </c>
      <c r="AD247" t="n">
        <v>-1.26543473</v>
      </c>
      <c r="AE247" t="n">
        <v>-1.235600087</v>
      </c>
      <c r="AF247" t="n">
        <v>0.815881043</v>
      </c>
      <c r="AG247" t="n">
        <v>-0.8228486270000001</v>
      </c>
      <c r="AH247" t="n">
        <v>-4.047953034</v>
      </c>
      <c r="AI247" t="n">
        <v>0.33155466</v>
      </c>
      <c r="AJ247" t="n">
        <v>-0.122148031</v>
      </c>
      <c r="AK247" t="n">
        <v>-0.182604115</v>
      </c>
      <c r="AL247" t="n">
        <v>-0.420090952</v>
      </c>
      <c r="AM247" t="n">
        <v>-0.491784089</v>
      </c>
      <c r="AN247" t="n">
        <v>-0.002387068</v>
      </c>
      <c r="AO247" t="n">
        <v>-0.082530827</v>
      </c>
      <c r="AP247" t="n">
        <v>-1.490668597</v>
      </c>
      <c r="AQ247" t="n">
        <v>1.444599836</v>
      </c>
      <c r="AR247" t="n">
        <v>-0.680105584</v>
      </c>
      <c r="AS247" t="n">
        <v>-0.497254352</v>
      </c>
      <c r="AT247" t="n">
        <v>-1.816869974</v>
      </c>
      <c r="AU247" t="n">
        <v>-0.5268929020000001</v>
      </c>
      <c r="AV247" t="n">
        <v>0.238933351</v>
      </c>
    </row>
    <row r="248">
      <c r="A248" t="inlineStr">
        <is>
          <t>2008-Q4</t>
        </is>
      </c>
      <c r="B248" s="87" t="n">
        <v>39814</v>
      </c>
      <c r="C248" t="n">
        <v>-4.654719938</v>
      </c>
      <c r="D248" t="n">
        <v>-0.413004423</v>
      </c>
      <c r="E248" t="n">
        <v>-2.262352389</v>
      </c>
      <c r="F248" t="n">
        <v>-2.168833441</v>
      </c>
      <c r="G248" t="n">
        <v>-3.711425882</v>
      </c>
      <c r="H248" t="n">
        <v>-1.159518489</v>
      </c>
      <c r="I248" t="n">
        <v>-3.059962791</v>
      </c>
      <c r="J248" t="n">
        <v>-0.803044188</v>
      </c>
      <c r="L248" t="n">
        <v>-1.975761103</v>
      </c>
      <c r="M248" t="n">
        <v>-1.59358726</v>
      </c>
      <c r="N248" t="n">
        <v>-2.361480698</v>
      </c>
      <c r="O248" t="n">
        <v>-1.825135</v>
      </c>
      <c r="P248" t="n">
        <v>-1.82767</v>
      </c>
      <c r="Q248" t="n">
        <v>-1.627125163</v>
      </c>
      <c r="R248" t="n">
        <v>-11.798107482</v>
      </c>
      <c r="S248" t="n">
        <v>-1.838975</v>
      </c>
      <c r="T248" t="n">
        <v>-2.145738102</v>
      </c>
      <c r="U248" t="n">
        <v>-1.475705452</v>
      </c>
      <c r="V248" t="n">
        <v>-2.10674</v>
      </c>
      <c r="W248" t="n">
        <v>-2.235659661</v>
      </c>
      <c r="X248" t="n">
        <v>-1.397015176</v>
      </c>
      <c r="Y248" t="n">
        <v>-3.525272723</v>
      </c>
      <c r="Z248" t="n">
        <v>0.12257</v>
      </c>
      <c r="AA248" t="n">
        <v>-4.595413866</v>
      </c>
      <c r="AB248" t="n">
        <v>5.318457506</v>
      </c>
      <c r="AC248" t="n">
        <v>-0.873457213</v>
      </c>
      <c r="AD248" t="n">
        <v>-2.738237213</v>
      </c>
      <c r="AE248" t="n">
        <v>-2.456920556</v>
      </c>
      <c r="AF248" t="n">
        <v>-3.283889347</v>
      </c>
      <c r="AG248" t="n">
        <v>-3.684500269</v>
      </c>
      <c r="AH248" t="n">
        <v>-2.379699291</v>
      </c>
      <c r="AI248" t="n">
        <v>-1.632757045</v>
      </c>
      <c r="AJ248" t="n">
        <v>-0.659940783</v>
      </c>
      <c r="AK248" t="n">
        <v>0.313103192</v>
      </c>
      <c r="AL248" t="n">
        <v>-0.6901353649999999</v>
      </c>
      <c r="AM248" t="n">
        <v>-2.01794983</v>
      </c>
      <c r="AN248" t="n">
        <v>0.135489904</v>
      </c>
      <c r="AO248" t="n">
        <v>-1.291756647</v>
      </c>
      <c r="AP248" t="n">
        <v>-3.252211484</v>
      </c>
      <c r="AQ248" t="n">
        <v>1.237298679</v>
      </c>
      <c r="AR248" t="n">
        <v>-3.873349186</v>
      </c>
      <c r="AS248" t="n">
        <v>-3.548560352</v>
      </c>
      <c r="AT248" t="n">
        <v>-2.540031551</v>
      </c>
      <c r="AU248" t="n">
        <v>-2.183097148</v>
      </c>
      <c r="AV248" t="n">
        <v>-0.569248528</v>
      </c>
    </row>
    <row r="249">
      <c r="A249" t="inlineStr">
        <is>
          <t>2009-Q1</t>
        </is>
      </c>
      <c r="B249" s="87" t="n">
        <v>39904</v>
      </c>
      <c r="C249" t="n">
        <v>-3.677331496</v>
      </c>
      <c r="D249" t="n">
        <v>0.92244558</v>
      </c>
      <c r="E249" t="n">
        <v>-1.782782584</v>
      </c>
      <c r="F249" t="n">
        <v>-0.97325393</v>
      </c>
      <c r="G249" t="n">
        <v>-1.328429539</v>
      </c>
      <c r="H249" t="n">
        <v>-2.259686183</v>
      </c>
      <c r="I249" t="n">
        <v>-1.781616515</v>
      </c>
      <c r="J249" t="n">
        <v>-0.486364714</v>
      </c>
      <c r="L249" t="n">
        <v>-3.348916325</v>
      </c>
      <c r="M249" t="n">
        <v>-4.684417665</v>
      </c>
      <c r="N249" t="n">
        <v>-1.423447795</v>
      </c>
      <c r="O249" t="n">
        <v>-3.097773</v>
      </c>
      <c r="P249" t="n">
        <v>-3.106637</v>
      </c>
      <c r="Q249" t="n">
        <v>-2.600341016</v>
      </c>
      <c r="R249" t="n">
        <v>-2.651966028</v>
      </c>
      <c r="S249" t="n">
        <v>-2.893104</v>
      </c>
      <c r="T249" t="n">
        <v>-6.477614128</v>
      </c>
      <c r="U249" t="n">
        <v>-1.741883078</v>
      </c>
      <c r="V249" t="n">
        <v>-2.307617</v>
      </c>
      <c r="W249" t="n">
        <v>-1.940930979</v>
      </c>
      <c r="X249" t="n">
        <v>-4.747780617</v>
      </c>
      <c r="Y249" t="n">
        <v>-4.060665711</v>
      </c>
      <c r="Z249" t="n">
        <v>-1.84614</v>
      </c>
      <c r="AA249" t="n">
        <v>0.1167286</v>
      </c>
      <c r="AB249" t="n">
        <v>-9.839834364</v>
      </c>
      <c r="AC249" t="n">
        <v>-0.227326198</v>
      </c>
      <c r="AD249" t="n">
        <v>-2.494448191</v>
      </c>
      <c r="AE249" t="n">
        <v>-4.806118084</v>
      </c>
      <c r="AF249" t="n">
        <v>0.08998672200000001</v>
      </c>
      <c r="AG249" t="n">
        <v>-1.888071745</v>
      </c>
      <c r="AH249" t="n">
        <v>-3.62068293</v>
      </c>
      <c r="AI249" t="n">
        <v>-5.112781342</v>
      </c>
      <c r="AJ249" t="n">
        <v>-3.593640793</v>
      </c>
      <c r="AK249" t="n">
        <v>-1.475255112</v>
      </c>
      <c r="AL249" t="n">
        <v>-0.905266631</v>
      </c>
      <c r="AM249" t="n">
        <v>-2.327959982</v>
      </c>
      <c r="AN249" t="n">
        <v>1.448859978</v>
      </c>
      <c r="AO249" t="n">
        <v>-2.516670472</v>
      </c>
      <c r="AP249" t="n">
        <v>-3.526981758</v>
      </c>
      <c r="AQ249" t="n">
        <v>-9.736179947</v>
      </c>
      <c r="AR249" t="n">
        <v>-4.215892684</v>
      </c>
      <c r="AS249" t="n">
        <v>-1.483635928</v>
      </c>
      <c r="AT249" t="n">
        <v>-5.664019566</v>
      </c>
      <c r="AU249" t="n">
        <v>-1.165722531</v>
      </c>
      <c r="AV249" t="n">
        <v>-1.555542595</v>
      </c>
    </row>
    <row r="250">
      <c r="A250" t="inlineStr">
        <is>
          <t>2009-Q2</t>
        </is>
      </c>
      <c r="B250" s="87" t="n">
        <v>39995</v>
      </c>
      <c r="C250" t="n">
        <v>-2.235551733</v>
      </c>
      <c r="D250" t="n">
        <v>0.725388076</v>
      </c>
      <c r="E250" t="n">
        <v>-0.78122143</v>
      </c>
      <c r="F250" t="n">
        <v>0.047812829</v>
      </c>
      <c r="G250" t="n">
        <v>1.745875792</v>
      </c>
      <c r="H250" t="n">
        <v>-1.091258596</v>
      </c>
      <c r="I250" t="n">
        <v>0.575528834</v>
      </c>
      <c r="J250" t="n">
        <v>-0.582358636</v>
      </c>
      <c r="L250" t="n">
        <v>-0.381636029</v>
      </c>
      <c r="M250" t="n">
        <v>0.159631649</v>
      </c>
      <c r="N250" t="n">
        <v>-1.938341181</v>
      </c>
      <c r="O250" t="n">
        <v>-0.020708</v>
      </c>
      <c r="P250" t="n">
        <v>-0.018561</v>
      </c>
      <c r="Q250" t="n">
        <v>-0.004460138</v>
      </c>
      <c r="R250" t="n">
        <v>-3.374439485</v>
      </c>
      <c r="S250" t="n">
        <v>-0.058009</v>
      </c>
      <c r="T250" t="n">
        <v>-0.436809528</v>
      </c>
      <c r="U250" t="n">
        <v>0.012762371</v>
      </c>
      <c r="V250" t="n">
        <v>0.107762</v>
      </c>
      <c r="W250" t="n">
        <v>-0.286786226</v>
      </c>
      <c r="X250" t="n">
        <v>2.776841903</v>
      </c>
      <c r="Y250" t="n">
        <v>0.035532012</v>
      </c>
      <c r="Z250" t="n">
        <v>5.80366</v>
      </c>
      <c r="AA250" t="n">
        <v>0.039618742</v>
      </c>
      <c r="AB250" t="n">
        <v>0.040418969</v>
      </c>
      <c r="AC250" t="n">
        <v>1.187061372</v>
      </c>
      <c r="AD250" t="n">
        <v>-0.49823318</v>
      </c>
      <c r="AE250" t="n">
        <v>1.935283576</v>
      </c>
      <c r="AF250" t="n">
        <v>1.332777638</v>
      </c>
      <c r="AG250" t="n">
        <v>1.23940271</v>
      </c>
      <c r="AH250" t="n">
        <v>-5.725595333</v>
      </c>
      <c r="AI250" t="n">
        <v>-1.49858385</v>
      </c>
      <c r="AJ250" t="n">
        <v>0.002508579</v>
      </c>
      <c r="AK250" t="n">
        <v>-0.884680206</v>
      </c>
      <c r="AL250" t="n">
        <v>-0.035376132</v>
      </c>
      <c r="AM250" t="n">
        <v>0.199385368</v>
      </c>
      <c r="AN250" t="n">
        <v>0.207759038</v>
      </c>
      <c r="AO250" t="n">
        <v>0.08943820700000001</v>
      </c>
      <c r="AP250" t="n">
        <v>-1.458860781</v>
      </c>
      <c r="AQ250" t="n">
        <v>1.71335859</v>
      </c>
      <c r="AR250" t="n">
        <v>-1.036705076</v>
      </c>
      <c r="AS250" t="n">
        <v>0.071621236</v>
      </c>
      <c r="AT250" t="n">
        <v>4.006998137</v>
      </c>
      <c r="AU250" t="n">
        <v>-0.169238139</v>
      </c>
      <c r="AV250" t="n">
        <v>-0.343211369</v>
      </c>
    </row>
    <row r="251">
      <c r="A251" t="inlineStr">
        <is>
          <t>2009-Q3</t>
        </is>
      </c>
      <c r="B251" s="87" t="n">
        <v>40087</v>
      </c>
      <c r="C251" t="n">
        <v>3.930356887</v>
      </c>
      <c r="D251" t="n">
        <v>0.337584773</v>
      </c>
      <c r="E251" t="n">
        <v>0.398806437</v>
      </c>
      <c r="F251" t="n">
        <v>1.263779444</v>
      </c>
      <c r="G251" t="n">
        <v>2.35428405</v>
      </c>
      <c r="H251" t="n">
        <v>0.44993852</v>
      </c>
      <c r="I251" t="n">
        <v>1.394352204</v>
      </c>
      <c r="J251" t="n">
        <v>1.196392709</v>
      </c>
      <c r="L251" t="n">
        <v>0.478582653</v>
      </c>
      <c r="M251" t="n">
        <v>0.557834609</v>
      </c>
      <c r="N251" t="n">
        <v>0.345762915</v>
      </c>
      <c r="O251" t="n">
        <v>0.406605</v>
      </c>
      <c r="P251" t="n">
        <v>0.399275</v>
      </c>
      <c r="Q251" t="n">
        <v>0.213724455</v>
      </c>
      <c r="R251" t="n">
        <v>-1.96713794</v>
      </c>
      <c r="S251" t="n">
        <v>0.372289</v>
      </c>
      <c r="T251" t="n">
        <v>0.924668988</v>
      </c>
      <c r="U251" t="n">
        <v>0.08724786399999999</v>
      </c>
      <c r="V251" t="n">
        <v>0.307407</v>
      </c>
      <c r="W251" t="n">
        <v>0.132204777</v>
      </c>
      <c r="X251" t="n">
        <v>-0.725436891</v>
      </c>
      <c r="Y251" t="n">
        <v>-0.044850431</v>
      </c>
      <c r="Z251" t="n">
        <v>2.55388</v>
      </c>
      <c r="AA251" t="n">
        <v>-1.120269946</v>
      </c>
      <c r="AB251" t="n">
        <v>1.001833596</v>
      </c>
      <c r="AC251" t="n">
        <v>0.863151302</v>
      </c>
      <c r="AD251" t="n">
        <v>0.634255433</v>
      </c>
      <c r="AE251" t="n">
        <v>-0.038370401</v>
      </c>
      <c r="AF251" t="n">
        <v>2.992674785</v>
      </c>
      <c r="AG251" t="n">
        <v>2.139786911</v>
      </c>
      <c r="AH251" t="n">
        <v>-5.104245319</v>
      </c>
      <c r="AI251" t="n">
        <v>3.310344242</v>
      </c>
      <c r="AJ251" t="n">
        <v>0.400707908</v>
      </c>
      <c r="AK251" t="n">
        <v>0.064700779</v>
      </c>
      <c r="AL251" t="n">
        <v>0.491277738</v>
      </c>
      <c r="AM251" t="n">
        <v>0.592587168</v>
      </c>
      <c r="AN251" t="n">
        <v>0.711767848</v>
      </c>
      <c r="AO251" t="n">
        <v>0.8822241830000001</v>
      </c>
      <c r="AP251" t="n">
        <v>0.410425161</v>
      </c>
      <c r="AQ251" t="n">
        <v>1.801029844</v>
      </c>
      <c r="AR251" t="n">
        <v>0.123754721</v>
      </c>
      <c r="AS251" t="n">
        <v>-0.057127192</v>
      </c>
      <c r="AT251" t="n">
        <v>2.395761074</v>
      </c>
      <c r="AU251" t="n">
        <v>0.361929991</v>
      </c>
      <c r="AV251" t="n">
        <v>0.231907188</v>
      </c>
    </row>
    <row r="252">
      <c r="A252" t="inlineStr">
        <is>
          <t>2009-Q4</t>
        </is>
      </c>
      <c r="B252" s="87" t="n">
        <v>40179</v>
      </c>
      <c r="C252" t="n">
        <v>1.915942831</v>
      </c>
      <c r="D252" t="n">
        <v>0.764588432</v>
      </c>
      <c r="E252" t="n">
        <v>0.657996897</v>
      </c>
      <c r="F252" t="n">
        <v>0.802290461</v>
      </c>
      <c r="G252" t="n">
        <v>2.517617507</v>
      </c>
      <c r="H252" t="n">
        <v>1.166157024</v>
      </c>
      <c r="I252" t="n">
        <v>0.56549603</v>
      </c>
      <c r="J252" t="n">
        <v>1.230024511</v>
      </c>
      <c r="L252" t="n">
        <v>0.068675373</v>
      </c>
      <c r="M252" t="n">
        <v>0.735876334</v>
      </c>
      <c r="N252" t="n">
        <v>0.09074326200000001</v>
      </c>
      <c r="O252" t="n">
        <v>0.421437</v>
      </c>
      <c r="P252" t="n">
        <v>0.423019</v>
      </c>
      <c r="Q252" t="n">
        <v>-0.03523569</v>
      </c>
      <c r="R252" t="n">
        <v>0.468827069</v>
      </c>
      <c r="S252" t="n">
        <v>0.450717</v>
      </c>
      <c r="T252" t="n">
        <v>-0.7719448719999999</v>
      </c>
      <c r="U252" t="n">
        <v>0.838074906</v>
      </c>
      <c r="V252" t="n">
        <v>0.9446290000000001</v>
      </c>
      <c r="W252" t="n">
        <v>0.341005222</v>
      </c>
      <c r="X252" t="n">
        <v>0.128217041</v>
      </c>
      <c r="Y252" t="n">
        <v>-0.07457937100000001</v>
      </c>
      <c r="Z252" t="n">
        <v>2.12673</v>
      </c>
      <c r="AA252" t="n">
        <v>-3.532691644</v>
      </c>
      <c r="AB252" t="n">
        <v>-0.134323259</v>
      </c>
      <c r="AC252" t="n">
        <v>1.407847789</v>
      </c>
      <c r="AD252" t="n">
        <v>0.32998136</v>
      </c>
      <c r="AE252" t="n">
        <v>1.251953602</v>
      </c>
      <c r="AF252" t="n">
        <v>0.746867545</v>
      </c>
      <c r="AG252" t="n">
        <v>0.46748152</v>
      </c>
      <c r="AH252" t="n">
        <v>0.37280389</v>
      </c>
      <c r="AI252" t="n">
        <v>1.656944654</v>
      </c>
      <c r="AJ252" t="n">
        <v>0.602328461</v>
      </c>
      <c r="AK252" t="n">
        <v>0.05370433</v>
      </c>
      <c r="AL252" t="n">
        <v>1.307121846</v>
      </c>
      <c r="AM252" t="n">
        <v>0.8858801630000001</v>
      </c>
      <c r="AN252" t="n">
        <v>1.541216096</v>
      </c>
      <c r="AO252" t="n">
        <v>0.047782666</v>
      </c>
      <c r="AP252" t="n">
        <v>1.081708456</v>
      </c>
      <c r="AQ252" t="n">
        <v>2.03641743</v>
      </c>
      <c r="AR252" t="n">
        <v>-0.239421622</v>
      </c>
      <c r="AS252" t="n">
        <v>0.459579889</v>
      </c>
      <c r="AT252" t="n">
        <v>1.952357185</v>
      </c>
      <c r="AU252" t="n">
        <v>1.06796195</v>
      </c>
      <c r="AV252" t="n">
        <v>0.666971689</v>
      </c>
    </row>
    <row r="253">
      <c r="A253" t="inlineStr">
        <is>
          <t>2010-Q1</t>
        </is>
      </c>
      <c r="B253" s="87" t="n">
        <v>40269</v>
      </c>
      <c r="C253" t="n">
        <v>2.997449789</v>
      </c>
      <c r="D253" t="n">
        <v>0.430360424</v>
      </c>
      <c r="E253" t="n">
        <v>-0.467699718</v>
      </c>
      <c r="F253" t="n">
        <v>0.518118543</v>
      </c>
      <c r="G253" t="n">
        <v>2.156393302</v>
      </c>
      <c r="H253" t="n">
        <v>1.206341487</v>
      </c>
      <c r="I253" t="n">
        <v>0.985775997</v>
      </c>
      <c r="J253" t="n">
        <v>0.323498697</v>
      </c>
      <c r="L253" t="n">
        <v>0.6876280769999999</v>
      </c>
      <c r="M253" t="n">
        <v>0.812025848</v>
      </c>
      <c r="N253" t="n">
        <v>0.863569079</v>
      </c>
      <c r="O253" t="n">
        <v>0.436577</v>
      </c>
      <c r="P253" t="n">
        <v>0.429512</v>
      </c>
      <c r="Q253" t="n">
        <v>-0.022261964</v>
      </c>
      <c r="R253" t="n">
        <v>1.378154516</v>
      </c>
      <c r="S253" t="n">
        <v>0.406776</v>
      </c>
      <c r="T253" t="n">
        <v>1.001905585</v>
      </c>
      <c r="U253" t="n">
        <v>0.274455524</v>
      </c>
      <c r="V253" t="n">
        <v>0.647376</v>
      </c>
      <c r="W253" t="n">
        <v>0.949826918</v>
      </c>
      <c r="X253" t="n">
        <v>-5.678911955</v>
      </c>
      <c r="Y253" t="n">
        <v>0.144566931</v>
      </c>
      <c r="Z253" t="n">
        <v>2.60018</v>
      </c>
      <c r="AA253" t="n">
        <v>4.351416539</v>
      </c>
      <c r="AB253" t="n">
        <v>-5.891098831</v>
      </c>
      <c r="AC253" t="n">
        <v>1.575548327</v>
      </c>
      <c r="AD253" t="n">
        <v>0.340682079</v>
      </c>
      <c r="AE253" t="n">
        <v>1.051644725</v>
      </c>
      <c r="AF253" t="n">
        <v>1.959076739</v>
      </c>
      <c r="AG253" t="n">
        <v>1.533535967</v>
      </c>
      <c r="AH253" t="n">
        <v>-0.583549656</v>
      </c>
      <c r="AI253" t="n">
        <v>1.055231478</v>
      </c>
      <c r="AJ253" t="n">
        <v>-0.188858594</v>
      </c>
      <c r="AK253" t="n">
        <v>2.319529471</v>
      </c>
      <c r="AL253" t="n">
        <v>0.329209692</v>
      </c>
      <c r="AM253" t="n">
        <v>0.621999273</v>
      </c>
      <c r="AN253" t="n">
        <v>-0.469735259</v>
      </c>
      <c r="AO253" t="n">
        <v>0.8230184270000001</v>
      </c>
      <c r="AP253" t="n">
        <v>2.138462021</v>
      </c>
      <c r="AQ253" t="n">
        <v>2.027340589</v>
      </c>
      <c r="AR253" t="n">
        <v>0.011029947</v>
      </c>
      <c r="AS253" t="n">
        <v>2.659837643</v>
      </c>
      <c r="AT253" t="n">
        <v>-0.294994982</v>
      </c>
      <c r="AU253" t="n">
        <v>0.500053481</v>
      </c>
      <c r="AV253" t="n">
        <v>1.166724893</v>
      </c>
    </row>
    <row r="254">
      <c r="A254" t="inlineStr">
        <is>
          <t>2010-Q2</t>
        </is>
      </c>
      <c r="B254" s="87" t="n">
        <v>40360</v>
      </c>
      <c r="C254" t="n">
        <v>4.481080026</v>
      </c>
      <c r="D254" t="n">
        <v>0.647849249</v>
      </c>
      <c r="E254" t="n">
        <v>1.305726736</v>
      </c>
      <c r="F254" t="n">
        <v>0.985354241</v>
      </c>
      <c r="G254" t="n">
        <v>1.242640846</v>
      </c>
      <c r="H254" t="n">
        <v>0.523260909</v>
      </c>
      <c r="I254" t="n">
        <v>0.611968724</v>
      </c>
      <c r="J254" t="n">
        <v>3.393417369</v>
      </c>
      <c r="L254" t="n">
        <v>1.220476124</v>
      </c>
      <c r="M254" t="n">
        <v>2.25194371</v>
      </c>
      <c r="N254" t="n">
        <v>0.683517919</v>
      </c>
      <c r="O254" t="n">
        <v>0.972177</v>
      </c>
      <c r="P254" t="n">
        <v>0.9624819999999999</v>
      </c>
      <c r="Q254" t="n">
        <v>0.156239562</v>
      </c>
      <c r="R254" t="n">
        <v>1.267530748</v>
      </c>
      <c r="S254" t="n">
        <v>1.009551</v>
      </c>
      <c r="T254" t="n">
        <v>2.761947367</v>
      </c>
      <c r="U254" t="n">
        <v>0.5096792530000001</v>
      </c>
      <c r="V254" t="n">
        <v>1.070402</v>
      </c>
      <c r="W254" t="n">
        <v>1.143742541</v>
      </c>
      <c r="X254" t="n">
        <v>-3.582742703</v>
      </c>
      <c r="Y254" t="n">
        <v>0.796062543</v>
      </c>
      <c r="Z254" t="n">
        <v>2.40256</v>
      </c>
      <c r="AA254" t="n">
        <v>0.690036919</v>
      </c>
      <c r="AB254" t="n">
        <v>3.956119503</v>
      </c>
      <c r="AC254" t="n">
        <v>1.449409912</v>
      </c>
      <c r="AD254" t="n">
        <v>0.69666975</v>
      </c>
      <c r="AE254" t="n">
        <v>1.183145581</v>
      </c>
      <c r="AF254" t="n">
        <v>1.899801372</v>
      </c>
      <c r="AG254" t="n">
        <v>1.365746015</v>
      </c>
      <c r="AH254" t="n">
        <v>-0.745393062</v>
      </c>
      <c r="AI254" t="n">
        <v>1.088126186</v>
      </c>
      <c r="AJ254" t="n">
        <v>0.438950609</v>
      </c>
      <c r="AK254" t="n">
        <v>-1.065485954</v>
      </c>
      <c r="AL254" t="n">
        <v>0.650144703</v>
      </c>
      <c r="AM254" t="n">
        <v>1.107594283</v>
      </c>
      <c r="AN254" t="n">
        <v>1.442311512</v>
      </c>
      <c r="AO254" t="n">
        <v>0.552428604</v>
      </c>
      <c r="AP254" t="n">
        <v>0.950099062</v>
      </c>
      <c r="AQ254" t="n">
        <v>1.248596647</v>
      </c>
      <c r="AR254" t="n">
        <v>1.793061513</v>
      </c>
      <c r="AS254" t="n">
        <v>2.095675845</v>
      </c>
      <c r="AT254" t="n">
        <v>3.800709327</v>
      </c>
      <c r="AU254" t="n">
        <v>0.967704639</v>
      </c>
      <c r="AV254" t="n">
        <v>0.839411996</v>
      </c>
    </row>
    <row r="255">
      <c r="A255" t="inlineStr">
        <is>
          <t>2010-Q3</t>
        </is>
      </c>
      <c r="B255" s="87" t="n">
        <v>40452</v>
      </c>
      <c r="C255" t="n">
        <v>0.560457989</v>
      </c>
      <c r="D255" t="n">
        <v>0.681557128</v>
      </c>
      <c r="E255" t="n">
        <v>0.972149772</v>
      </c>
      <c r="F255" t="n">
        <v>0.417149241</v>
      </c>
      <c r="G255" t="n">
        <v>0.885382508</v>
      </c>
      <c r="H255" t="n">
        <v>0.7086949219999999</v>
      </c>
      <c r="I255" t="n">
        <v>0.531146096</v>
      </c>
      <c r="J255" t="n">
        <v>2.347382041</v>
      </c>
      <c r="L255" t="n">
        <v>0.73307574</v>
      </c>
      <c r="M255" t="n">
        <v>0.817712239</v>
      </c>
      <c r="N255" t="n">
        <v>1.585373276</v>
      </c>
      <c r="O255" t="n">
        <v>0.424083</v>
      </c>
      <c r="P255" t="n">
        <v>0.429354</v>
      </c>
      <c r="Q255" t="n">
        <v>-0.048540272</v>
      </c>
      <c r="R255" t="n">
        <v>1.465732599</v>
      </c>
      <c r="S255" t="n">
        <v>0.503369</v>
      </c>
      <c r="T255" t="n">
        <v>-0.410728143</v>
      </c>
      <c r="U255" t="n">
        <v>0.62330714</v>
      </c>
      <c r="V255" t="n">
        <v>0.88453</v>
      </c>
      <c r="W255" t="n">
        <v>0.63431984</v>
      </c>
      <c r="X255" t="n">
        <v>-3.255291186</v>
      </c>
      <c r="Y255" t="n">
        <v>0.735565578</v>
      </c>
      <c r="Z255" t="n">
        <v>2.95598</v>
      </c>
      <c r="AA255" t="n">
        <v>0.110169851</v>
      </c>
      <c r="AB255" t="n">
        <v>-2.136217737</v>
      </c>
      <c r="AC255" t="n">
        <v>1.203892804</v>
      </c>
      <c r="AD255" t="n">
        <v>0.445766135</v>
      </c>
      <c r="AE255" t="n">
        <v>1.818930298</v>
      </c>
      <c r="AF255" t="n">
        <v>1.15521508</v>
      </c>
      <c r="AG255" t="n">
        <v>-1.197694036</v>
      </c>
      <c r="AH255" t="n">
        <v>-0.38726234</v>
      </c>
      <c r="AI255" t="n">
        <v>0.952111154</v>
      </c>
      <c r="AJ255" t="n">
        <v>0.441811764</v>
      </c>
      <c r="AK255" t="n">
        <v>-2.487364011</v>
      </c>
      <c r="AL255" t="n">
        <v>-0.216664979</v>
      </c>
      <c r="AM255" t="n">
        <v>0.840226384</v>
      </c>
      <c r="AN255" t="n">
        <v>1.195109504</v>
      </c>
      <c r="AO255" t="n">
        <v>0.083833036</v>
      </c>
      <c r="AP255" t="n">
        <v>0.523512525</v>
      </c>
      <c r="AQ255" t="n">
        <v>1.158075499</v>
      </c>
      <c r="AR255" t="n">
        <v>0.248438955</v>
      </c>
      <c r="AS255" t="n">
        <v>1.23364084</v>
      </c>
      <c r="AT255" t="n">
        <v>2.770701784</v>
      </c>
      <c r="AU255" t="n">
        <v>0.77314415</v>
      </c>
      <c r="AV255" t="n">
        <v>0.890246294</v>
      </c>
    </row>
    <row r="256">
      <c r="A256" t="inlineStr">
        <is>
          <t>2010-Q4</t>
        </is>
      </c>
      <c r="B256" s="87" t="n">
        <v>40544</v>
      </c>
      <c r="C256" t="n">
        <v>1.342927868</v>
      </c>
      <c r="D256" t="n">
        <v>0.842575854</v>
      </c>
      <c r="E256" t="n">
        <v>1.13903202</v>
      </c>
      <c r="F256" t="n">
        <v>0.505236083</v>
      </c>
      <c r="G256" t="n">
        <v>1.370197755</v>
      </c>
      <c r="H256" t="n">
        <v>1.117505154</v>
      </c>
      <c r="I256" t="n">
        <v>0.816595579</v>
      </c>
      <c r="J256" t="n">
        <v>1.189865358</v>
      </c>
      <c r="L256" t="n">
        <v>0.448272634</v>
      </c>
      <c r="M256" t="n">
        <v>0.81107565</v>
      </c>
      <c r="N256" t="n">
        <v>-0.225049653</v>
      </c>
      <c r="O256" t="n">
        <v>0.585212</v>
      </c>
      <c r="P256" t="n">
        <v>0.576527</v>
      </c>
      <c r="Q256" t="n">
        <v>0.052271008</v>
      </c>
      <c r="R256" t="n">
        <v>2.101125457</v>
      </c>
      <c r="S256" t="n">
        <v>0.596585</v>
      </c>
      <c r="T256" t="n">
        <v>2.100121636</v>
      </c>
      <c r="U256" t="n">
        <v>0.585175238</v>
      </c>
      <c r="V256" t="n">
        <v>0.357162</v>
      </c>
      <c r="W256" t="n">
        <v>0.137385936</v>
      </c>
      <c r="X256" t="n">
        <v>-0.717623016</v>
      </c>
      <c r="Y256" t="n">
        <v>-0.081767066</v>
      </c>
      <c r="Z256" t="n">
        <v>2.32107</v>
      </c>
      <c r="AA256" t="n">
        <v>-1.783648106</v>
      </c>
      <c r="AB256" t="n">
        <v>3.829970186</v>
      </c>
      <c r="AC256" t="n">
        <v>1.579826779</v>
      </c>
      <c r="AD256" t="n">
        <v>0.535782161</v>
      </c>
      <c r="AE256" t="n">
        <v>-0.808851725</v>
      </c>
      <c r="AF256" t="n">
        <v>1.219318711</v>
      </c>
      <c r="AG256" t="n">
        <v>0.096418137</v>
      </c>
      <c r="AH256" t="n">
        <v>0.922570881</v>
      </c>
      <c r="AI256" t="n">
        <v>0.768788055</v>
      </c>
      <c r="AJ256" t="n">
        <v>1.128152682</v>
      </c>
      <c r="AK256" t="n">
        <v>2.814036094</v>
      </c>
      <c r="AL256" t="n">
        <v>-0.533706725</v>
      </c>
      <c r="AM256" t="n">
        <v>0.557167187</v>
      </c>
      <c r="AN256" t="n">
        <v>1.09297723</v>
      </c>
      <c r="AO256" t="n">
        <v>-0.194037196</v>
      </c>
      <c r="AP256" t="n">
        <v>1.25698003</v>
      </c>
      <c r="AQ256" t="n">
        <v>0.691050345</v>
      </c>
      <c r="AR256" t="n">
        <v>0.462373807</v>
      </c>
      <c r="AS256" t="n">
        <v>1.54070272</v>
      </c>
      <c r="AT256" t="n">
        <v>3.023189403</v>
      </c>
      <c r="AU256" t="n">
        <v>0.519595159</v>
      </c>
      <c r="AV256" t="n">
        <v>0.930781355</v>
      </c>
    </row>
    <row r="257">
      <c r="A257" t="inlineStr">
        <is>
          <t>2011-Q1</t>
        </is>
      </c>
      <c r="B257" s="87" t="n">
        <v>40634</v>
      </c>
      <c r="C257" t="n">
        <v>2.345656078</v>
      </c>
      <c r="D257" t="n">
        <v>-0.301849129</v>
      </c>
      <c r="E257" t="n">
        <v>0.790649854</v>
      </c>
      <c r="F257" t="n">
        <v>0.481369771</v>
      </c>
      <c r="G257" t="n">
        <v>1.467511187</v>
      </c>
      <c r="H257" t="n">
        <v>0.755347044</v>
      </c>
      <c r="I257" t="n">
        <v>0.53815112</v>
      </c>
      <c r="J257" t="n">
        <v>1.165655654</v>
      </c>
      <c r="K257" t="n">
        <v>2.4</v>
      </c>
      <c r="L257" t="n">
        <v>0.573032786</v>
      </c>
      <c r="M257" t="n">
        <v>1.93896995</v>
      </c>
      <c r="N257" t="n">
        <v>0.217842912</v>
      </c>
      <c r="O257" t="n">
        <v>0.908098</v>
      </c>
      <c r="P257" t="n">
        <v>0.90194</v>
      </c>
      <c r="Q257" t="n">
        <v>-0.150061692</v>
      </c>
      <c r="R257" t="n">
        <v>2.027469366</v>
      </c>
      <c r="S257" t="n">
        <v>0.9113599999999999</v>
      </c>
      <c r="T257" t="n">
        <v>0.558440833</v>
      </c>
      <c r="U257" t="n">
        <v>1.079102888</v>
      </c>
      <c r="V257" t="n">
        <v>0.09821000000000001</v>
      </c>
      <c r="W257" t="n">
        <v>0.253645895</v>
      </c>
      <c r="X257" t="n">
        <v>-3.997719953</v>
      </c>
      <c r="Y257" t="n">
        <v>1.168770347</v>
      </c>
      <c r="Z257" t="n">
        <v>1.83064</v>
      </c>
      <c r="AA257" t="n">
        <v>3.336339609</v>
      </c>
      <c r="AB257" t="n">
        <v>-3.915460756</v>
      </c>
      <c r="AC257" t="n">
        <v>1.30657436</v>
      </c>
      <c r="AD257" t="n">
        <v>0.518360415</v>
      </c>
      <c r="AE257" t="n">
        <v>-1.053296069</v>
      </c>
      <c r="AF257" t="n">
        <v>0.933130719</v>
      </c>
      <c r="AG257" t="n">
        <v>1.401414385</v>
      </c>
      <c r="AH257" t="n">
        <v>-1.327919931</v>
      </c>
      <c r="AI257" t="n">
        <v>0.766359184</v>
      </c>
      <c r="AJ257" t="n">
        <v>0.5771525830000001</v>
      </c>
      <c r="AK257" t="n">
        <v>0.049335744</v>
      </c>
      <c r="AL257" t="n">
        <v>1.105783944</v>
      </c>
      <c r="AM257" t="n">
        <v>0.293318282</v>
      </c>
      <c r="AN257" t="n">
        <v>1.512511977</v>
      </c>
      <c r="AO257" t="n">
        <v>-0.660768312</v>
      </c>
      <c r="AP257" t="n">
        <v>1.155158313</v>
      </c>
      <c r="AQ257" t="n">
        <v>0.303165998</v>
      </c>
      <c r="AR257" t="n">
        <v>0.743661274</v>
      </c>
      <c r="AS257" t="n">
        <v>0.396722469</v>
      </c>
      <c r="AT257" t="n">
        <v>2.253858177</v>
      </c>
      <c r="AU257" t="n">
        <v>-0.240916068</v>
      </c>
      <c r="AV257" t="n">
        <v>0.984801432</v>
      </c>
    </row>
    <row r="258">
      <c r="A258" t="inlineStr">
        <is>
          <t>2011-Q2</t>
        </is>
      </c>
      <c r="B258" s="87" t="n">
        <v>40725</v>
      </c>
      <c r="C258" t="n">
        <v>1.010332353</v>
      </c>
      <c r="D258" t="n">
        <v>1.27398595</v>
      </c>
      <c r="E258" t="n">
        <v>0.403590654</v>
      </c>
      <c r="F258" t="n">
        <v>0.207189998</v>
      </c>
      <c r="G258" t="n">
        <v>0.885060387</v>
      </c>
      <c r="H258" t="n">
        <v>0.19480651</v>
      </c>
      <c r="I258" t="n">
        <v>0.611736783</v>
      </c>
      <c r="J258" t="n">
        <v>1.4368042</v>
      </c>
      <c r="K258" t="n">
        <v>2.3</v>
      </c>
      <c r="L258" t="n">
        <v>0.31880308</v>
      </c>
      <c r="M258" t="n">
        <v>0.09470656600000001</v>
      </c>
      <c r="N258" t="n">
        <v>1.002326552</v>
      </c>
      <c r="O258" t="n">
        <v>-0.020751</v>
      </c>
      <c r="P258" t="n">
        <v>-0.013583</v>
      </c>
      <c r="Q258" t="n">
        <v>-0.310222499</v>
      </c>
      <c r="R258" t="n">
        <v>1.909178293</v>
      </c>
      <c r="S258" t="n">
        <v>0.082703</v>
      </c>
      <c r="T258" t="n">
        <v>-0.174006405</v>
      </c>
      <c r="U258" t="n">
        <v>-0.045437945</v>
      </c>
      <c r="V258" t="n">
        <v>0.225839</v>
      </c>
      <c r="W258" t="n">
        <v>0.05554265</v>
      </c>
      <c r="X258" t="n">
        <v>-1.735028909</v>
      </c>
      <c r="Y258" t="n">
        <v>-0.166315293</v>
      </c>
      <c r="Z258" t="n">
        <v>1.21165</v>
      </c>
      <c r="AA258" t="n">
        <v>1.198924165</v>
      </c>
      <c r="AB258" t="n">
        <v>2.584482449</v>
      </c>
      <c r="AC258" t="n">
        <v>1.14723481</v>
      </c>
      <c r="AD258" t="n">
        <v>0.044927652</v>
      </c>
      <c r="AE258" t="n">
        <v>-0.875749111</v>
      </c>
      <c r="AF258" t="n">
        <v>0.490791061</v>
      </c>
      <c r="AG258" t="n">
        <v>-0.884491045</v>
      </c>
      <c r="AH258" t="n">
        <v>3.462915878</v>
      </c>
      <c r="AI258" t="n">
        <v>0.527554441</v>
      </c>
      <c r="AJ258" t="n">
        <v>-0.08940421</v>
      </c>
      <c r="AK258" t="n">
        <v>-0.414478884</v>
      </c>
      <c r="AL258" t="n">
        <v>0.437879613</v>
      </c>
      <c r="AM258" t="n">
        <v>0.368882787</v>
      </c>
      <c r="AN258" t="n">
        <v>1.243251206</v>
      </c>
      <c r="AO258" t="n">
        <v>-0.428915528</v>
      </c>
      <c r="AP258" t="n">
        <v>0.947690943</v>
      </c>
      <c r="AQ258" t="n">
        <v>0.692098094</v>
      </c>
      <c r="AR258" t="n">
        <v>-0.621231675</v>
      </c>
      <c r="AS258" t="n">
        <v>0.344754564</v>
      </c>
      <c r="AT258" t="n">
        <v>2.747690817</v>
      </c>
      <c r="AU258" t="n">
        <v>0.678050751</v>
      </c>
      <c r="AV258" t="n">
        <v>0.559671779</v>
      </c>
    </row>
    <row r="259">
      <c r="A259" t="inlineStr">
        <is>
          <t>2011-Q3</t>
        </is>
      </c>
      <c r="B259" s="87" t="n">
        <v>40817</v>
      </c>
      <c r="C259" t="n">
        <v>0.811738904</v>
      </c>
      <c r="D259" t="n">
        <v>1.36256976</v>
      </c>
      <c r="E259" t="n">
        <v>0.498308576</v>
      </c>
      <c r="F259" t="n">
        <v>0.286440473</v>
      </c>
      <c r="G259" t="n">
        <v>-0.161430052</v>
      </c>
      <c r="H259" t="n">
        <v>1.379639562</v>
      </c>
      <c r="I259" t="n">
        <v>-0.333571121</v>
      </c>
      <c r="J259" t="n">
        <v>0.6413888639999999</v>
      </c>
      <c r="K259" t="n">
        <v>1.8</v>
      </c>
      <c r="L259" t="n">
        <v>-0.185408268</v>
      </c>
      <c r="M259" t="n">
        <v>0.8831004</v>
      </c>
      <c r="N259" t="n">
        <v>-1.243706016</v>
      </c>
      <c r="O259" t="n">
        <v>0.155933</v>
      </c>
      <c r="P259" t="n">
        <v>0.153117</v>
      </c>
      <c r="Q259" t="n">
        <v>-0.645826509</v>
      </c>
      <c r="R259" t="n">
        <v>1.670493718</v>
      </c>
      <c r="S259" t="n">
        <v>0.200719</v>
      </c>
      <c r="T259" t="n">
        <v>0.122387672</v>
      </c>
      <c r="U259" t="n">
        <v>0.468813213</v>
      </c>
      <c r="V259" t="n">
        <v>0.498135</v>
      </c>
      <c r="W259" t="n">
        <v>0.153660086</v>
      </c>
      <c r="X259" t="n">
        <v>-2.055490593</v>
      </c>
      <c r="Y259" t="n">
        <v>0.094123436</v>
      </c>
      <c r="Z259" t="n">
        <v>-0.00385</v>
      </c>
      <c r="AA259" t="n">
        <v>-1.415397298</v>
      </c>
      <c r="AB259" t="n">
        <v>1.705437874</v>
      </c>
      <c r="AC259" t="n">
        <v>2.038630571</v>
      </c>
      <c r="AD259" t="n">
        <v>-0.488215997</v>
      </c>
      <c r="AE259" t="n">
        <v>2.435521243</v>
      </c>
      <c r="AF259" t="n">
        <v>0.526323638</v>
      </c>
      <c r="AG259" t="n">
        <v>1.238977629</v>
      </c>
      <c r="AH259" t="n">
        <v>1.525373518</v>
      </c>
      <c r="AI259" t="n">
        <v>1.946131465</v>
      </c>
      <c r="AJ259" t="n">
        <v>0.000384789</v>
      </c>
      <c r="AK259" t="n">
        <v>1.615695326</v>
      </c>
      <c r="AL259" t="n">
        <v>1.076867441</v>
      </c>
      <c r="AM259" t="n">
        <v>0.590429728</v>
      </c>
      <c r="AN259" t="n">
        <v>1.134255443</v>
      </c>
      <c r="AO259" t="n">
        <v>-0.780836238</v>
      </c>
      <c r="AP259" t="n">
        <v>1.151337174</v>
      </c>
      <c r="AQ259" t="n">
        <v>0.459033115</v>
      </c>
      <c r="AR259" t="n">
        <v>-0.084975787</v>
      </c>
      <c r="AS259" t="n">
        <v>1.310884503</v>
      </c>
      <c r="AT259" t="n">
        <v>2.658843122</v>
      </c>
      <c r="AU259" t="n">
        <v>-0.038767163</v>
      </c>
      <c r="AV259" t="n">
        <v>0.413771114</v>
      </c>
    </row>
    <row r="260">
      <c r="A260" t="inlineStr">
        <is>
          <t>2011-Q4</t>
        </is>
      </c>
      <c r="B260" s="87" t="n">
        <v>40909</v>
      </c>
      <c r="C260" t="n">
        <v>0.011114644</v>
      </c>
      <c r="D260" t="n">
        <v>1.071331353</v>
      </c>
      <c r="E260" t="n">
        <v>-0.051929927</v>
      </c>
      <c r="F260" t="n">
        <v>0.29165661</v>
      </c>
      <c r="G260" t="n">
        <v>0.923067829</v>
      </c>
      <c r="H260" t="n">
        <v>0.78751324</v>
      </c>
      <c r="I260" t="n">
        <v>0.051188392</v>
      </c>
      <c r="J260" t="n">
        <v>2.174858411</v>
      </c>
      <c r="K260" t="n">
        <v>1.6</v>
      </c>
      <c r="L260" t="n">
        <v>0.103381032</v>
      </c>
      <c r="M260" t="n">
        <v>-0.323050149</v>
      </c>
      <c r="N260" t="n">
        <v>0.817187733</v>
      </c>
      <c r="O260" t="n">
        <v>-0.428086</v>
      </c>
      <c r="P260" t="n">
        <v>-0.429441</v>
      </c>
      <c r="Q260" t="n">
        <v>-0.663137427</v>
      </c>
      <c r="R260" t="n">
        <v>-0.032902539</v>
      </c>
      <c r="S260" t="n">
        <v>-0.36834</v>
      </c>
      <c r="T260" t="n">
        <v>0.027781379</v>
      </c>
      <c r="U260" t="n">
        <v>0.230075505</v>
      </c>
      <c r="V260" t="n">
        <v>0.476717</v>
      </c>
      <c r="W260" t="n">
        <v>-0.041728047</v>
      </c>
      <c r="X260" t="n">
        <v>-4.54712036</v>
      </c>
      <c r="Y260" t="n">
        <v>1.095456368</v>
      </c>
      <c r="Z260" t="n">
        <v>1.62889</v>
      </c>
      <c r="AA260" t="n">
        <v>-0.12316489</v>
      </c>
      <c r="AB260" t="n">
        <v>1.427123029</v>
      </c>
      <c r="AC260" t="n">
        <v>0.694055868</v>
      </c>
      <c r="AD260" t="n">
        <v>-0.966852045</v>
      </c>
      <c r="AE260" t="n">
        <v>-0.135661051</v>
      </c>
      <c r="AF260" t="n">
        <v>0.472298068</v>
      </c>
      <c r="AG260" t="n">
        <v>-0.502188907</v>
      </c>
      <c r="AH260" t="n">
        <v>0.154998588</v>
      </c>
      <c r="AI260" t="n">
        <v>0.651407446</v>
      </c>
      <c r="AJ260" t="n">
        <v>-0.603347169</v>
      </c>
      <c r="AK260" t="n">
        <v>0.051718066</v>
      </c>
      <c r="AL260" t="n">
        <v>0.5744384809999999</v>
      </c>
      <c r="AM260" t="n">
        <v>0.419603933</v>
      </c>
      <c r="AN260" t="n">
        <v>0.8090573170000001</v>
      </c>
      <c r="AO260" t="n">
        <v>-1.478454706</v>
      </c>
      <c r="AP260" t="n">
        <v>1.207682223</v>
      </c>
      <c r="AQ260" t="n">
        <v>0.760571613</v>
      </c>
      <c r="AR260" t="n">
        <v>0.01551859</v>
      </c>
      <c r="AS260" t="n">
        <v>-1.456069205</v>
      </c>
      <c r="AT260" t="n">
        <v>1.357311969</v>
      </c>
      <c r="AU260" t="n">
        <v>1.121678183</v>
      </c>
      <c r="AV260" t="n">
        <v>0.684087092</v>
      </c>
    </row>
    <row r="261">
      <c r="A261" t="inlineStr">
        <is>
          <t>2012-Q1</t>
        </is>
      </c>
      <c r="B261" s="87" t="n">
        <v>41000</v>
      </c>
      <c r="C261" t="n">
        <v>-1.080747038</v>
      </c>
      <c r="D261" t="n">
        <v>0.969341274</v>
      </c>
      <c r="E261" t="n">
        <v>0.876069055</v>
      </c>
      <c r="F261" t="n">
        <v>0.214596578</v>
      </c>
      <c r="G261" t="n">
        <v>-1.374312315</v>
      </c>
      <c r="H261" t="n">
        <v>0.064087343</v>
      </c>
      <c r="I261" t="n">
        <v>0.575075853</v>
      </c>
      <c r="J261" t="n">
        <v>2.05531398</v>
      </c>
      <c r="K261" t="n">
        <v>1.6</v>
      </c>
      <c r="L261" t="n">
        <v>-0.169658261</v>
      </c>
      <c r="M261" t="n">
        <v>0.209109421</v>
      </c>
      <c r="N261" t="n">
        <v>-0.06945702400000001</v>
      </c>
      <c r="O261" t="n">
        <v>-0.214551</v>
      </c>
      <c r="P261" t="n">
        <v>-0.219232</v>
      </c>
      <c r="Q261" t="n">
        <v>-0.931195619</v>
      </c>
      <c r="R261" t="n">
        <v>0.593755642</v>
      </c>
      <c r="S261" t="n">
        <v>-0.184098</v>
      </c>
      <c r="T261" t="n">
        <v>-0.4369723</v>
      </c>
      <c r="U261" t="n">
        <v>-0.031070964</v>
      </c>
      <c r="V261" t="n">
        <v>0.606025</v>
      </c>
      <c r="W261" t="n">
        <v>0.830481781</v>
      </c>
      <c r="X261" t="n">
        <v>-0.107732297</v>
      </c>
      <c r="Y261" t="n">
        <v>-1.221413199</v>
      </c>
      <c r="Z261" t="n">
        <v>1.38078</v>
      </c>
      <c r="AA261" t="n">
        <v>-0.07558532699999999</v>
      </c>
      <c r="AB261" t="n">
        <v>-3.053491615</v>
      </c>
      <c r="AC261" t="n">
        <v>0.364897296</v>
      </c>
      <c r="AD261" t="n">
        <v>-1.135137033</v>
      </c>
      <c r="AE261" t="n">
        <v>1.388466649</v>
      </c>
      <c r="AF261" t="n">
        <v>0.865665953</v>
      </c>
      <c r="AG261" t="n">
        <v>0.511767854</v>
      </c>
      <c r="AH261" t="n">
        <v>5.130181844</v>
      </c>
      <c r="AI261" t="n">
        <v>0.659795771</v>
      </c>
      <c r="AJ261" t="n">
        <v>-0.208153293</v>
      </c>
      <c r="AK261" t="n">
        <v>2.330006299</v>
      </c>
      <c r="AL261" t="n">
        <v>0.569181209</v>
      </c>
      <c r="AM261" t="n">
        <v>0.495407371</v>
      </c>
      <c r="AN261" t="n">
        <v>0.305853519</v>
      </c>
      <c r="AO261" t="n">
        <v>-0.545801608</v>
      </c>
      <c r="AP261" t="n">
        <v>1.570296481</v>
      </c>
      <c r="AQ261" t="n">
        <v>0.21680907</v>
      </c>
      <c r="AR261" t="n">
        <v>-0.551413814</v>
      </c>
      <c r="AS261" t="n">
        <v>0.221362776</v>
      </c>
      <c r="AT261" t="n">
        <v>-0.8897737570000001</v>
      </c>
      <c r="AU261" t="n">
        <v>0.817922845</v>
      </c>
      <c r="AV261" t="n">
        <v>0.566841886</v>
      </c>
    </row>
    <row r="262">
      <c r="A262" t="inlineStr">
        <is>
          <t>2012-Q2</t>
        </is>
      </c>
      <c r="B262" s="87" t="n">
        <v>41091</v>
      </c>
      <c r="C262" t="n">
        <v>-3.362535566</v>
      </c>
      <c r="D262" t="n">
        <v>0.729246399</v>
      </c>
      <c r="E262" t="n">
        <v>-0.409869294</v>
      </c>
      <c r="F262" t="n">
        <v>-0.00100064</v>
      </c>
      <c r="G262" t="n">
        <v>1.706842374</v>
      </c>
      <c r="H262" t="n">
        <v>0.326163737</v>
      </c>
      <c r="I262" t="n">
        <v>0.222821638</v>
      </c>
      <c r="J262" t="n">
        <v>1.853532999</v>
      </c>
      <c r="K262" t="n">
        <v>2.3</v>
      </c>
      <c r="L262" t="n">
        <v>-0.536142129</v>
      </c>
      <c r="M262" t="n">
        <v>0.208649622</v>
      </c>
      <c r="N262" t="n">
        <v>0.075250259</v>
      </c>
      <c r="O262" t="n">
        <v>-0.263775</v>
      </c>
      <c r="P262" t="n">
        <v>-0.26674</v>
      </c>
      <c r="Q262" t="n">
        <v>-0.958602679</v>
      </c>
      <c r="R262" t="n">
        <v>1.226170257</v>
      </c>
      <c r="S262" t="n">
        <v>-0.226641</v>
      </c>
      <c r="T262" t="n">
        <v>-1.058171539</v>
      </c>
      <c r="U262" t="n">
        <v>-0.111776873</v>
      </c>
      <c r="V262" t="n">
        <v>0.06789199999999999</v>
      </c>
      <c r="W262" t="n">
        <v>-0.056038575</v>
      </c>
      <c r="X262" t="n">
        <v>-1.881416741</v>
      </c>
      <c r="Y262" t="n">
        <v>-0.93916258</v>
      </c>
      <c r="Z262" t="n">
        <v>1.15795</v>
      </c>
      <c r="AA262" t="n">
        <v>1.307987699</v>
      </c>
      <c r="AB262" t="n">
        <v>1.235637366</v>
      </c>
      <c r="AC262" t="n">
        <v>-0.051463363</v>
      </c>
      <c r="AD262" t="n">
        <v>-0.688272499</v>
      </c>
      <c r="AE262" t="n">
        <v>-0.918912858</v>
      </c>
      <c r="AF262" t="n">
        <v>0.565974618</v>
      </c>
      <c r="AG262" t="n">
        <v>0.157260406</v>
      </c>
      <c r="AH262" t="n">
        <v>-0.551747447</v>
      </c>
      <c r="AI262" t="n">
        <v>0.882024249</v>
      </c>
      <c r="AJ262" t="n">
        <v>0.050938315</v>
      </c>
      <c r="AK262" t="n">
        <v>0.236072065</v>
      </c>
      <c r="AL262" t="n">
        <v>0.503075442</v>
      </c>
      <c r="AM262" t="n">
        <v>0.147700731</v>
      </c>
      <c r="AN262" t="n">
        <v>-0.185200787</v>
      </c>
      <c r="AO262" t="n">
        <v>-1.347954513</v>
      </c>
      <c r="AP262" t="n">
        <v>0.387073923</v>
      </c>
      <c r="AQ262" t="n">
        <v>0.153401744</v>
      </c>
      <c r="AR262" t="n">
        <v>-1.906182109</v>
      </c>
      <c r="AS262" t="n">
        <v>0.137771958</v>
      </c>
      <c r="AT262" t="n">
        <v>1.727526866</v>
      </c>
      <c r="AU262" t="n">
        <v>0.455859987</v>
      </c>
      <c r="AV262" t="n">
        <v>0.83473463</v>
      </c>
    </row>
    <row r="263">
      <c r="A263" t="inlineStr">
        <is>
          <t>2012-Q3</t>
        </is>
      </c>
      <c r="B263" s="87" t="n">
        <v>41183</v>
      </c>
      <c r="C263" t="n">
        <v>3.100543266</v>
      </c>
      <c r="D263" t="n">
        <v>0.57291019</v>
      </c>
      <c r="E263" t="n">
        <v>-0.219007476</v>
      </c>
      <c r="F263" t="n">
        <v>0.243158053</v>
      </c>
      <c r="G263" t="n">
        <v>1.740538759</v>
      </c>
      <c r="H263" t="n">
        <v>0.136217106</v>
      </c>
      <c r="I263" t="n">
        <v>0.877856411</v>
      </c>
      <c r="J263" t="n">
        <v>0.777134444</v>
      </c>
      <c r="K263" t="n">
        <v>1.9</v>
      </c>
      <c r="L263" t="n">
        <v>-0.360999737</v>
      </c>
      <c r="M263" t="n">
        <v>0.281110725</v>
      </c>
      <c r="N263" t="n">
        <v>0.093894243</v>
      </c>
      <c r="O263" t="n">
        <v>-0.095305</v>
      </c>
      <c r="P263" t="n">
        <v>-0.09352100000000001</v>
      </c>
      <c r="Q263" t="n">
        <v>-0.519688187</v>
      </c>
      <c r="R263" t="n">
        <v>0.49992735</v>
      </c>
      <c r="S263" t="n">
        <v>-0.102127</v>
      </c>
      <c r="T263" t="n">
        <v>-0.385316617</v>
      </c>
      <c r="U263" t="n">
        <v>0.255978555</v>
      </c>
      <c r="V263" t="n">
        <v>0.144623</v>
      </c>
      <c r="W263" t="n">
        <v>1.242536205</v>
      </c>
      <c r="X263" t="n">
        <v>-1.536580005</v>
      </c>
      <c r="Y263" t="n">
        <v>0.192501509</v>
      </c>
      <c r="Z263" t="n">
        <v>1.794</v>
      </c>
      <c r="AA263" t="n">
        <v>-0.995944241</v>
      </c>
      <c r="AB263" t="n">
        <v>0.695748773</v>
      </c>
      <c r="AC263" t="n">
        <v>0.942432392</v>
      </c>
      <c r="AD263" t="n">
        <v>-0.511856023</v>
      </c>
      <c r="AE263" t="n">
        <v>-0.373971405</v>
      </c>
      <c r="AF263" t="n">
        <v>0.45177694</v>
      </c>
      <c r="AG263" t="n">
        <v>1.113824515</v>
      </c>
      <c r="AH263" t="n">
        <v>1.306508775</v>
      </c>
      <c r="AI263" t="n">
        <v>0.535904371</v>
      </c>
      <c r="AJ263" t="n">
        <v>-0.429226861</v>
      </c>
      <c r="AK263" t="n">
        <v>-1.451209552</v>
      </c>
      <c r="AL263" t="n">
        <v>0.162290049</v>
      </c>
      <c r="AM263" t="n">
        <v>0.174547729</v>
      </c>
      <c r="AN263" t="n">
        <v>0.051396874</v>
      </c>
      <c r="AO263" t="n">
        <v>-1.129418955</v>
      </c>
      <c r="AP263" t="n">
        <v>0.5161475639999999</v>
      </c>
      <c r="AQ263" t="n">
        <v>0.084452686</v>
      </c>
      <c r="AR263" t="n">
        <v>0.334488162</v>
      </c>
      <c r="AS263" t="n">
        <v>-0.110369231</v>
      </c>
      <c r="AT263" t="n">
        <v>1.764793881</v>
      </c>
      <c r="AU263" t="n">
        <v>0.174882978</v>
      </c>
      <c r="AV263" t="n">
        <v>0.406557831</v>
      </c>
    </row>
    <row r="264">
      <c r="A264" t="inlineStr">
        <is>
          <t>2012-Q4</t>
        </is>
      </c>
      <c r="B264" s="87" t="n">
        <v>41275</v>
      </c>
      <c r="C264" t="n">
        <v>1.683804422</v>
      </c>
      <c r="D264" t="n">
        <v>0.476002949</v>
      </c>
      <c r="E264" t="n">
        <v>-0.080953645</v>
      </c>
      <c r="F264" t="n">
        <v>-0.045918265</v>
      </c>
      <c r="G264" t="n">
        <v>0.060609635</v>
      </c>
      <c r="H264" t="n">
        <v>0.20678147</v>
      </c>
      <c r="I264" t="n">
        <v>-0.002232104</v>
      </c>
      <c r="J264" t="n">
        <v>0.593636336</v>
      </c>
      <c r="K264" t="n">
        <v>2</v>
      </c>
      <c r="L264" t="n">
        <v>-0.122513632</v>
      </c>
      <c r="M264" t="n">
        <v>-0.446428737</v>
      </c>
      <c r="N264" t="n">
        <v>-0.16162989</v>
      </c>
      <c r="O264" t="n">
        <v>-0.448369</v>
      </c>
      <c r="P264" t="n">
        <v>-0.449978</v>
      </c>
      <c r="Q264" t="n">
        <v>-0.740714981</v>
      </c>
      <c r="R264" t="n">
        <v>0.8881829409999999</v>
      </c>
      <c r="S264" t="n">
        <v>-0.428413</v>
      </c>
      <c r="T264" t="n">
        <v>-0.07736141000000001</v>
      </c>
      <c r="U264" t="n">
        <v>-0.156368389</v>
      </c>
      <c r="V264" t="n">
        <v>-0.061575</v>
      </c>
      <c r="W264" t="n">
        <v>-0.101464519</v>
      </c>
      <c r="X264" t="n">
        <v>-0.785653271</v>
      </c>
      <c r="Y264" t="n">
        <v>-0.252667663</v>
      </c>
      <c r="Z264" t="n">
        <v>1.18687</v>
      </c>
      <c r="AA264" t="n">
        <v>0.051039038</v>
      </c>
      <c r="AB264" t="n">
        <v>1.450186091</v>
      </c>
      <c r="AC264" t="n">
        <v>0.523423614</v>
      </c>
      <c r="AD264" t="n">
        <v>-0.7410775979999999</v>
      </c>
      <c r="AE264" t="n">
        <v>-0.07188035800000001</v>
      </c>
      <c r="AF264" t="n">
        <v>0.502248725</v>
      </c>
      <c r="AG264" t="n">
        <v>1.677013333</v>
      </c>
      <c r="AH264" t="n">
        <v>0.476373406</v>
      </c>
      <c r="AI264" t="n">
        <v>0.861905917</v>
      </c>
      <c r="AJ264" t="n">
        <v>-0.699748534</v>
      </c>
      <c r="AK264" t="n">
        <v>0.818199806</v>
      </c>
      <c r="AL264" t="n">
        <v>1.444578925</v>
      </c>
      <c r="AM264" t="n">
        <v>0.04775325</v>
      </c>
      <c r="AN264" t="n">
        <v>-0.07838069</v>
      </c>
      <c r="AO264" t="n">
        <v>-1.580457377</v>
      </c>
      <c r="AP264" t="n">
        <v>0.067384631</v>
      </c>
      <c r="AQ264" t="n">
        <v>-0.12348041</v>
      </c>
      <c r="AR264" t="n">
        <v>-2.07992648</v>
      </c>
      <c r="AS264" t="n">
        <v>-0.774534735</v>
      </c>
      <c r="AT264" t="n">
        <v>1.602891829</v>
      </c>
      <c r="AU264" t="n">
        <v>0.109838067</v>
      </c>
      <c r="AV264" t="n">
        <v>0.476942783</v>
      </c>
    </row>
    <row r="265">
      <c r="A265" t="inlineStr">
        <is>
          <t>2013-Q1</t>
        </is>
      </c>
      <c r="B265" s="87" t="n">
        <v>41365</v>
      </c>
      <c r="C265" t="n">
        <v>-0.017257971</v>
      </c>
      <c r="D265" t="n">
        <v>0.464405103</v>
      </c>
      <c r="E265" t="n">
        <v>-0.09580632</v>
      </c>
      <c r="F265" t="n">
        <v>-0.274637479</v>
      </c>
      <c r="G265" t="n">
        <v>0.486904111</v>
      </c>
      <c r="H265" t="n">
        <v>0.897004855</v>
      </c>
      <c r="I265" t="n">
        <v>0.363348741</v>
      </c>
      <c r="J265" t="n">
        <v>0.822056019</v>
      </c>
      <c r="K265" t="n">
        <v>1.8</v>
      </c>
      <c r="L265" t="n">
        <v>-0.424785783</v>
      </c>
      <c r="M265" t="n">
        <v>-0.456263233</v>
      </c>
      <c r="N265" t="n">
        <v>0.563835211</v>
      </c>
      <c r="O265" t="n">
        <v>-0.332816</v>
      </c>
      <c r="P265" t="n">
        <v>-0.328764</v>
      </c>
      <c r="Q265" t="n">
        <v>-0.307528213</v>
      </c>
      <c r="R265" t="n">
        <v>0.479254465</v>
      </c>
      <c r="S265" t="n">
        <v>-0.253501</v>
      </c>
      <c r="T265" t="n">
        <v>-0.857299318</v>
      </c>
      <c r="U265" t="n">
        <v>0.033805642</v>
      </c>
      <c r="V265" t="n">
        <v>0.574237</v>
      </c>
      <c r="W265" t="n">
        <v>0.234370798</v>
      </c>
      <c r="X265" t="n">
        <v>-0.90893714</v>
      </c>
      <c r="Y265" t="n">
        <v>0.468175003</v>
      </c>
      <c r="Z265" t="n">
        <v>1.59874</v>
      </c>
      <c r="AA265" t="n">
        <v>-0.8204079010000001</v>
      </c>
      <c r="AB265" t="n">
        <v>0.854455548</v>
      </c>
      <c r="AC265" t="n">
        <v>1.326036168</v>
      </c>
      <c r="AD265" t="n">
        <v>-0.971269615</v>
      </c>
      <c r="AE265" t="n">
        <v>1.381918126</v>
      </c>
      <c r="AF265" t="n">
        <v>0.859424906</v>
      </c>
      <c r="AG265" t="n">
        <v>0.010570814</v>
      </c>
      <c r="AH265" t="n">
        <v>0.36431231</v>
      </c>
      <c r="AI265" t="n">
        <v>0.257765808</v>
      </c>
      <c r="AJ265" t="n">
        <v>0.322901443</v>
      </c>
      <c r="AK265" t="n">
        <v>0.084622423</v>
      </c>
      <c r="AL265" t="n">
        <v>-0.200130855</v>
      </c>
      <c r="AM265" t="n">
        <v>0.572014417</v>
      </c>
      <c r="AN265" t="n">
        <v>-0.166081351</v>
      </c>
      <c r="AO265" t="n">
        <v>0.416147358</v>
      </c>
      <c r="AP265" t="n">
        <v>0.740663422</v>
      </c>
      <c r="AQ265" t="n">
        <v>0.033850893</v>
      </c>
      <c r="AR265" t="n">
        <v>0.23370943</v>
      </c>
      <c r="AS265" t="n">
        <v>1.436972133</v>
      </c>
      <c r="AT265" t="n">
        <v>2.92988564</v>
      </c>
      <c r="AU265" t="n">
        <v>0.867789548</v>
      </c>
      <c r="AV265" t="n">
        <v>0.776024074</v>
      </c>
    </row>
    <row r="266">
      <c r="A266" t="inlineStr">
        <is>
          <t>2013-Q2</t>
        </is>
      </c>
      <c r="B266" s="87" t="n">
        <v>41456</v>
      </c>
      <c r="C266" t="n">
        <v>0.604235378</v>
      </c>
      <c r="D266" t="n">
        <v>0.390129718</v>
      </c>
      <c r="E266" t="n">
        <v>0.022318753</v>
      </c>
      <c r="F266" t="n">
        <v>0.5838348840000001</v>
      </c>
      <c r="G266" t="n">
        <v>1.455742687</v>
      </c>
      <c r="H266" t="n">
        <v>0.580357191</v>
      </c>
      <c r="I266" t="n">
        <v>0.719534837</v>
      </c>
      <c r="J266" t="n">
        <v>0.883478207</v>
      </c>
      <c r="K266" t="n">
        <v>1.7</v>
      </c>
      <c r="L266" t="n">
        <v>0.36711851</v>
      </c>
      <c r="M266" t="n">
        <v>1.068615489</v>
      </c>
      <c r="N266" t="n">
        <v>0.07428193900000001</v>
      </c>
      <c r="O266" t="n">
        <v>0.51352</v>
      </c>
      <c r="P266" t="n">
        <v>0.511619</v>
      </c>
      <c r="Q266" t="n">
        <v>-0.08824781199999999</v>
      </c>
      <c r="R266" t="n">
        <v>-0.256550279</v>
      </c>
      <c r="S266" t="n">
        <v>0.507592</v>
      </c>
      <c r="T266" t="n">
        <v>0.460926042</v>
      </c>
      <c r="U266" t="n">
        <v>0.709168547</v>
      </c>
      <c r="V266" t="n">
        <v>0.44252</v>
      </c>
      <c r="W266" t="n">
        <v>0.678973491</v>
      </c>
      <c r="X266" t="n">
        <v>0.013512669</v>
      </c>
      <c r="Y266" t="n">
        <v>0.938217006</v>
      </c>
      <c r="Z266" t="n">
        <v>1.40382</v>
      </c>
      <c r="AA266" t="n">
        <v>1.678583811</v>
      </c>
      <c r="AB266" t="n">
        <v>1.434680295</v>
      </c>
      <c r="AC266" t="n">
        <v>1.97520572</v>
      </c>
      <c r="AD266" t="n">
        <v>0.037708852</v>
      </c>
      <c r="AE266" t="n">
        <v>0.902661641</v>
      </c>
      <c r="AF266" t="n">
        <v>1.166152951</v>
      </c>
      <c r="AG266" t="n">
        <v>1.86359072</v>
      </c>
      <c r="AH266" t="n">
        <v>-0.095912952</v>
      </c>
      <c r="AI266" t="n">
        <v>-0.528707377</v>
      </c>
      <c r="AJ266" t="n">
        <v>-0.180703927</v>
      </c>
      <c r="AK266" t="n">
        <v>0.723775859</v>
      </c>
      <c r="AL266" t="n">
        <v>1.156916432</v>
      </c>
      <c r="AM266" t="n">
        <v>0.526586143</v>
      </c>
      <c r="AN266" t="n">
        <v>0.775685756</v>
      </c>
      <c r="AO266" t="n">
        <v>0.75837044</v>
      </c>
      <c r="AP266" t="n">
        <v>0.340510666</v>
      </c>
      <c r="AQ266" t="n">
        <v>0.316936757</v>
      </c>
      <c r="AR266" t="n">
        <v>0.223215523</v>
      </c>
      <c r="AS266" t="n">
        <v>-0.08857514700000001</v>
      </c>
      <c r="AT266" t="n">
        <v>2.935776113</v>
      </c>
      <c r="AU266" t="n">
        <v>0.13938522</v>
      </c>
      <c r="AV266" t="n">
        <v>0.727379222</v>
      </c>
    </row>
    <row r="267">
      <c r="A267" t="inlineStr">
        <is>
          <t>2013-Q3</t>
        </is>
      </c>
      <c r="B267" s="87" t="n">
        <v>41548</v>
      </c>
      <c r="C267" t="n">
        <v>0.546191931</v>
      </c>
      <c r="D267" t="n">
        <v>0.801628562</v>
      </c>
      <c r="E267" t="n">
        <v>0.463457883</v>
      </c>
      <c r="F267" t="n">
        <v>0.309637595</v>
      </c>
      <c r="G267" t="n">
        <v>0.408005738</v>
      </c>
      <c r="H267" t="n">
        <v>0.814973402</v>
      </c>
      <c r="I267" t="n">
        <v>0.754537714</v>
      </c>
      <c r="J267" t="n">
        <v>0.630684073</v>
      </c>
      <c r="K267" t="n">
        <v>2.1</v>
      </c>
      <c r="L267" t="n">
        <v>0.429624928</v>
      </c>
      <c r="M267" t="n">
        <v>0.5597577459999999</v>
      </c>
      <c r="N267" t="n">
        <v>0.633381867</v>
      </c>
      <c r="O267" t="n">
        <v>0.311977</v>
      </c>
      <c r="P267" t="n">
        <v>0.308086</v>
      </c>
      <c r="Q267" t="n">
        <v>-0.036737262</v>
      </c>
      <c r="R267" t="n">
        <v>-0.248682096</v>
      </c>
      <c r="S267" t="n">
        <v>0.354099</v>
      </c>
      <c r="T267" t="n">
        <v>0.348848232</v>
      </c>
      <c r="U267" t="n">
        <v>-0.07504669999999999</v>
      </c>
      <c r="V267" t="n">
        <v>0.68898</v>
      </c>
      <c r="W267" t="n">
        <v>0.749008394</v>
      </c>
      <c r="X267" t="n">
        <v>0.133656562</v>
      </c>
      <c r="Y267" t="n">
        <v>1.507326634</v>
      </c>
      <c r="Z267" t="n">
        <v>1.60112</v>
      </c>
      <c r="AA267" t="n">
        <v>3.113662958</v>
      </c>
      <c r="AB267" t="n">
        <v>0.009193719</v>
      </c>
      <c r="AC267" t="n">
        <v>1.010436332</v>
      </c>
      <c r="AD267" t="n">
        <v>0.216738076</v>
      </c>
      <c r="AE267" t="n">
        <v>0.962286428</v>
      </c>
      <c r="AF267" t="n">
        <v>0.856151759</v>
      </c>
      <c r="AG267" t="n">
        <v>0.22791654</v>
      </c>
      <c r="AH267" t="n">
        <v>1.396278849</v>
      </c>
      <c r="AI267" t="n">
        <v>0.86901482</v>
      </c>
      <c r="AJ267" t="n">
        <v>0.603037231</v>
      </c>
      <c r="AK267" t="n">
        <v>0.9825413079999999</v>
      </c>
      <c r="AL267" t="n">
        <v>0.571842476</v>
      </c>
      <c r="AM267" t="n">
        <v>0.707995233</v>
      </c>
      <c r="AN267" t="n">
        <v>0.739582437</v>
      </c>
      <c r="AO267" t="n">
        <v>-0.139296447</v>
      </c>
      <c r="AP267" t="n">
        <v>0.040528552</v>
      </c>
      <c r="AQ267" t="n">
        <v>0.455226416</v>
      </c>
      <c r="AR267" t="n">
        <v>0.088657609</v>
      </c>
      <c r="AS267" t="n">
        <v>0.455513805</v>
      </c>
      <c r="AT267" t="n">
        <v>1.465976155</v>
      </c>
      <c r="AU267" t="n">
        <v>0.791653411</v>
      </c>
      <c r="AV267" t="n">
        <v>0.474459609</v>
      </c>
    </row>
    <row r="268">
      <c r="A268" t="inlineStr">
        <is>
          <t>2013-Q4</t>
        </is>
      </c>
      <c r="B268" s="87" t="n">
        <v>41640</v>
      </c>
      <c r="C268" t="n">
        <v>-0.955694138</v>
      </c>
      <c r="D268" t="n">
        <v>0.804219237</v>
      </c>
      <c r="E268" t="n">
        <v>0.381499588</v>
      </c>
      <c r="F268" t="n">
        <v>0.218360116</v>
      </c>
      <c r="G268" t="n">
        <v>0.180562931</v>
      </c>
      <c r="H268" t="n">
        <v>1.050559545</v>
      </c>
      <c r="I268" t="n">
        <v>0.209387608</v>
      </c>
      <c r="J268" t="n">
        <v>0.269358756</v>
      </c>
      <c r="K268" t="n">
        <v>1.6</v>
      </c>
      <c r="L268" t="n">
        <v>1.207666421</v>
      </c>
      <c r="M268" t="n">
        <v>0.288637409</v>
      </c>
      <c r="N268" t="n">
        <v>0.201104009</v>
      </c>
      <c r="O268" t="n">
        <v>0.281639</v>
      </c>
      <c r="P268" t="n">
        <v>0.279054</v>
      </c>
      <c r="Q268" t="n">
        <v>0.166160366</v>
      </c>
      <c r="R268" t="n">
        <v>-0.049911782</v>
      </c>
      <c r="S268" t="n">
        <v>0.344422</v>
      </c>
      <c r="T268" t="n">
        <v>-0.179485726</v>
      </c>
      <c r="U268" t="n">
        <v>0.713770046</v>
      </c>
      <c r="V268" t="n">
        <v>0.496879</v>
      </c>
      <c r="W268" t="n">
        <v>0.642727656</v>
      </c>
      <c r="X268" t="n">
        <v>0.571819792</v>
      </c>
      <c r="Y268" t="n">
        <v>0.794716114</v>
      </c>
      <c r="Z268" t="n">
        <v>2.20112</v>
      </c>
      <c r="AA268" t="n">
        <v>-1.133226577</v>
      </c>
      <c r="AB268" t="n">
        <v>3.201487907</v>
      </c>
      <c r="AC268" t="n">
        <v>0.750894054</v>
      </c>
      <c r="AD268" t="n">
        <v>-0.204379995</v>
      </c>
      <c r="AE268" t="n">
        <v>-0.123816261</v>
      </c>
      <c r="AF268" t="n">
        <v>0.874915753</v>
      </c>
      <c r="AG268" t="n">
        <v>-0.924079169</v>
      </c>
      <c r="AH268" t="n">
        <v>0.849884432</v>
      </c>
      <c r="AI268" t="n">
        <v>0.5916287140000001</v>
      </c>
      <c r="AJ268" t="n">
        <v>0.634730192</v>
      </c>
      <c r="AK268" t="n">
        <v>-0.177520275</v>
      </c>
      <c r="AL268" t="n">
        <v>0.295667336</v>
      </c>
      <c r="AM268" t="n">
        <v>0.506439393</v>
      </c>
      <c r="AN268" t="n">
        <v>0.560084962</v>
      </c>
      <c r="AO268" t="n">
        <v>1.094967331</v>
      </c>
      <c r="AP268" t="n">
        <v>0.577354817</v>
      </c>
      <c r="AQ268" t="n">
        <v>0.575140384</v>
      </c>
      <c r="AR268" t="n">
        <v>1.933831683</v>
      </c>
      <c r="AS268" t="n">
        <v>0.646316181</v>
      </c>
      <c r="AT268" t="n">
        <v>0.193829518</v>
      </c>
      <c r="AU268" t="n">
        <v>0.7111710020000001</v>
      </c>
      <c r="AV268" t="n">
        <v>0.538352036</v>
      </c>
    </row>
    <row r="269">
      <c r="A269" t="inlineStr">
        <is>
          <t>2014-Q1</t>
        </is>
      </c>
      <c r="B269" s="87" t="n">
        <v>41730</v>
      </c>
      <c r="C269" t="n">
        <v>-1.488740419</v>
      </c>
      <c r="D269" t="n">
        <v>0.774456069</v>
      </c>
      <c r="E269" t="n">
        <v>-0.177305642</v>
      </c>
      <c r="F269" t="n">
        <v>0.429826386</v>
      </c>
      <c r="G269" t="n">
        <v>0.752928172</v>
      </c>
      <c r="H269" t="n">
        <v>0.163447761</v>
      </c>
      <c r="I269" t="n">
        <v>0.506677793</v>
      </c>
      <c r="J269" t="n">
        <v>0.323999309</v>
      </c>
      <c r="K269" t="n">
        <v>1.8</v>
      </c>
      <c r="L269" t="n">
        <v>-0.5476726669999999</v>
      </c>
      <c r="M269" t="n">
        <v>0.973900086</v>
      </c>
      <c r="N269" t="n">
        <v>0.253255592</v>
      </c>
      <c r="O269" t="n">
        <v>0.411364</v>
      </c>
      <c r="P269" t="n">
        <v>0.408267</v>
      </c>
      <c r="Q269" t="n">
        <v>0.367288312</v>
      </c>
      <c r="R269" t="n">
        <v>1.641611363</v>
      </c>
      <c r="S269" t="n">
        <v>0.445189</v>
      </c>
      <c r="T269" t="n">
        <v>-0.772230003</v>
      </c>
      <c r="U269" t="n">
        <v>-0.036344178</v>
      </c>
      <c r="V269" t="n">
        <v>0.134481</v>
      </c>
      <c r="W269" t="n">
        <v>0.937213186</v>
      </c>
      <c r="X269" t="n">
        <v>-0.174574899</v>
      </c>
      <c r="Y269" t="n">
        <v>0.925940003</v>
      </c>
      <c r="Z269" t="n">
        <v>1.15901</v>
      </c>
      <c r="AA269" t="n">
        <v>3.780217455</v>
      </c>
      <c r="AB269" t="n">
        <v>-2.587454212</v>
      </c>
      <c r="AC269" t="n">
        <v>1.097096734</v>
      </c>
      <c r="AD269" t="n">
        <v>0.171372007</v>
      </c>
      <c r="AE269" t="n">
        <v>0.810636575</v>
      </c>
      <c r="AF269" t="n">
        <v>0.85644443</v>
      </c>
      <c r="AG269" t="n">
        <v>2.100959548</v>
      </c>
      <c r="AH269" t="n">
        <v>-0.024694971</v>
      </c>
      <c r="AI269" t="n">
        <v>0.692470929</v>
      </c>
      <c r="AJ269" t="n">
        <v>-0.09481758699999999</v>
      </c>
      <c r="AK269" t="n">
        <v>1.021992465</v>
      </c>
      <c r="AL269" t="n">
        <v>1.525000945</v>
      </c>
      <c r="AM269" t="n">
        <v>0.366828581</v>
      </c>
      <c r="AN269" t="n">
        <v>1.281801235</v>
      </c>
      <c r="AO269" t="n">
        <v>-0.641839267</v>
      </c>
      <c r="AP269" t="n">
        <v>-0.007460833</v>
      </c>
      <c r="AQ269" t="n">
        <v>0.612832236</v>
      </c>
      <c r="AR269" t="n">
        <v>0.026144025</v>
      </c>
      <c r="AS269" t="n">
        <v>0.881909856</v>
      </c>
      <c r="AT269" t="n">
        <v>2.901075638</v>
      </c>
      <c r="AU269" t="n">
        <v>-0.350109737</v>
      </c>
      <c r="AV269" t="n">
        <v>-0.137935652</v>
      </c>
    </row>
    <row r="270">
      <c r="A270" t="inlineStr">
        <is>
          <t>2014-Q2</t>
        </is>
      </c>
      <c r="B270" s="87" t="n">
        <v>41821</v>
      </c>
      <c r="C270" t="n">
        <v>-0.60436801</v>
      </c>
      <c r="D270" t="n">
        <v>0.469751863</v>
      </c>
      <c r="E270" t="n">
        <v>0.587613784</v>
      </c>
      <c r="F270" t="n">
        <v>0.265272916</v>
      </c>
      <c r="G270" t="n">
        <v>-1.318950538</v>
      </c>
      <c r="H270" t="n">
        <v>0.913329104</v>
      </c>
      <c r="I270" t="n">
        <v>0.816810306</v>
      </c>
      <c r="J270" t="n">
        <v>0.818810574</v>
      </c>
      <c r="K270" t="n">
        <v>1.8</v>
      </c>
      <c r="L270" t="n">
        <v>0.934762938</v>
      </c>
      <c r="M270" t="n">
        <v>0</v>
      </c>
      <c r="N270" t="n">
        <v>-0.072441775</v>
      </c>
      <c r="O270" t="n">
        <v>0.201794</v>
      </c>
      <c r="P270" t="n">
        <v>0.203253</v>
      </c>
      <c r="Q270" t="n">
        <v>0.471333071</v>
      </c>
      <c r="R270" t="n">
        <v>0.408102545</v>
      </c>
      <c r="S270" t="n">
        <v>0.270159</v>
      </c>
      <c r="T270" t="n">
        <v>0.162133293</v>
      </c>
      <c r="U270" t="n">
        <v>0.084535598</v>
      </c>
      <c r="V270" t="n">
        <v>0.472863</v>
      </c>
      <c r="W270" t="n">
        <v>0.874234419</v>
      </c>
      <c r="X270" t="n">
        <v>-0.042732538</v>
      </c>
      <c r="Y270" t="n">
        <v>1.294375021</v>
      </c>
      <c r="Z270" t="n">
        <v>2.28966</v>
      </c>
      <c r="AA270" t="n">
        <v>3.10020027</v>
      </c>
      <c r="AB270" t="n">
        <v>-0.15265916</v>
      </c>
      <c r="AC270" t="n">
        <v>0.75090516</v>
      </c>
      <c r="AD270" t="n">
        <v>-0.047938067</v>
      </c>
      <c r="AE270" t="n">
        <v>-1.799989591</v>
      </c>
      <c r="AF270" t="n">
        <v>0.87160402</v>
      </c>
      <c r="AG270" t="n">
        <v>-1.343923305</v>
      </c>
      <c r="AH270" t="n">
        <v>0.528752523</v>
      </c>
      <c r="AI270" t="n">
        <v>1.315360995</v>
      </c>
      <c r="AJ270" t="n">
        <v>0.5854797980000001</v>
      </c>
      <c r="AK270" t="n">
        <v>0.736673399</v>
      </c>
      <c r="AL270" t="n">
        <v>0.41507678</v>
      </c>
      <c r="AM270" t="n">
        <v>0.484140307</v>
      </c>
      <c r="AN270" t="n">
        <v>1.111547684</v>
      </c>
      <c r="AO270" t="n">
        <v>0.332717028</v>
      </c>
      <c r="AP270" t="n">
        <v>0.4816152</v>
      </c>
      <c r="AQ270" t="n">
        <v>0.755808894</v>
      </c>
      <c r="AR270" t="n">
        <v>0.907522634</v>
      </c>
      <c r="AS270" t="n">
        <v>0.812444545</v>
      </c>
      <c r="AT270" t="n">
        <v>-1.62240622</v>
      </c>
      <c r="AU270" t="n">
        <v>1.284128907</v>
      </c>
      <c r="AV270" t="n">
        <v>0.394667298</v>
      </c>
    </row>
    <row r="271">
      <c r="A271" t="inlineStr">
        <is>
          <t>2014-Q3</t>
        </is>
      </c>
      <c r="B271" s="87" t="n">
        <v>41913</v>
      </c>
      <c r="C271" t="n">
        <v>-0.860613944</v>
      </c>
      <c r="D271" t="n">
        <v>0.433295926</v>
      </c>
      <c r="E271" t="n">
        <v>-0.071632265</v>
      </c>
      <c r="F271" t="n">
        <v>0.690442001</v>
      </c>
      <c r="G271" t="n">
        <v>-0.093987642</v>
      </c>
      <c r="H271" t="n">
        <v>0.959051308</v>
      </c>
      <c r="I271" t="n">
        <v>0.588452856</v>
      </c>
      <c r="J271" t="n">
        <v>-0.442194353</v>
      </c>
      <c r="K271" t="n">
        <v>1.8</v>
      </c>
      <c r="L271" t="n">
        <v>1.188807082</v>
      </c>
      <c r="M271" t="n">
        <v>0.508953736</v>
      </c>
      <c r="N271" t="n">
        <v>1.673875429</v>
      </c>
      <c r="O271" t="n">
        <v>0.490789</v>
      </c>
      <c r="P271" t="n">
        <v>0.487015</v>
      </c>
      <c r="Q271" t="n">
        <v>0.734260997</v>
      </c>
      <c r="R271" t="n">
        <v>1.340419745</v>
      </c>
      <c r="S271" t="n">
        <v>0.562537</v>
      </c>
      <c r="T271" t="n">
        <v>0.386585668</v>
      </c>
      <c r="U271" t="n">
        <v>0.563603831</v>
      </c>
      <c r="V271" t="n">
        <v>0.791076</v>
      </c>
      <c r="W271" t="n">
        <v>0.759640948</v>
      </c>
      <c r="X271" t="n">
        <v>1.040987838</v>
      </c>
      <c r="Y271" t="n">
        <v>0.9293973089999999</v>
      </c>
      <c r="Z271" t="n">
        <v>1.8258</v>
      </c>
      <c r="AA271" t="n">
        <v>1.758914706</v>
      </c>
      <c r="AB271" t="n">
        <v>3.698199089</v>
      </c>
      <c r="AC271" t="n">
        <v>0.912521859</v>
      </c>
      <c r="AD271" t="n">
        <v>0.138067503</v>
      </c>
      <c r="AE271" t="n">
        <v>0.08550463699999999</v>
      </c>
      <c r="AF271" t="n">
        <v>0.319454245</v>
      </c>
      <c r="AG271" t="n">
        <v>2.004296171</v>
      </c>
      <c r="AH271" t="n">
        <v>0.439642651</v>
      </c>
      <c r="AI271" t="n">
        <v>0.246141707</v>
      </c>
      <c r="AJ271" t="n">
        <v>0.249993171</v>
      </c>
      <c r="AK271" t="n">
        <v>0.419004568</v>
      </c>
      <c r="AL271" t="n">
        <v>1.325350337</v>
      </c>
      <c r="AM271" t="n">
        <v>0.780421399</v>
      </c>
      <c r="AN271" t="n">
        <v>0.795281461</v>
      </c>
      <c r="AO271" t="n">
        <v>0.094687166</v>
      </c>
      <c r="AP271" t="n">
        <v>-0.318118911</v>
      </c>
      <c r="AQ271" t="n">
        <v>0.95390732</v>
      </c>
      <c r="AR271" t="n">
        <v>0.6149813790000001</v>
      </c>
      <c r="AS271" t="n">
        <v>0.717476792</v>
      </c>
      <c r="AT271" t="n">
        <v>2.458184399</v>
      </c>
      <c r="AU271" t="n">
        <v>1.164961644</v>
      </c>
      <c r="AV271" t="n">
        <v>0.480579252</v>
      </c>
    </row>
    <row r="272">
      <c r="A272" t="inlineStr">
        <is>
          <t>2014-Q4</t>
        </is>
      </c>
      <c r="B272" s="87" t="n">
        <v>42005</v>
      </c>
      <c r="C272" t="n">
        <v>0.556956874</v>
      </c>
      <c r="D272" t="n">
        <v>0.37194962</v>
      </c>
      <c r="E272" t="n">
        <v>0.181575383</v>
      </c>
      <c r="F272" t="n">
        <v>0.522583418</v>
      </c>
      <c r="G272" t="n">
        <v>0.435692531</v>
      </c>
      <c r="H272" t="n">
        <v>0.691975668</v>
      </c>
      <c r="I272" t="n">
        <v>0.672867129</v>
      </c>
      <c r="J272" t="n">
        <v>1.062425021</v>
      </c>
      <c r="K272" t="n">
        <v>1.8</v>
      </c>
      <c r="L272" t="n">
        <v>1.146457887</v>
      </c>
      <c r="M272" t="n">
        <v>0.810214471</v>
      </c>
      <c r="N272" t="n">
        <v>0.358693362</v>
      </c>
      <c r="O272" t="n">
        <v>0.35607</v>
      </c>
      <c r="P272" t="n">
        <v>0.356796</v>
      </c>
      <c r="Q272" t="n">
        <v>0.859167269</v>
      </c>
      <c r="R272" t="n">
        <v>1.497655711</v>
      </c>
      <c r="S272" t="n">
        <v>0.400568</v>
      </c>
      <c r="T272" t="n">
        <v>-0.239025686</v>
      </c>
      <c r="U272" t="n">
        <v>-0.08221245200000001</v>
      </c>
      <c r="V272" t="n">
        <v>0.425334</v>
      </c>
      <c r="W272" t="n">
        <v>0.650659625</v>
      </c>
      <c r="X272" t="n">
        <v>-1.003888751</v>
      </c>
      <c r="Y272" t="n">
        <v>0.537936075</v>
      </c>
      <c r="Z272" t="n">
        <v>1.53396</v>
      </c>
      <c r="AA272" t="n">
        <v>-0.229476461</v>
      </c>
      <c r="AB272" t="n">
        <v>-0.5199012119999999</v>
      </c>
      <c r="AC272" t="n">
        <v>1.447279978</v>
      </c>
      <c r="AD272" t="n">
        <v>-0.359904531</v>
      </c>
      <c r="AE272" t="n">
        <v>0.46432192</v>
      </c>
      <c r="AF272" t="n">
        <v>0.495085269</v>
      </c>
      <c r="AG272" t="n">
        <v>2.60105467</v>
      </c>
      <c r="AH272" t="n">
        <v>0.492908671</v>
      </c>
      <c r="AI272" t="n">
        <v>1.114625035</v>
      </c>
      <c r="AJ272" t="n">
        <v>0.895674382</v>
      </c>
      <c r="AK272" t="n">
        <v>1.218756405</v>
      </c>
      <c r="AL272" t="n">
        <v>1.553152955</v>
      </c>
      <c r="AM272" t="n">
        <v>0.545998534</v>
      </c>
      <c r="AN272" t="n">
        <v>0.835654145</v>
      </c>
      <c r="AO272" t="n">
        <v>0.808968919</v>
      </c>
      <c r="AP272" t="n">
        <v>-0.235289925</v>
      </c>
      <c r="AQ272" t="n">
        <v>1.088211465</v>
      </c>
      <c r="AR272" t="n">
        <v>0.061027172</v>
      </c>
      <c r="AS272" t="n">
        <v>0.754560202</v>
      </c>
      <c r="AT272" t="n">
        <v>1.347559385</v>
      </c>
      <c r="AU272" t="n">
        <v>0.448993402</v>
      </c>
      <c r="AV272" t="n">
        <v>0.748775643</v>
      </c>
    </row>
    <row r="273">
      <c r="A273" t="inlineStr">
        <is>
          <t>2015-Q1</t>
        </is>
      </c>
      <c r="B273" s="87" t="n">
        <v>42095</v>
      </c>
      <c r="C273" t="n">
        <v>1.467565391</v>
      </c>
      <c r="D273" t="n">
        <v>0.92871568</v>
      </c>
      <c r="E273" t="n">
        <v>0.216379782</v>
      </c>
      <c r="F273" t="n">
        <v>0.519866681</v>
      </c>
      <c r="G273" t="n">
        <v>-0.811581938</v>
      </c>
      <c r="H273" t="n">
        <v>-0.549519408</v>
      </c>
      <c r="I273" t="n">
        <v>-0.200076964</v>
      </c>
      <c r="J273" t="n">
        <v>0.677820978</v>
      </c>
      <c r="K273" t="n">
        <v>1.7</v>
      </c>
      <c r="L273" t="n">
        <v>1.894335015</v>
      </c>
      <c r="M273" t="n">
        <v>-0.512323407</v>
      </c>
      <c r="N273" t="n">
        <v>0.684680081</v>
      </c>
      <c r="O273" t="n">
        <v>0.634209</v>
      </c>
      <c r="P273" t="n">
        <v>0.634427</v>
      </c>
      <c r="Q273" t="n">
        <v>1.147481028</v>
      </c>
      <c r="R273" t="n">
        <v>-1.396812965</v>
      </c>
      <c r="S273" t="n">
        <v>0.732728</v>
      </c>
      <c r="T273" t="n">
        <v>-0.777743972</v>
      </c>
      <c r="U273" t="n">
        <v>0.535933023</v>
      </c>
      <c r="V273" t="n">
        <v>0.636115</v>
      </c>
      <c r="W273" t="n">
        <v>0.412696486</v>
      </c>
      <c r="X273" t="n">
        <v>0.569067581</v>
      </c>
      <c r="Y273" t="n">
        <v>1.70255898</v>
      </c>
      <c r="Z273" t="n">
        <v>1.68429</v>
      </c>
      <c r="AA273" t="n">
        <v>20.994897082</v>
      </c>
      <c r="AB273" t="n">
        <v>-1.449360201</v>
      </c>
      <c r="AC273" t="n">
        <v>0.146301091</v>
      </c>
      <c r="AD273" t="n">
        <v>0.354522324</v>
      </c>
      <c r="AE273" t="n">
        <v>1.54604019</v>
      </c>
      <c r="AF273" t="n">
        <v>0.761630954</v>
      </c>
      <c r="AG273" t="n">
        <v>-0.6401036450000001</v>
      </c>
      <c r="AH273" t="n">
        <v>1.53949436</v>
      </c>
      <c r="AI273" t="n">
        <v>0.550852366</v>
      </c>
      <c r="AJ273" t="n">
        <v>0.59541208</v>
      </c>
      <c r="AK273" t="n">
        <v>-0.218483034</v>
      </c>
      <c r="AL273" t="n">
        <v>0.383700821</v>
      </c>
      <c r="AM273" t="n">
        <v>0.807043195</v>
      </c>
      <c r="AN273" t="n">
        <v>1.633100163</v>
      </c>
      <c r="AO273" t="n">
        <v>0.644840704</v>
      </c>
      <c r="AP273" t="n">
        <v>-1.017222508</v>
      </c>
      <c r="AQ273" t="n">
        <v>1.908954993</v>
      </c>
      <c r="AR273" t="n">
        <v>0.450577928</v>
      </c>
      <c r="AS273" t="n">
        <v>1.416472949</v>
      </c>
      <c r="AT273" t="n">
        <v>1.890749754</v>
      </c>
      <c r="AU273" t="n">
        <v>0.813313626</v>
      </c>
      <c r="AV273" t="n">
        <v>0.722352926</v>
      </c>
    </row>
    <row r="274">
      <c r="A274" t="inlineStr">
        <is>
          <t>2015-Q2</t>
        </is>
      </c>
      <c r="B274" s="87" t="n">
        <v>42186</v>
      </c>
      <c r="C274" t="n">
        <v>2.306286249</v>
      </c>
      <c r="D274" t="n">
        <v>0.082886523</v>
      </c>
      <c r="E274" t="n">
        <v>0.19346195</v>
      </c>
      <c r="F274" t="n">
        <v>0.671848114</v>
      </c>
      <c r="G274" t="n">
        <v>-2.274703708</v>
      </c>
      <c r="H274" t="n">
        <v>-0.272172083</v>
      </c>
      <c r="I274" t="n">
        <v>0.456960987</v>
      </c>
      <c r="J274" t="n">
        <v>0.926249085</v>
      </c>
      <c r="K274" t="n">
        <v>2</v>
      </c>
      <c r="L274" t="n">
        <v>1.358044135</v>
      </c>
      <c r="M274" t="n">
        <v>0.73714629</v>
      </c>
      <c r="N274" t="n">
        <v>0.467773075</v>
      </c>
      <c r="O274" t="n">
        <v>0.464263</v>
      </c>
      <c r="P274" t="n">
        <v>0.467558</v>
      </c>
      <c r="Q274" t="n">
        <v>1.079096045</v>
      </c>
      <c r="R274" t="n">
        <v>1.972412681</v>
      </c>
      <c r="S274" t="n">
        <v>0.494199</v>
      </c>
      <c r="T274" t="n">
        <v>1.521684969</v>
      </c>
      <c r="U274" t="n">
        <v>0.136058235</v>
      </c>
      <c r="V274" t="n">
        <v>0.454765</v>
      </c>
      <c r="W274" t="n">
        <v>0.632878074</v>
      </c>
      <c r="X274" t="n">
        <v>-0.093679423</v>
      </c>
      <c r="Y274" t="n">
        <v>0.111745227</v>
      </c>
      <c r="Z274" t="n">
        <v>2.14175</v>
      </c>
      <c r="AA274" t="n">
        <v>-2.594462701</v>
      </c>
      <c r="AB274" t="n">
        <v>5.900596969</v>
      </c>
      <c r="AC274" t="n">
        <v>0.089049244</v>
      </c>
      <c r="AD274" t="n">
        <v>0.383500884</v>
      </c>
      <c r="AE274" t="n">
        <v>0.140283298</v>
      </c>
      <c r="AF274" t="n">
        <v>0.486137139</v>
      </c>
      <c r="AG274" t="n">
        <v>0.597307311</v>
      </c>
      <c r="AH274" t="n">
        <v>1.49734325</v>
      </c>
      <c r="AI274" t="n">
        <v>1.213446071</v>
      </c>
      <c r="AJ274" t="n">
        <v>0.308081081</v>
      </c>
      <c r="AK274" t="n">
        <v>0.5283264640000001</v>
      </c>
      <c r="AL274" t="n">
        <v>0.811126066</v>
      </c>
      <c r="AM274" t="n">
        <v>0.550437371</v>
      </c>
      <c r="AN274" t="n">
        <v>0.553229277</v>
      </c>
      <c r="AO274" t="n">
        <v>0.297630209</v>
      </c>
      <c r="AP274" t="n">
        <v>-0.669807617</v>
      </c>
      <c r="AQ274" t="n">
        <v>1.233239582</v>
      </c>
      <c r="AR274" t="n">
        <v>0.810320582</v>
      </c>
      <c r="AS274" t="n">
        <v>1.012524392</v>
      </c>
      <c r="AT274" t="n">
        <v>1.523769405</v>
      </c>
      <c r="AU274" t="n">
        <v>0.580001432</v>
      </c>
      <c r="AV274" t="n">
        <v>-0.844263371</v>
      </c>
    </row>
    <row r="275">
      <c r="A275" t="inlineStr">
        <is>
          <t>2015-Q3</t>
        </is>
      </c>
      <c r="B275" s="87" t="n">
        <v>42278</v>
      </c>
      <c r="C275" t="n">
        <v>-0.045693179</v>
      </c>
      <c r="D275" t="n">
        <v>1.014519009</v>
      </c>
      <c r="E275" t="n">
        <v>0.64808274</v>
      </c>
      <c r="F275" t="n">
        <v>0.191087084</v>
      </c>
      <c r="G275" t="n">
        <v>-1.55620786</v>
      </c>
      <c r="H275" t="n">
        <v>0.353701829</v>
      </c>
      <c r="I275" t="n">
        <v>0.626769536</v>
      </c>
      <c r="J275" t="n">
        <v>-0.349184768</v>
      </c>
      <c r="K275" t="n">
        <v>1.7</v>
      </c>
      <c r="L275" t="n">
        <v>1.210334064</v>
      </c>
      <c r="M275" t="n">
        <v>0.451081633</v>
      </c>
      <c r="N275" t="n">
        <v>0.301652901</v>
      </c>
      <c r="O275" t="n">
        <v>0.416158</v>
      </c>
      <c r="P275" t="n">
        <v>0.421958</v>
      </c>
      <c r="Q275" t="n">
        <v>0.905855831</v>
      </c>
      <c r="R275" t="n">
        <v>0.744767184</v>
      </c>
      <c r="S275" t="n">
        <v>0.525505</v>
      </c>
      <c r="T275" t="n">
        <v>-0.009438771</v>
      </c>
      <c r="U275" t="n">
        <v>0.240513173</v>
      </c>
      <c r="V275" t="n">
        <v>0.299659</v>
      </c>
      <c r="W275" t="n">
        <v>0.430890009</v>
      </c>
      <c r="X275" t="n">
        <v>-1.860252948</v>
      </c>
      <c r="Y275" t="n">
        <v>0.750792646</v>
      </c>
      <c r="Z275" t="n">
        <v>1.84622</v>
      </c>
      <c r="AA275" t="n">
        <v>3.541110751</v>
      </c>
      <c r="AB275" t="n">
        <v>-0.279176589</v>
      </c>
      <c r="AC275" t="n">
        <v>0.299283324</v>
      </c>
      <c r="AD275" t="n">
        <v>0.175100738</v>
      </c>
      <c r="AE275" t="n">
        <v>0.09991866000000001</v>
      </c>
      <c r="AF275" t="n">
        <v>1.46130046</v>
      </c>
      <c r="AG275" t="n">
        <v>-0.534142827</v>
      </c>
      <c r="AH275" t="n">
        <v>0.709486651</v>
      </c>
      <c r="AI275" t="n">
        <v>1.169609085</v>
      </c>
      <c r="AJ275" t="n">
        <v>0.344295987</v>
      </c>
      <c r="AK275" t="n">
        <v>1.167740813</v>
      </c>
      <c r="AL275" t="n">
        <v>0.941666518</v>
      </c>
      <c r="AM275" t="n">
        <v>0.510613065</v>
      </c>
      <c r="AN275" t="n">
        <v>1.342371801</v>
      </c>
      <c r="AO275" t="n">
        <v>0.113772037</v>
      </c>
      <c r="AP275" t="n">
        <v>0.193525875</v>
      </c>
      <c r="AQ275" t="n">
        <v>1.149165499</v>
      </c>
      <c r="AR275" t="n">
        <v>0.606897508</v>
      </c>
      <c r="AS275" t="n">
        <v>1.369036457</v>
      </c>
      <c r="AT275" t="n">
        <v>1.401513902</v>
      </c>
      <c r="AU275" t="n">
        <v>0.323372673</v>
      </c>
      <c r="AV275" t="n">
        <v>0.450424009</v>
      </c>
    </row>
    <row r="276">
      <c r="A276" t="inlineStr">
        <is>
          <t>2015-Q4</t>
        </is>
      </c>
      <c r="B276" s="87" t="n">
        <v>42370</v>
      </c>
      <c r="C276" t="n">
        <v>-1.135175059</v>
      </c>
      <c r="D276" t="n">
        <v>0.614468841</v>
      </c>
      <c r="E276" t="n">
        <v>0.191846144</v>
      </c>
      <c r="F276" t="n">
        <v>0.416906268</v>
      </c>
      <c r="G276" t="n">
        <v>-0.970873756</v>
      </c>
      <c r="H276" t="n">
        <v>0.074877376</v>
      </c>
      <c r="I276" t="n">
        <v>0.507671503</v>
      </c>
      <c r="J276" t="n">
        <v>0.6340537590000001</v>
      </c>
      <c r="K276" t="n">
        <v>1.6</v>
      </c>
      <c r="L276" t="n">
        <v>0.59351304</v>
      </c>
      <c r="M276" t="n">
        <v>0.439079962</v>
      </c>
      <c r="N276" t="n">
        <v>0.222825124</v>
      </c>
      <c r="O276" t="n">
        <v>0.463719</v>
      </c>
      <c r="P276" t="n">
        <v>0.45608</v>
      </c>
      <c r="Q276" t="n">
        <v>0.973057209</v>
      </c>
      <c r="R276" t="n">
        <v>-0.185242583</v>
      </c>
      <c r="S276" t="n">
        <v>0.486691</v>
      </c>
      <c r="T276" t="n">
        <v>0.560715904</v>
      </c>
      <c r="U276" t="n">
        <v>0.18445317</v>
      </c>
      <c r="V276" t="n">
        <v>0.200793</v>
      </c>
      <c r="W276" t="n">
        <v>0.738668699</v>
      </c>
      <c r="X276" t="n">
        <v>1.750624357</v>
      </c>
      <c r="Y276" t="n">
        <v>1.051035382</v>
      </c>
      <c r="Z276" t="n">
        <v>2.03253</v>
      </c>
      <c r="AA276" t="n">
        <v>1.137606887</v>
      </c>
      <c r="AB276" t="n">
        <v>0.947205551</v>
      </c>
      <c r="AC276" t="n">
        <v>1.040179788</v>
      </c>
      <c r="AD276" t="n">
        <v>0.516384977</v>
      </c>
      <c r="AE276" t="n">
        <v>-0.162145428</v>
      </c>
      <c r="AF276" t="n">
        <v>0.690195609</v>
      </c>
      <c r="AG276" t="n">
        <v>0.614850659</v>
      </c>
      <c r="AH276" t="n">
        <v>-0.2003231</v>
      </c>
      <c r="AI276" t="n">
        <v>-0.223994774</v>
      </c>
      <c r="AJ276" t="n">
        <v>0.016409278</v>
      </c>
      <c r="AK276" t="n">
        <v>-0.875165027</v>
      </c>
      <c r="AL276" t="n">
        <v>1.040454273</v>
      </c>
      <c r="AM276" t="n">
        <v>0.311878612</v>
      </c>
      <c r="AN276" t="n">
        <v>0.813494072</v>
      </c>
      <c r="AO276" t="n">
        <v>0.479259937</v>
      </c>
      <c r="AP276" t="n">
        <v>-0.257791317</v>
      </c>
      <c r="AQ276" t="n">
        <v>0.724506261</v>
      </c>
      <c r="AR276" t="n">
        <v>-0.008795766999999999</v>
      </c>
      <c r="AS276" t="n">
        <v>0.759024739</v>
      </c>
      <c r="AT276" t="n">
        <v>1.166866867</v>
      </c>
      <c r="AU276" t="n">
        <v>0.146234347</v>
      </c>
      <c r="AV276" t="n">
        <v>0.433466201</v>
      </c>
    </row>
    <row r="277">
      <c r="A277" t="inlineStr">
        <is>
          <t>2016-Q1</t>
        </is>
      </c>
      <c r="B277" s="87" t="n">
        <v>42461</v>
      </c>
      <c r="C277" t="n">
        <v>-0.891600033</v>
      </c>
      <c r="D277" t="n">
        <v>0.9041909809999999</v>
      </c>
      <c r="E277" t="n">
        <v>0.771718385</v>
      </c>
      <c r="F277" t="n">
        <v>0.057265569</v>
      </c>
      <c r="G277" t="n">
        <v>-1.379439494</v>
      </c>
      <c r="H277" t="n">
        <v>0.54850084</v>
      </c>
      <c r="I277" t="n">
        <v>0.364218725</v>
      </c>
      <c r="J277" t="n">
        <v>1.191196107</v>
      </c>
      <c r="K277" t="n">
        <v>1.4</v>
      </c>
      <c r="L277" t="n">
        <v>0.157393173</v>
      </c>
      <c r="M277" t="n">
        <v>0.839568541</v>
      </c>
      <c r="N277" t="n">
        <v>1.152059046</v>
      </c>
      <c r="O277" t="n">
        <v>0.552664</v>
      </c>
      <c r="P277" t="n">
        <v>0.561061</v>
      </c>
      <c r="Q277" t="n">
        <v>0.680244742</v>
      </c>
      <c r="R277" t="n">
        <v>1.623670307</v>
      </c>
      <c r="S277" t="n">
        <v>0.500807</v>
      </c>
      <c r="T277" t="n">
        <v>1.233455365</v>
      </c>
      <c r="U277" t="n">
        <v>0.642068556</v>
      </c>
      <c r="V277" t="n">
        <v>0.608749</v>
      </c>
      <c r="W277" t="n">
        <v>0.365381448</v>
      </c>
      <c r="X277" t="n">
        <v>-0.978745924</v>
      </c>
      <c r="Y277" t="n">
        <v>-0.421273825</v>
      </c>
      <c r="Z277" t="n">
        <v>2.90241</v>
      </c>
      <c r="AA277" t="n">
        <v>-3.57100001</v>
      </c>
      <c r="AB277" t="n">
        <v>-2.656924295</v>
      </c>
      <c r="AC277" t="n">
        <v>0.849768933</v>
      </c>
      <c r="AD277" t="n">
        <v>0.377990299</v>
      </c>
      <c r="AE277" t="n">
        <v>0.73541277</v>
      </c>
      <c r="AF277" t="n">
        <v>0.272629303</v>
      </c>
      <c r="AG277" t="n">
        <v>3.112518915</v>
      </c>
      <c r="AH277" t="n">
        <v>1.910253677</v>
      </c>
      <c r="AI277" t="n">
        <v>0.583024053</v>
      </c>
      <c r="AJ277" t="n">
        <v>0.918849759</v>
      </c>
      <c r="AK277" t="n">
        <v>0.495624714</v>
      </c>
      <c r="AL277" t="n">
        <v>1.137950293</v>
      </c>
      <c r="AM277" t="n">
        <v>0.54644146</v>
      </c>
      <c r="AN277" t="n">
        <v>-0.216483167</v>
      </c>
      <c r="AO277" t="n">
        <v>0.46679188</v>
      </c>
      <c r="AP277" t="n">
        <v>0.190057524</v>
      </c>
      <c r="AQ277" t="n">
        <v>-0.00600301</v>
      </c>
      <c r="AR277" t="n">
        <v>1.143785821</v>
      </c>
      <c r="AS277" t="n">
        <v>-0.09740905699999999</v>
      </c>
      <c r="AT277" t="n">
        <v>0.361537968</v>
      </c>
      <c r="AU277" t="n">
        <v>0.589179869</v>
      </c>
      <c r="AV277" t="n">
        <v>0.238864308</v>
      </c>
    </row>
    <row r="278">
      <c r="A278" t="inlineStr">
        <is>
          <t>2016-Q2</t>
        </is>
      </c>
      <c r="B278" s="87" t="n">
        <v>42552</v>
      </c>
      <c r="C278" t="n">
        <v>-1.627126693</v>
      </c>
      <c r="D278" t="n">
        <v>0.62711483</v>
      </c>
      <c r="E278" t="n">
        <v>0.26820931</v>
      </c>
      <c r="F278" t="n">
        <v>0.549434826</v>
      </c>
      <c r="G278" t="n">
        <v>0.312533564</v>
      </c>
      <c r="H278" t="n">
        <v>-0.491711724</v>
      </c>
      <c r="I278" t="n">
        <v>0.651695026</v>
      </c>
      <c r="J278" t="n">
        <v>-0.480814194</v>
      </c>
      <c r="K278" t="n">
        <v>1.9</v>
      </c>
      <c r="L278" t="n">
        <v>0.331402352</v>
      </c>
      <c r="M278" t="n">
        <v>0.443392669</v>
      </c>
      <c r="N278" t="n">
        <v>1.352637774</v>
      </c>
      <c r="O278" t="n">
        <v>0.232004</v>
      </c>
      <c r="P278" t="n">
        <v>0.232199</v>
      </c>
      <c r="Q278" t="n">
        <v>0.414833758</v>
      </c>
      <c r="R278" t="n">
        <v>-0.178400844</v>
      </c>
      <c r="S278" t="n">
        <v>0.304124</v>
      </c>
      <c r="T278" t="n">
        <v>0.155780572</v>
      </c>
      <c r="U278" t="n">
        <v>-0.3823133</v>
      </c>
      <c r="V278" t="n">
        <v>0.183276</v>
      </c>
      <c r="W278" t="n">
        <v>0.629457625</v>
      </c>
      <c r="X278" t="n">
        <v>-0.204905817</v>
      </c>
      <c r="Y278" t="n">
        <v>1.244235726</v>
      </c>
      <c r="Z278" t="n">
        <v>1.78091</v>
      </c>
      <c r="AA278" t="n">
        <v>1.371424268</v>
      </c>
      <c r="AB278" t="n">
        <v>6.637651722</v>
      </c>
      <c r="AC278" t="n">
        <v>2.216630475</v>
      </c>
      <c r="AD278" t="n">
        <v>0.160116386</v>
      </c>
      <c r="AE278" t="n">
        <v>-0.156923089</v>
      </c>
      <c r="AF278" t="n">
        <v>1.232503808</v>
      </c>
      <c r="AG278" t="n">
        <v>1.344132214</v>
      </c>
      <c r="AH278" t="n">
        <v>-0.921788663</v>
      </c>
      <c r="AI278" t="n">
        <v>0.43396359</v>
      </c>
      <c r="AJ278" t="n">
        <v>0.235494635</v>
      </c>
      <c r="AK278" t="n">
        <v>-0.031783269</v>
      </c>
      <c r="AL278" t="n">
        <v>0.9422240629999999</v>
      </c>
      <c r="AM278" t="n">
        <v>0.363388928</v>
      </c>
      <c r="AN278" t="n">
        <v>1.467992468</v>
      </c>
      <c r="AO278" t="n">
        <v>0.299555382</v>
      </c>
      <c r="AP278" t="n">
        <v>0.053848741</v>
      </c>
      <c r="AQ278" t="n">
        <v>0.248944152</v>
      </c>
      <c r="AR278" t="n">
        <v>1.308580737</v>
      </c>
      <c r="AS278" t="n">
        <v>0.092659592</v>
      </c>
      <c r="AT278" t="n">
        <v>1.430886402</v>
      </c>
      <c r="AU278" t="n">
        <v>0.302388807</v>
      </c>
      <c r="AV278" t="n">
        <v>0.096214305</v>
      </c>
    </row>
    <row r="279">
      <c r="A279" t="inlineStr">
        <is>
          <t>2016-Q3</t>
        </is>
      </c>
      <c r="B279" s="87" t="n">
        <v>42644</v>
      </c>
      <c r="C279" t="n">
        <v>0.375182433</v>
      </c>
      <c r="D279" t="n">
        <v>0.075654189</v>
      </c>
      <c r="E279" t="n">
        <v>0.486068463</v>
      </c>
      <c r="F279" t="n">
        <v>0.175503505</v>
      </c>
      <c r="G279" t="n">
        <v>-0.481203727</v>
      </c>
      <c r="H279" t="n">
        <v>1.031213682</v>
      </c>
      <c r="I279" t="n">
        <v>0.702839275</v>
      </c>
      <c r="J279" t="n">
        <v>0.653920557</v>
      </c>
      <c r="K279" t="n">
        <v>1.7</v>
      </c>
      <c r="L279" t="n">
        <v>0.896404033</v>
      </c>
      <c r="M279" t="n">
        <v>0.255048728</v>
      </c>
      <c r="N279" t="n">
        <v>0.848381829</v>
      </c>
      <c r="O279" t="n">
        <v>0.481575</v>
      </c>
      <c r="P279" t="n">
        <v>0.481679</v>
      </c>
      <c r="Q279" t="n">
        <v>0.856627103</v>
      </c>
      <c r="R279" t="n">
        <v>1.084935492</v>
      </c>
      <c r="S279" t="n">
        <v>0.49886</v>
      </c>
      <c r="T279" t="n">
        <v>1.129504129</v>
      </c>
      <c r="U279" t="n">
        <v>0.376043475</v>
      </c>
      <c r="V279" t="n">
        <v>0.493323</v>
      </c>
      <c r="W279" t="n">
        <v>0.441599466</v>
      </c>
      <c r="X279" t="n">
        <v>0.328937296</v>
      </c>
      <c r="Y279" t="n">
        <v>0.507352016</v>
      </c>
      <c r="Z279" t="n">
        <v>2.29157</v>
      </c>
      <c r="AA279" t="n">
        <v>0.41538953</v>
      </c>
      <c r="AB279" t="n">
        <v>2.57936154</v>
      </c>
      <c r="AC279" t="n">
        <v>1.062645093</v>
      </c>
      <c r="AD279" t="n">
        <v>0.530086162</v>
      </c>
      <c r="AE279" t="n">
        <v>0.202677412</v>
      </c>
      <c r="AF279" t="n">
        <v>0.408153887</v>
      </c>
      <c r="AG279" t="n">
        <v>0.681620266</v>
      </c>
      <c r="AH279" t="n">
        <v>0.150321837</v>
      </c>
      <c r="AI279" t="n">
        <v>0.909762422</v>
      </c>
      <c r="AJ279" t="n">
        <v>1.11644866</v>
      </c>
      <c r="AK279" t="n">
        <v>-0.307016018</v>
      </c>
      <c r="AL279" t="n">
        <v>0.907785414</v>
      </c>
      <c r="AM279" t="n">
        <v>0.402241511</v>
      </c>
      <c r="AN279" t="n">
        <v>0.567784264</v>
      </c>
      <c r="AO279" t="n">
        <v>1.174094576</v>
      </c>
      <c r="AP279" t="n">
        <v>0.100716464</v>
      </c>
      <c r="AQ279" t="n">
        <v>0.364878188</v>
      </c>
      <c r="AR279" t="n">
        <v>0.916847961</v>
      </c>
      <c r="AS279" t="n">
        <v>0.267964697</v>
      </c>
      <c r="AT279" t="n">
        <v>-2.867673426</v>
      </c>
      <c r="AU279" t="n">
        <v>0.601115379</v>
      </c>
      <c r="AV279" t="n">
        <v>-0.012183122</v>
      </c>
    </row>
    <row r="280">
      <c r="A280" t="inlineStr">
        <is>
          <t>2016-Q4</t>
        </is>
      </c>
      <c r="B280" s="87" t="n">
        <v>42736</v>
      </c>
      <c r="C280" t="n">
        <v>0.593827976</v>
      </c>
      <c r="D280" t="n">
        <v>1.071096679</v>
      </c>
      <c r="E280" t="n">
        <v>0.930670858</v>
      </c>
      <c r="F280" t="n">
        <v>0.513277018</v>
      </c>
      <c r="G280" t="n">
        <v>-0.129641669</v>
      </c>
      <c r="H280" t="n">
        <v>0.561483087</v>
      </c>
      <c r="I280" t="n">
        <v>0.176990902</v>
      </c>
      <c r="J280" t="n">
        <v>-0.172619463</v>
      </c>
      <c r="K280" t="n">
        <v>1.6</v>
      </c>
      <c r="L280" t="n">
        <v>0.771382897</v>
      </c>
      <c r="M280" t="n">
        <v>0.36203717</v>
      </c>
      <c r="N280" t="n">
        <v>0.720496974</v>
      </c>
      <c r="O280" t="n">
        <v>0.757462</v>
      </c>
      <c r="P280" t="n">
        <v>0.760181</v>
      </c>
      <c r="Q280" t="n">
        <v>0.543757017</v>
      </c>
      <c r="R280" t="n">
        <v>1.208821928</v>
      </c>
      <c r="S280" t="n">
        <v>0.8237409999999999</v>
      </c>
      <c r="T280" t="n">
        <v>0.307602168</v>
      </c>
      <c r="U280" t="n">
        <v>0.593467701</v>
      </c>
      <c r="V280" t="n">
        <v>0.445007</v>
      </c>
      <c r="W280" t="n">
        <v>0.64995375</v>
      </c>
      <c r="X280" t="n">
        <v>0.632751961</v>
      </c>
      <c r="Y280" t="n">
        <v>0.8651836899999999</v>
      </c>
      <c r="Z280" t="n">
        <v>1.36384</v>
      </c>
      <c r="AA280" t="n">
        <v>10.99801656</v>
      </c>
      <c r="AB280" t="n">
        <v>2.645431284</v>
      </c>
      <c r="AC280" t="n">
        <v>1.248760721</v>
      </c>
      <c r="AD280" t="n">
        <v>0.306783636</v>
      </c>
      <c r="AE280" t="n">
        <v>0.159452799</v>
      </c>
      <c r="AF280" t="n">
        <v>0.5997012</v>
      </c>
      <c r="AG280" t="n">
        <v>0.470280921</v>
      </c>
      <c r="AH280" t="n">
        <v>1.132791319</v>
      </c>
      <c r="AI280" t="n">
        <v>1.180365412</v>
      </c>
      <c r="AJ280" t="n">
        <v>0.8373942170000001</v>
      </c>
      <c r="AK280" t="n">
        <v>1.339433996</v>
      </c>
      <c r="AL280" t="n">
        <v>0.350698856</v>
      </c>
      <c r="AM280" t="n">
        <v>0.811814542</v>
      </c>
      <c r="AN280" t="n">
        <v>1.96124751</v>
      </c>
      <c r="AO280" t="n">
        <v>0.931975429</v>
      </c>
      <c r="AP280" t="n">
        <v>0.825105938</v>
      </c>
      <c r="AQ280" t="n">
        <v>0.599332211</v>
      </c>
      <c r="AR280" t="n">
        <v>0.757155856</v>
      </c>
      <c r="AS280" t="n">
        <v>0.926482126</v>
      </c>
      <c r="AT280" t="n">
        <v>5.509611596</v>
      </c>
      <c r="AU280" t="n">
        <v>0.496888796</v>
      </c>
      <c r="AV280" t="n">
        <v>0.08491357400000001</v>
      </c>
    </row>
    <row r="281">
      <c r="A281" t="inlineStr">
        <is>
          <t>2017-Q1</t>
        </is>
      </c>
      <c r="B281" s="87" t="n">
        <v>42826</v>
      </c>
      <c r="C281" t="n">
        <v>0.875574591</v>
      </c>
      <c r="D281" t="n">
        <v>0.319432047</v>
      </c>
      <c r="E281" t="n">
        <v>0.333766771</v>
      </c>
      <c r="F281" t="n">
        <v>0.651981383</v>
      </c>
      <c r="G281" t="n">
        <v>0.970773358</v>
      </c>
      <c r="H281" t="n">
        <v>1.08691958</v>
      </c>
      <c r="I281" t="n">
        <v>0.127721893</v>
      </c>
      <c r="J281" t="n">
        <v>-0.570588122</v>
      </c>
      <c r="K281" t="n">
        <v>1.8</v>
      </c>
      <c r="L281" t="n">
        <v>1.650204951</v>
      </c>
      <c r="M281" t="n">
        <v>1.204045529</v>
      </c>
      <c r="N281" t="n">
        <v>0.6543906269999999</v>
      </c>
      <c r="O281" t="n">
        <v>0.6792280000000001</v>
      </c>
      <c r="P281" t="n">
        <v>0.682003</v>
      </c>
      <c r="Q281" t="n">
        <v>0.78518249</v>
      </c>
      <c r="R281" t="n">
        <v>2.071119434</v>
      </c>
      <c r="S281" t="n">
        <v>0.74543</v>
      </c>
      <c r="T281" t="n">
        <v>1.020370911</v>
      </c>
      <c r="U281" t="n">
        <v>0.655143892</v>
      </c>
      <c r="V281" t="n">
        <v>0.640005</v>
      </c>
      <c r="W281" t="n">
        <v>0.73915971</v>
      </c>
      <c r="X281" t="n">
        <v>-0.09881771</v>
      </c>
      <c r="Y281" t="n">
        <v>1.412362103</v>
      </c>
      <c r="Z281" t="n">
        <v>0.7997</v>
      </c>
      <c r="AA281" t="n">
        <v>-4.353284106</v>
      </c>
      <c r="AB281" t="n">
        <v>-3.831799453</v>
      </c>
      <c r="AC281" t="n">
        <v>0.185687701</v>
      </c>
      <c r="AD281" t="n">
        <v>0.518184601</v>
      </c>
      <c r="AE281" t="n">
        <v>0.791261517</v>
      </c>
      <c r="AF281" t="n">
        <v>0.977751925</v>
      </c>
      <c r="AG281" t="n">
        <v>-1.242467061</v>
      </c>
      <c r="AH281" t="n">
        <v>1.54318996</v>
      </c>
      <c r="AI281" t="n">
        <v>0.476021125</v>
      </c>
      <c r="AJ281" t="n">
        <v>0.524339254</v>
      </c>
      <c r="AK281" t="n">
        <v>1.133149186</v>
      </c>
      <c r="AL281" t="n">
        <v>1.078808752</v>
      </c>
      <c r="AM281" t="n">
        <v>0.63250244</v>
      </c>
      <c r="AN281" t="n">
        <v>1.191415982</v>
      </c>
      <c r="AO281" t="n">
        <v>1.170816047</v>
      </c>
      <c r="AP281" t="n">
        <v>0.201684982</v>
      </c>
      <c r="AQ281" t="n">
        <v>0.787870127</v>
      </c>
      <c r="AR281" t="n">
        <v>1.751142267</v>
      </c>
      <c r="AS281" t="n">
        <v>0.423232142</v>
      </c>
      <c r="AT281" t="n">
        <v>1.368865306</v>
      </c>
      <c r="AU281" t="n">
        <v>0.429663114</v>
      </c>
      <c r="AV281" t="n">
        <v>0.472126567</v>
      </c>
    </row>
    <row r="282">
      <c r="A282" t="inlineStr">
        <is>
          <t>2017-Q2</t>
        </is>
      </c>
      <c r="B282" s="87" t="n">
        <v>42917</v>
      </c>
      <c r="C282" t="n">
        <v>1.085450211</v>
      </c>
      <c r="D282" t="n">
        <v>0.6057298209999999</v>
      </c>
      <c r="E282" t="n">
        <v>0.673769172</v>
      </c>
      <c r="F282" t="n">
        <v>0.241505195</v>
      </c>
      <c r="G282" t="n">
        <v>0.783734214</v>
      </c>
      <c r="H282" t="n">
        <v>1.023044213</v>
      </c>
      <c r="I282" t="n">
        <v>0.139125297</v>
      </c>
      <c r="J282" t="n">
        <v>1.258652605</v>
      </c>
      <c r="K282" t="n">
        <v>1.7</v>
      </c>
      <c r="L282" t="n">
        <v>2.479823267</v>
      </c>
      <c r="M282" t="n">
        <v>0.847700291</v>
      </c>
      <c r="N282" t="n">
        <v>1.117777678</v>
      </c>
      <c r="O282" t="n">
        <v>0.787712</v>
      </c>
      <c r="P282" t="n">
        <v>0.783984</v>
      </c>
      <c r="Q282" t="n">
        <v>1.02435951</v>
      </c>
      <c r="R282" t="n">
        <v>1.757574934</v>
      </c>
      <c r="S282" t="n">
        <v>0.855542</v>
      </c>
      <c r="T282" t="n">
        <v>1.273873841</v>
      </c>
      <c r="U282" t="n">
        <v>0.858241189</v>
      </c>
      <c r="V282" t="n">
        <v>0.569933</v>
      </c>
      <c r="W282" t="n">
        <v>0.536199019</v>
      </c>
      <c r="X282" t="n">
        <v>0.40356455</v>
      </c>
      <c r="Y282" t="n">
        <v>1.166145952</v>
      </c>
      <c r="Z282" t="n">
        <v>2.05869</v>
      </c>
      <c r="AA282" t="n">
        <v>1.784607653</v>
      </c>
      <c r="AB282" t="n">
        <v>3.045936625</v>
      </c>
      <c r="AC282" t="n">
        <v>1.327934495</v>
      </c>
      <c r="AD282" t="n">
        <v>0.430463389</v>
      </c>
      <c r="AE282" t="n">
        <v>0.360081694</v>
      </c>
      <c r="AF282" t="n">
        <v>0.759515901</v>
      </c>
      <c r="AG282" t="n">
        <v>1.291063188</v>
      </c>
      <c r="AH282" t="n">
        <v>0.9476223</v>
      </c>
      <c r="AI282" t="n">
        <v>0.320755939</v>
      </c>
      <c r="AJ282" t="n">
        <v>0.879512351</v>
      </c>
      <c r="AK282" t="n">
        <v>0.96345788</v>
      </c>
      <c r="AL282" t="n">
        <v>1.015516694</v>
      </c>
      <c r="AM282" t="n">
        <v>0.710728618</v>
      </c>
      <c r="AN282" t="n">
        <v>0.972120637</v>
      </c>
      <c r="AO282" t="n">
        <v>0.50524994</v>
      </c>
      <c r="AP282" t="n">
        <v>0.690456285</v>
      </c>
      <c r="AQ282" t="n">
        <v>0.9406232920000001</v>
      </c>
      <c r="AR282" t="n">
        <v>1.219735281</v>
      </c>
      <c r="AS282" t="n">
        <v>1.336539617</v>
      </c>
      <c r="AT282" t="n">
        <v>2.28031882</v>
      </c>
      <c r="AU282" t="n">
        <v>0.503792981</v>
      </c>
      <c r="AV282" t="n">
        <v>0.54530205</v>
      </c>
    </row>
    <row r="283">
      <c r="A283" t="inlineStr">
        <is>
          <t>2017-Q3</t>
        </is>
      </c>
      <c r="B283" s="87" t="n">
        <v>43009</v>
      </c>
      <c r="C283" t="n">
        <v>1.26592741</v>
      </c>
      <c r="D283" t="n">
        <v>0.934344106</v>
      </c>
      <c r="E283" t="n">
        <v>0.640168692</v>
      </c>
      <c r="F283" t="n">
        <v>-0.06443299</v>
      </c>
      <c r="G283" t="n">
        <v>0.386996871</v>
      </c>
      <c r="H283" t="n">
        <v>0.421873021</v>
      </c>
      <c r="I283" t="n">
        <v>0.554681855</v>
      </c>
      <c r="J283" t="n">
        <v>1.925980205</v>
      </c>
      <c r="K283" t="n">
        <v>1.6</v>
      </c>
      <c r="L283" t="n">
        <v>0.835604389</v>
      </c>
      <c r="M283" t="n">
        <v>0.735511417</v>
      </c>
      <c r="N283" t="n">
        <v>-0.366774101</v>
      </c>
      <c r="O283" t="n">
        <v>0.782806</v>
      </c>
      <c r="P283" t="n">
        <v>0.785201</v>
      </c>
      <c r="Q283" t="n">
        <v>0.629616134</v>
      </c>
      <c r="R283" t="n">
        <v>0.351674845</v>
      </c>
      <c r="S283" t="n">
        <v>0.798825</v>
      </c>
      <c r="T283" t="n">
        <v>0.372894662</v>
      </c>
      <c r="U283" t="n">
        <v>0.899705362</v>
      </c>
      <c r="V283" t="n">
        <v>0.757852</v>
      </c>
      <c r="W283" t="n">
        <v>0.515931658</v>
      </c>
      <c r="X283" t="n">
        <v>1.000110992</v>
      </c>
      <c r="Y283" t="n">
        <v>0.943676277</v>
      </c>
      <c r="Z283" t="n">
        <v>1.64816</v>
      </c>
      <c r="AA283" t="n">
        <v>5.271606672</v>
      </c>
      <c r="AB283" t="n">
        <v>0.753577107</v>
      </c>
      <c r="AC283" t="n">
        <v>1.486660312</v>
      </c>
      <c r="AD283" t="n">
        <v>0.438108742</v>
      </c>
      <c r="AE283" t="n">
        <v>0.842225545</v>
      </c>
      <c r="AF283" t="n">
        <v>1.394926941</v>
      </c>
      <c r="AG283" t="n">
        <v>1.087227264</v>
      </c>
      <c r="AH283" t="n">
        <v>0.336633841</v>
      </c>
      <c r="AI283" t="n">
        <v>-0.411307391</v>
      </c>
      <c r="AJ283" t="n">
        <v>0.716517333</v>
      </c>
      <c r="AK283" t="n">
        <v>0.685255721</v>
      </c>
      <c r="AL283" t="n">
        <v>0.739099522</v>
      </c>
      <c r="AM283" t="n">
        <v>0.793521597</v>
      </c>
      <c r="AN283" t="n">
        <v>1.461889002</v>
      </c>
      <c r="AO283" t="n">
        <v>0.694983732</v>
      </c>
      <c r="AP283" t="n">
        <v>0.6794844920000001</v>
      </c>
      <c r="AQ283" t="n">
        <v>0.83449748</v>
      </c>
      <c r="AR283" t="n">
        <v>0.905784186</v>
      </c>
      <c r="AS283" t="n">
        <v>0.864603405</v>
      </c>
      <c r="AT283" t="n">
        <v>1.515918521</v>
      </c>
      <c r="AU283" t="n">
        <v>0.827488715</v>
      </c>
      <c r="AV283" t="n">
        <v>0.183895972</v>
      </c>
    </row>
    <row r="284">
      <c r="A284" t="inlineStr">
        <is>
          <t>2017-Q4</t>
        </is>
      </c>
      <c r="B284" s="87" t="n">
        <v>43101</v>
      </c>
      <c r="C284" t="n">
        <v>0.972707145</v>
      </c>
      <c r="D284" t="n">
        <v>0.48536108</v>
      </c>
      <c r="E284" t="n">
        <v>0.577759763</v>
      </c>
      <c r="F284" t="n">
        <v>0.801726796</v>
      </c>
      <c r="G284" t="n">
        <v>0.514075935</v>
      </c>
      <c r="H284" t="n">
        <v>0.517990679</v>
      </c>
      <c r="I284" t="n">
        <v>1.058988749</v>
      </c>
      <c r="J284" t="n">
        <v>0.684135964</v>
      </c>
      <c r="K284" t="n">
        <v>1.6</v>
      </c>
      <c r="L284" t="n">
        <v>0.813267776</v>
      </c>
      <c r="M284" t="n">
        <v>0.910297803</v>
      </c>
      <c r="N284" t="n">
        <v>0.75496245</v>
      </c>
      <c r="O284" t="n">
        <v>0.806314</v>
      </c>
      <c r="P284" t="n">
        <v>0.804253</v>
      </c>
      <c r="Q284" t="n">
        <v>0.539328503</v>
      </c>
      <c r="R284" t="n">
        <v>1.52559811</v>
      </c>
      <c r="S284" t="n">
        <v>0.814503</v>
      </c>
      <c r="T284" t="n">
        <v>0.647030592</v>
      </c>
      <c r="U284" t="n">
        <v>0.577018064</v>
      </c>
      <c r="V284" t="n">
        <v>0.763557</v>
      </c>
      <c r="W284" t="n">
        <v>0.6273259879999999</v>
      </c>
      <c r="X284" t="n">
        <v>-0.934426461</v>
      </c>
      <c r="Y284" t="n">
        <v>1.420607914</v>
      </c>
      <c r="Z284" t="n">
        <v>1.87847</v>
      </c>
      <c r="AA284" t="n">
        <v>5.164786306</v>
      </c>
      <c r="AB284" t="n">
        <v>2.509083642</v>
      </c>
      <c r="AC284" t="n">
        <v>1.54384928</v>
      </c>
      <c r="AD284" t="n">
        <v>0.537517214</v>
      </c>
      <c r="AE284" t="n">
        <v>0.131531173</v>
      </c>
      <c r="AF284" t="n">
        <v>-0.323549159</v>
      </c>
      <c r="AG284" t="n">
        <v>0.14890373</v>
      </c>
      <c r="AH284" t="n">
        <v>0.606731248</v>
      </c>
      <c r="AI284" t="n">
        <v>1.454779101</v>
      </c>
      <c r="AJ284" t="n">
        <v>0.756847414</v>
      </c>
      <c r="AK284" t="n">
        <v>-0.569701184</v>
      </c>
      <c r="AL284" t="n">
        <v>0.976594557</v>
      </c>
      <c r="AM284" t="n">
        <v>0.820278973</v>
      </c>
      <c r="AN284" t="n">
        <v>1.362533959</v>
      </c>
      <c r="AO284" t="n">
        <v>0.82545085</v>
      </c>
      <c r="AP284" t="n">
        <v>0.020994643</v>
      </c>
      <c r="AQ284" t="n">
        <v>1.190960712</v>
      </c>
      <c r="AR284" t="n">
        <v>2.281488096</v>
      </c>
      <c r="AS284" t="n">
        <v>0.277126728</v>
      </c>
      <c r="AT284" t="n">
        <v>1.882761165</v>
      </c>
      <c r="AU284" t="n">
        <v>1.005660086</v>
      </c>
      <c r="AV284" t="n">
        <v>0.393361099</v>
      </c>
    </row>
    <row r="285">
      <c r="A285" t="inlineStr">
        <is>
          <t>2018-Q1</t>
        </is>
      </c>
      <c r="B285" s="87" t="n">
        <v>43191</v>
      </c>
      <c r="C285" t="n">
        <v>-0.366287192</v>
      </c>
      <c r="D285" t="n">
        <v>0.979355224</v>
      </c>
      <c r="E285" t="n">
        <v>0.780734748</v>
      </c>
      <c r="F285" t="n">
        <v>0.372646625</v>
      </c>
      <c r="G285" t="n">
        <v>0.460941606</v>
      </c>
      <c r="H285" t="n">
        <v>0.875239281</v>
      </c>
      <c r="I285" t="n">
        <v>1.115667949</v>
      </c>
      <c r="J285" t="n">
        <v>1.046364952</v>
      </c>
      <c r="K285" t="n">
        <v>1.9</v>
      </c>
      <c r="L285" t="n">
        <v>0.541692343</v>
      </c>
      <c r="M285" t="n">
        <v>-0.580238828</v>
      </c>
      <c r="N285" t="n">
        <v>0.512055136</v>
      </c>
      <c r="O285" t="n">
        <v>-0.003703</v>
      </c>
      <c r="P285" t="n">
        <v>-0.004254</v>
      </c>
      <c r="Q285" t="n">
        <v>0.427001157</v>
      </c>
      <c r="R285" t="n">
        <v>0.687528878</v>
      </c>
      <c r="S285" t="n">
        <v>0.133385</v>
      </c>
      <c r="T285" t="n">
        <v>0.275516151</v>
      </c>
      <c r="U285" t="n">
        <v>0.024388027</v>
      </c>
      <c r="V285" t="n">
        <v>0.333329</v>
      </c>
      <c r="W285" t="n">
        <v>0.149766105</v>
      </c>
      <c r="X285" t="n">
        <v>1.349223923</v>
      </c>
      <c r="Y285" t="n">
        <v>1.779447996</v>
      </c>
      <c r="Z285" t="n">
        <v>2.1465</v>
      </c>
      <c r="AA285" t="n">
        <v>-0.305229807</v>
      </c>
      <c r="AB285" t="n">
        <v>-0.043045376</v>
      </c>
      <c r="AC285" t="n">
        <v>1.247326559</v>
      </c>
      <c r="AD285" t="n">
        <v>-0.107547494</v>
      </c>
      <c r="AE285" t="n">
        <v>0.065525931</v>
      </c>
      <c r="AF285" t="n">
        <v>1.253680524</v>
      </c>
      <c r="AG285" t="n">
        <v>0.21910067</v>
      </c>
      <c r="AH285" t="n">
        <v>1.280382117</v>
      </c>
      <c r="AI285" t="n">
        <v>1.13746915</v>
      </c>
      <c r="AJ285" t="n">
        <v>0.446157138</v>
      </c>
      <c r="AK285" t="n">
        <v>0.490017833</v>
      </c>
      <c r="AL285" t="n">
        <v>0.846865298</v>
      </c>
      <c r="AM285" t="n">
        <v>0.535435994</v>
      </c>
      <c r="AN285" t="n">
        <v>1.843676883</v>
      </c>
      <c r="AO285" t="n">
        <v>0.727368109</v>
      </c>
      <c r="AP285" t="n">
        <v>1.356032191</v>
      </c>
      <c r="AQ285" t="n">
        <v>0.913183007</v>
      </c>
      <c r="AR285" t="n">
        <v>0.039875155</v>
      </c>
      <c r="AS285" t="n">
        <v>0.299888777</v>
      </c>
      <c r="AT285" t="n">
        <v>1.468743124</v>
      </c>
      <c r="AU285" t="n">
        <v>0.692653861</v>
      </c>
      <c r="AV285" t="n">
        <v>0.529024513</v>
      </c>
    </row>
    <row r="286">
      <c r="A286" t="inlineStr">
        <is>
          <t>2018-Q2</t>
        </is>
      </c>
      <c r="B286" s="87" t="n">
        <v>43282</v>
      </c>
      <c r="C286" t="n">
        <v>-4.495649504</v>
      </c>
      <c r="D286" t="n">
        <v>0.731190533</v>
      </c>
      <c r="E286" t="n">
        <v>0.239713961</v>
      </c>
      <c r="F286" t="n">
        <v>0.452534656</v>
      </c>
      <c r="G286" t="n">
        <v>0.026706667</v>
      </c>
      <c r="H286" t="n">
        <v>0.785105341</v>
      </c>
      <c r="I286" t="n">
        <v>0.948750764</v>
      </c>
      <c r="J286" t="n">
        <v>1.356308549</v>
      </c>
      <c r="K286" t="n">
        <v>1.7</v>
      </c>
      <c r="L286" t="n">
        <v>0.6017117870000001</v>
      </c>
      <c r="M286" t="n">
        <v>0.708886267</v>
      </c>
      <c r="N286" t="n">
        <v>0.502598831</v>
      </c>
      <c r="O286" t="n">
        <v>0.534822</v>
      </c>
      <c r="P286" t="n">
        <v>0.541435</v>
      </c>
      <c r="Q286" t="n">
        <v>0.585880251</v>
      </c>
      <c r="R286" t="n">
        <v>0.869806081</v>
      </c>
      <c r="S286" t="n">
        <v>0.616214</v>
      </c>
      <c r="T286" t="n">
        <v>-0.11800553</v>
      </c>
      <c r="U286" t="n">
        <v>0.444643361</v>
      </c>
      <c r="V286" t="n">
        <v>0.574964</v>
      </c>
      <c r="W286" t="n">
        <v>0.454842112</v>
      </c>
      <c r="X286" t="n">
        <v>0.257661384</v>
      </c>
      <c r="Y286" t="n">
        <v>0.903708375</v>
      </c>
      <c r="Z286" t="n">
        <v>1.30911</v>
      </c>
      <c r="AA286" t="n">
        <v>2.234168179</v>
      </c>
      <c r="AB286" t="n">
        <v>2.434846662</v>
      </c>
      <c r="AC286" t="n">
        <v>0.201931539</v>
      </c>
      <c r="AD286" t="n">
        <v>0.044690859</v>
      </c>
      <c r="AE286" t="n">
        <v>0.330928926</v>
      </c>
      <c r="AF286" t="n">
        <v>0.688244533</v>
      </c>
      <c r="AG286" t="n">
        <v>-0.652452046</v>
      </c>
      <c r="AH286" t="n">
        <v>1.633166417</v>
      </c>
      <c r="AI286" t="n">
        <v>-0.07042085100000001</v>
      </c>
      <c r="AJ286" t="n">
        <v>0.641591534</v>
      </c>
      <c r="AK286" t="n">
        <v>0.300808205</v>
      </c>
      <c r="AL286" t="n">
        <v>1.181457722</v>
      </c>
      <c r="AM286" t="n">
        <v>0.599727305</v>
      </c>
      <c r="AN286" t="n">
        <v>1.399165353</v>
      </c>
      <c r="AO286" t="n">
        <v>0.779540593</v>
      </c>
      <c r="AP286" t="n">
        <v>0.55794654</v>
      </c>
      <c r="AQ286" t="n">
        <v>1.183336902</v>
      </c>
      <c r="AR286" t="n">
        <v>1.345027161</v>
      </c>
      <c r="AS286" t="n">
        <v>1.102800055</v>
      </c>
      <c r="AT286" t="n">
        <v>0.657521797</v>
      </c>
      <c r="AU286" t="n">
        <v>0.6973429209999999</v>
      </c>
      <c r="AV286" t="n">
        <v>-0.248655701</v>
      </c>
    </row>
    <row r="287">
      <c r="A287" t="inlineStr">
        <is>
          <t>2018-Q3</t>
        </is>
      </c>
      <c r="B287" s="87" t="n">
        <v>43374</v>
      </c>
      <c r="C287" t="n">
        <v>-0.241510162</v>
      </c>
      <c r="D287" t="n">
        <v>0.440927257</v>
      </c>
      <c r="E287" t="n">
        <v>0.43148528</v>
      </c>
      <c r="F287" t="n">
        <v>0.390736331</v>
      </c>
      <c r="G287" t="n">
        <v>0.958381718</v>
      </c>
      <c r="H287" t="n">
        <v>0.690122507</v>
      </c>
      <c r="I287" t="n">
        <v>-0.324193875</v>
      </c>
      <c r="J287" t="n">
        <v>-0.362506708</v>
      </c>
      <c r="K287" t="n">
        <v>1.4</v>
      </c>
      <c r="L287" t="n">
        <v>0.71256224</v>
      </c>
      <c r="M287" t="n">
        <v>-0.788365008</v>
      </c>
      <c r="N287" t="n">
        <v>0.602133078</v>
      </c>
      <c r="O287" t="n">
        <v>0.014902</v>
      </c>
      <c r="P287" t="n">
        <v>0.017499</v>
      </c>
      <c r="Q287" t="n">
        <v>0.52041551</v>
      </c>
      <c r="R287" t="n">
        <v>0.862931047</v>
      </c>
      <c r="S287" t="n">
        <v>0.101998</v>
      </c>
      <c r="T287" t="n">
        <v>-0.093457944</v>
      </c>
      <c r="U287" t="n">
        <v>0.451513135</v>
      </c>
      <c r="V287" t="n">
        <v>0.318934</v>
      </c>
      <c r="W287" t="n">
        <v>0.555787083</v>
      </c>
      <c r="X287" t="n">
        <v>-0.150462992</v>
      </c>
      <c r="Y287" t="n">
        <v>1.494804487</v>
      </c>
      <c r="Z287" t="n">
        <v>1.39922</v>
      </c>
      <c r="AA287" t="n">
        <v>0.300023243</v>
      </c>
      <c r="AB287" t="n">
        <v>-1.224601853</v>
      </c>
      <c r="AC287" t="n">
        <v>0.880779816</v>
      </c>
      <c r="AD287" t="n">
        <v>0.126191204</v>
      </c>
      <c r="AE287" t="n">
        <v>-0.51831078</v>
      </c>
      <c r="AF287" t="n">
        <v>0.616673977</v>
      </c>
      <c r="AG287" t="n">
        <v>0.8918768419999999</v>
      </c>
      <c r="AH287" t="n">
        <v>1.181203557</v>
      </c>
      <c r="AI287" t="n">
        <v>0.275459596</v>
      </c>
      <c r="AJ287" t="n">
        <v>0.246974944</v>
      </c>
      <c r="AK287" t="n">
        <v>0.6300102</v>
      </c>
      <c r="AL287" t="n">
        <v>0.041417762</v>
      </c>
      <c r="AM287" t="n">
        <v>0.276021589</v>
      </c>
      <c r="AN287" t="n">
        <v>1.230991089</v>
      </c>
      <c r="AO287" t="n">
        <v>0.525715843</v>
      </c>
      <c r="AP287" t="n">
        <v>0.241368821</v>
      </c>
      <c r="AQ287" t="n">
        <v>0.9962236759999999</v>
      </c>
      <c r="AR287" t="n">
        <v>1.360393815</v>
      </c>
      <c r="AS287" t="n">
        <v>-0.881519297</v>
      </c>
      <c r="AT287" t="n">
        <v>-1.627935541</v>
      </c>
      <c r="AU287" t="n">
        <v>0.722035914</v>
      </c>
      <c r="AV287" t="n">
        <v>1.22982101</v>
      </c>
    </row>
    <row r="288">
      <c r="A288" t="inlineStr">
        <is>
          <t>2018-Q4</t>
        </is>
      </c>
      <c r="B288" s="87" t="n">
        <v>43466</v>
      </c>
      <c r="C288" t="n">
        <v>-1.428099212</v>
      </c>
      <c r="D288" t="n">
        <v>0.235301091</v>
      </c>
      <c r="E288" t="n">
        <v>1.201305782</v>
      </c>
      <c r="F288" t="n">
        <v>0.977159917</v>
      </c>
      <c r="G288" t="n">
        <v>-0.330252833</v>
      </c>
      <c r="H288" t="n">
        <v>0.340869542</v>
      </c>
      <c r="I288" t="n">
        <v>0.282200767</v>
      </c>
      <c r="J288" t="n">
        <v>1.220274918</v>
      </c>
      <c r="K288" t="n">
        <v>1.4</v>
      </c>
      <c r="L288" t="n">
        <v>0.738773543</v>
      </c>
      <c r="M288" t="n">
        <v>0.794634591</v>
      </c>
      <c r="N288" t="n">
        <v>0.499343436</v>
      </c>
      <c r="O288" t="n">
        <v>0.643998</v>
      </c>
      <c r="P288" t="n">
        <v>0.644313</v>
      </c>
      <c r="Q288" t="n">
        <v>0.659258956</v>
      </c>
      <c r="R288" t="n">
        <v>1.107363554</v>
      </c>
      <c r="S288" t="n">
        <v>0.687962</v>
      </c>
      <c r="T288" t="n">
        <v>0.038830153</v>
      </c>
      <c r="U288" t="n">
        <v>0.531944456</v>
      </c>
      <c r="V288" t="n">
        <v>0.256372</v>
      </c>
      <c r="W288" t="n">
        <v>0.257173624</v>
      </c>
      <c r="X288" t="n">
        <v>0.75005196</v>
      </c>
      <c r="Y288" t="n">
        <v>1.043904181</v>
      </c>
      <c r="Z288" t="n">
        <v>1.47864</v>
      </c>
      <c r="AA288" t="n">
        <v>1.061739495</v>
      </c>
      <c r="AB288" t="n">
        <v>2.670331951</v>
      </c>
      <c r="AC288" t="n">
        <v>0.816545001</v>
      </c>
      <c r="AD288" t="n">
        <v>0.291912901</v>
      </c>
      <c r="AE288" t="n">
        <v>-0.114550619</v>
      </c>
      <c r="AF288" t="n">
        <v>0.644164091</v>
      </c>
      <c r="AG288" t="n">
        <v>0.400454613</v>
      </c>
      <c r="AH288" t="n">
        <v>0.755323388</v>
      </c>
      <c r="AI288" t="n">
        <v>-0.047943554</v>
      </c>
      <c r="AJ288" t="n">
        <v>0.413045443</v>
      </c>
      <c r="AK288" t="n">
        <v>0.033674237</v>
      </c>
      <c r="AL288" t="n">
        <v>1.490422127</v>
      </c>
      <c r="AM288" t="n">
        <v>0.222946875</v>
      </c>
      <c r="AN288" t="n">
        <v>0.962913584</v>
      </c>
      <c r="AO288" t="n">
        <v>0.608999034</v>
      </c>
      <c r="AP288" t="n">
        <v>0.663966548</v>
      </c>
      <c r="AQ288" t="n">
        <v>0.511149855</v>
      </c>
      <c r="AR288" t="n">
        <v>1.194564631</v>
      </c>
      <c r="AS288" t="n">
        <v>1.447336655</v>
      </c>
      <c r="AT288" t="n">
        <v>-3.184115348</v>
      </c>
      <c r="AU288" t="n">
        <v>0.181783198</v>
      </c>
      <c r="AV288" t="n">
        <v>0.277494927</v>
      </c>
    </row>
    <row r="289">
      <c r="A289" t="inlineStr">
        <is>
          <t>2019-Q1</t>
        </is>
      </c>
      <c r="B289" s="87" t="n">
        <v>43556</v>
      </c>
      <c r="C289" t="n">
        <v>0.039216118</v>
      </c>
      <c r="D289" t="n">
        <v>0.541636855</v>
      </c>
      <c r="E289" t="n">
        <v>0.515956599</v>
      </c>
      <c r="F289" t="n">
        <v>0.273895575</v>
      </c>
      <c r="G289" t="n">
        <v>0.281583444</v>
      </c>
      <c r="H289" t="n">
        <v>0.07075927</v>
      </c>
      <c r="I289" t="n">
        <v>0.123798899</v>
      </c>
      <c r="J289" t="n">
        <v>-0.335525541</v>
      </c>
      <c r="K289" t="n">
        <v>1.6</v>
      </c>
      <c r="L289" t="n">
        <v>0.911971974</v>
      </c>
      <c r="M289" t="n">
        <v>0.71562698</v>
      </c>
      <c r="N289" t="n">
        <v>-0.218151328</v>
      </c>
      <c r="O289" t="n">
        <v>0.624816</v>
      </c>
      <c r="P289" t="n">
        <v>0.630795</v>
      </c>
      <c r="Q289" t="n">
        <v>0.608861527</v>
      </c>
      <c r="R289" t="n">
        <v>1.526249623</v>
      </c>
      <c r="S289" t="n">
        <v>0.660977</v>
      </c>
      <c r="T289" t="n">
        <v>0.633391556</v>
      </c>
      <c r="U289" t="n">
        <v>0.675553778</v>
      </c>
      <c r="V289" t="n">
        <v>0.489189</v>
      </c>
      <c r="W289" t="n">
        <v>0.630363596</v>
      </c>
      <c r="X289" t="n">
        <v>0.719008521</v>
      </c>
      <c r="Y289" t="n">
        <v>1.95721666</v>
      </c>
      <c r="Z289" t="n">
        <v>1.03182</v>
      </c>
      <c r="AA289" t="n">
        <v>1.527393927</v>
      </c>
      <c r="AB289" t="n">
        <v>-0.619228742</v>
      </c>
      <c r="AC289" t="n">
        <v>1.713848958</v>
      </c>
      <c r="AD289" t="n">
        <v>0.180210713</v>
      </c>
      <c r="AE289" t="n">
        <v>0.1784665</v>
      </c>
      <c r="AF289" t="n">
        <v>-0.067736397</v>
      </c>
      <c r="AG289" t="n">
        <v>0.351834631</v>
      </c>
      <c r="AH289" t="n">
        <v>0.399956128</v>
      </c>
      <c r="AI289" t="n">
        <v>0.047345394</v>
      </c>
      <c r="AJ289" t="n">
        <v>0.697233023</v>
      </c>
      <c r="AK289" t="n">
        <v>-0.443113704</v>
      </c>
      <c r="AL289" t="n">
        <v>0.726422643</v>
      </c>
      <c r="AM289" t="n">
        <v>0.549376965</v>
      </c>
      <c r="AN289" t="n">
        <v>1.427056148</v>
      </c>
      <c r="AO289" t="n">
        <v>0.882987755</v>
      </c>
      <c r="AP289" t="n">
        <v>-0.038077851</v>
      </c>
      <c r="AQ289" t="n">
        <v>0.763512737</v>
      </c>
      <c r="AR289" t="n">
        <v>0.620800495</v>
      </c>
      <c r="AS289" t="n">
        <v>0.436816412</v>
      </c>
      <c r="AT289" t="n">
        <v>1.877789373</v>
      </c>
      <c r="AU289" t="n">
        <v>0.54271061</v>
      </c>
      <c r="AV289" t="n">
        <v>-0.873434491</v>
      </c>
    </row>
    <row r="290">
      <c r="A290" t="inlineStr">
        <is>
          <t>2019-Q2</t>
        </is>
      </c>
      <c r="B290" s="87" t="n">
        <v>43647</v>
      </c>
      <c r="C290" t="n">
        <v>0.874626963</v>
      </c>
      <c r="D290" t="n">
        <v>0.439326484</v>
      </c>
      <c r="E290" t="n">
        <v>-0.433826934</v>
      </c>
      <c r="F290" t="n">
        <v>0.5535305659999999</v>
      </c>
      <c r="G290" t="n">
        <v>0.699287242</v>
      </c>
      <c r="H290" t="n">
        <v>0.988110124</v>
      </c>
      <c r="I290" t="n">
        <v>0.430756246</v>
      </c>
      <c r="J290" t="n">
        <v>1.17590027</v>
      </c>
      <c r="K290" t="n">
        <v>1.4</v>
      </c>
      <c r="L290" t="n">
        <v>0.673307922</v>
      </c>
      <c r="M290" t="n">
        <v>-0.167744144</v>
      </c>
      <c r="N290" t="n">
        <v>1.005162294</v>
      </c>
      <c r="O290" t="n">
        <v>0.309118</v>
      </c>
      <c r="P290" t="n">
        <v>0.310126</v>
      </c>
      <c r="Q290" t="n">
        <v>0.346200217</v>
      </c>
      <c r="R290" t="n">
        <v>0.166900455</v>
      </c>
      <c r="S290" t="n">
        <v>0.377567</v>
      </c>
      <c r="T290" t="n">
        <v>0.866089274</v>
      </c>
      <c r="U290" t="n">
        <v>0.67079689</v>
      </c>
      <c r="V290" t="n">
        <v>0.482529</v>
      </c>
      <c r="W290" t="n">
        <v>0.109963441</v>
      </c>
      <c r="X290" t="n">
        <v>1.067310468</v>
      </c>
      <c r="Y290" t="n">
        <v>0.293932954</v>
      </c>
      <c r="Z290" t="n">
        <v>1.45024</v>
      </c>
      <c r="AA290" t="n">
        <v>1.711177352</v>
      </c>
      <c r="AB290" t="n">
        <v>0.424519614</v>
      </c>
      <c r="AC290" t="n">
        <v>0.404443614</v>
      </c>
      <c r="AD290" t="n">
        <v>0.230446363</v>
      </c>
      <c r="AE290" t="n">
        <v>0.361403069</v>
      </c>
      <c r="AF290" t="n">
        <v>1.092481064</v>
      </c>
      <c r="AG290" t="n">
        <v>1.632471047</v>
      </c>
      <c r="AH290" t="n">
        <v>0.681245595</v>
      </c>
      <c r="AI290" t="n">
        <v>-0.424727753</v>
      </c>
      <c r="AJ290" t="n">
        <v>0.416109748</v>
      </c>
      <c r="AK290" t="n">
        <v>0.859924439</v>
      </c>
      <c r="AL290" t="n">
        <v>0.473520249</v>
      </c>
      <c r="AM290" t="n">
        <v>0.571672219</v>
      </c>
      <c r="AN290" t="n">
        <v>0.909803252</v>
      </c>
      <c r="AO290" t="n">
        <v>0.571008797</v>
      </c>
      <c r="AP290" t="n">
        <v>2.261719554</v>
      </c>
      <c r="AQ290" t="n">
        <v>0.295590973</v>
      </c>
      <c r="AR290" t="n">
        <v>-0.355474374</v>
      </c>
      <c r="AS290" t="n">
        <v>0.658964583</v>
      </c>
      <c r="AT290" t="n">
        <v>2.567800293</v>
      </c>
      <c r="AU290" t="n">
        <v>0.67300894</v>
      </c>
      <c r="AV290" t="n">
        <v>0.452210814</v>
      </c>
    </row>
    <row r="291">
      <c r="A291" t="inlineStr">
        <is>
          <t>2019-Q3</t>
        </is>
      </c>
      <c r="B291" s="87" t="n">
        <v>43739</v>
      </c>
      <c r="C291" t="n">
        <v>0.07792049</v>
      </c>
      <c r="D291" t="n">
        <v>0.699340282</v>
      </c>
      <c r="E291" t="n">
        <v>0.48452106</v>
      </c>
      <c r="F291" t="n">
        <v>0.727681583</v>
      </c>
      <c r="G291" t="n">
        <v>0.011269348</v>
      </c>
      <c r="H291" t="n">
        <v>0.374026535</v>
      </c>
      <c r="I291" t="n">
        <v>0.541367852</v>
      </c>
      <c r="J291" t="n">
        <v>0.166642804</v>
      </c>
      <c r="K291" t="n">
        <v>1.3</v>
      </c>
      <c r="L291" t="n">
        <v>0.671601571</v>
      </c>
      <c r="M291" t="n">
        <v>0.112016509</v>
      </c>
      <c r="N291" t="n">
        <v>0.457313711</v>
      </c>
      <c r="O291" t="n">
        <v>0.217288</v>
      </c>
      <c r="P291" t="n">
        <v>0.215878</v>
      </c>
      <c r="Q291" t="n">
        <v>0.295000101</v>
      </c>
      <c r="R291" t="n">
        <v>0.294783059</v>
      </c>
      <c r="S291" t="n">
        <v>0.274977</v>
      </c>
      <c r="T291" t="n">
        <v>0.064312035</v>
      </c>
      <c r="U291" t="n">
        <v>0.13503351</v>
      </c>
      <c r="V291" t="n">
        <v>0.561173</v>
      </c>
      <c r="W291" t="n">
        <v>0.610854174</v>
      </c>
      <c r="X291" t="n">
        <v>-0.398685499</v>
      </c>
      <c r="Y291" t="n">
        <v>1.427125351</v>
      </c>
      <c r="Z291" t="n">
        <v>0.55781</v>
      </c>
      <c r="AA291" t="n">
        <v>1.718065274</v>
      </c>
      <c r="AB291" t="n">
        <v>-1.09733248</v>
      </c>
      <c r="AC291" t="n">
        <v>1.16385609</v>
      </c>
      <c r="AD291" t="n">
        <v>0.059377981</v>
      </c>
      <c r="AE291" t="n">
        <v>0.200625751</v>
      </c>
      <c r="AF291" t="n">
        <v>0.415327871</v>
      </c>
      <c r="AG291" t="n">
        <v>-0.02319646</v>
      </c>
      <c r="AH291" t="n">
        <v>0.0237899</v>
      </c>
      <c r="AI291" t="n">
        <v>0.23268088</v>
      </c>
      <c r="AJ291" t="n">
        <v>0.388601819</v>
      </c>
      <c r="AK291" t="n">
        <v>0.5682051420000001</v>
      </c>
      <c r="AL291" t="n">
        <v>0.696080863</v>
      </c>
      <c r="AM291" t="n">
        <v>0.50207842</v>
      </c>
      <c r="AN291" t="n">
        <v>0.727751926</v>
      </c>
      <c r="AO291" t="n">
        <v>0.451874818</v>
      </c>
      <c r="AP291" t="n">
        <v>-0.978355601</v>
      </c>
      <c r="AQ291" t="n">
        <v>0.34816134</v>
      </c>
      <c r="AR291" t="n">
        <v>1.632141648</v>
      </c>
      <c r="AS291" t="n">
        <v>0.028332422</v>
      </c>
      <c r="AT291" t="n">
        <v>-0.352907742</v>
      </c>
      <c r="AU291" t="n">
        <v>0.889966473</v>
      </c>
      <c r="AV291" t="n">
        <v>0.105108482</v>
      </c>
    </row>
    <row r="292">
      <c r="A292" t="inlineStr">
        <is>
          <t>2019-Q4</t>
        </is>
      </c>
      <c r="B292" s="87" t="n">
        <v>43831</v>
      </c>
      <c r="C292" t="n">
        <v>-1.495606038</v>
      </c>
      <c r="D292" t="n">
        <v>0.517131432</v>
      </c>
      <c r="E292" t="n">
        <v>-0.516565349</v>
      </c>
      <c r="F292" t="n">
        <v>0.595620803</v>
      </c>
      <c r="G292" t="n">
        <v>0.661927257</v>
      </c>
      <c r="H292" t="n">
        <v>0.326868383</v>
      </c>
      <c r="I292" t="n">
        <v>0.60639618</v>
      </c>
      <c r="J292" t="n">
        <v>-3.910531952</v>
      </c>
      <c r="K292" t="n">
        <v>1.2</v>
      </c>
      <c r="L292" t="n">
        <v>0.483390672</v>
      </c>
      <c r="M292" t="n">
        <v>0.261074062</v>
      </c>
      <c r="N292" t="n">
        <v>-0.304142897</v>
      </c>
      <c r="O292" t="n">
        <v>0.022159</v>
      </c>
      <c r="P292" t="n">
        <v>0.02115</v>
      </c>
      <c r="Q292" t="n">
        <v>0.217169436</v>
      </c>
      <c r="R292" t="n">
        <v>1.155286517</v>
      </c>
      <c r="S292" t="n">
        <v>0.052366</v>
      </c>
      <c r="T292" t="n">
        <v>-0.189338012</v>
      </c>
      <c r="U292" t="n">
        <v>-0.428768416</v>
      </c>
      <c r="V292" t="n">
        <v>-0.16465</v>
      </c>
      <c r="W292" t="n">
        <v>-0.025112203</v>
      </c>
      <c r="X292" t="n">
        <v>-0.335495079</v>
      </c>
      <c r="Y292" t="n">
        <v>0.5585663199999999</v>
      </c>
      <c r="Z292" t="n">
        <v>0.15027</v>
      </c>
      <c r="AA292" t="n">
        <v>1.285601767</v>
      </c>
      <c r="AB292" t="n">
        <v>2.787268386</v>
      </c>
      <c r="AC292" t="n">
        <v>0.852409653</v>
      </c>
      <c r="AD292" t="n">
        <v>-0.803134367</v>
      </c>
      <c r="AE292" t="n">
        <v>-2.708604395</v>
      </c>
      <c r="AF292" t="n">
        <v>1.216302313</v>
      </c>
      <c r="AG292" t="n">
        <v>0.636140038</v>
      </c>
      <c r="AH292" t="n">
        <v>0.068039353</v>
      </c>
      <c r="AI292" t="n">
        <v>-0.458908523</v>
      </c>
      <c r="AJ292" t="n">
        <v>0.390920333</v>
      </c>
      <c r="AK292" t="n">
        <v>0.828953858</v>
      </c>
      <c r="AL292" t="n">
        <v>0.725139716</v>
      </c>
      <c r="AM292" t="n">
        <v>0.031831594</v>
      </c>
      <c r="AN292" t="n">
        <v>0.635614822</v>
      </c>
      <c r="AO292" t="n">
        <v>0.820790507</v>
      </c>
      <c r="AP292" t="n">
        <v>-0.452487734</v>
      </c>
      <c r="AQ292" t="n">
        <v>0.621847956</v>
      </c>
      <c r="AR292" t="n">
        <v>1.174535882</v>
      </c>
      <c r="AS292" t="n">
        <v>0.602894811</v>
      </c>
      <c r="AT292" t="n">
        <v>1.279908419</v>
      </c>
      <c r="AU292" t="n">
        <v>0.443046894</v>
      </c>
      <c r="AV292" t="n">
        <v>-0.036211972</v>
      </c>
    </row>
    <row r="293">
      <c r="A293" t="inlineStr">
        <is>
          <t>2020-Q1</t>
        </is>
      </c>
      <c r="B293" s="87" t="n">
        <v>43922</v>
      </c>
      <c r="C293" t="n">
        <v>-4.406530401</v>
      </c>
      <c r="D293" t="n">
        <v>-0.206713961</v>
      </c>
      <c r="E293" t="n">
        <v>-2.340232844</v>
      </c>
      <c r="F293" t="n">
        <v>-2.89034274</v>
      </c>
      <c r="G293" t="n">
        <v>-2.257757576</v>
      </c>
      <c r="H293" t="n">
        <v>-2.128337649</v>
      </c>
      <c r="I293" t="n">
        <v>-1.511162871</v>
      </c>
      <c r="J293" t="n">
        <v>2.699850715</v>
      </c>
      <c r="K293" t="n">
        <v>-10.3</v>
      </c>
      <c r="L293" t="n">
        <v>-3.242594973</v>
      </c>
      <c r="M293" t="n">
        <v>-1.422765492</v>
      </c>
      <c r="N293" t="n">
        <v>-0.498811568</v>
      </c>
      <c r="O293" t="n">
        <v>-3.361388</v>
      </c>
      <c r="P293" t="n">
        <v>-3.349951</v>
      </c>
      <c r="Q293" t="n">
        <v>-5.48725517</v>
      </c>
      <c r="R293" t="n">
        <v>0.71607627</v>
      </c>
      <c r="S293" t="n">
        <v>-2.875216</v>
      </c>
      <c r="T293" t="n">
        <v>-0.306300035</v>
      </c>
      <c r="U293" t="n">
        <v>-5.26662306</v>
      </c>
      <c r="V293" t="n">
        <v>-1.784953</v>
      </c>
      <c r="W293" t="n">
        <v>-2.640828448</v>
      </c>
      <c r="X293" t="n">
        <v>-1.821785533</v>
      </c>
      <c r="Y293" t="n">
        <v>-0.336136582</v>
      </c>
      <c r="Z293" t="n">
        <v>0.10166</v>
      </c>
      <c r="AA293" t="n">
        <v>2.717629212</v>
      </c>
      <c r="AB293" t="n">
        <v>-6.052123546</v>
      </c>
      <c r="AC293" t="n">
        <v>-1.218093634</v>
      </c>
      <c r="AD293" t="n">
        <v>-5.78454575</v>
      </c>
      <c r="AE293" t="n">
        <v>0.365384208</v>
      </c>
      <c r="AF293" t="n">
        <v>-1.276259202</v>
      </c>
      <c r="AG293" t="n">
        <v>-1.011641569</v>
      </c>
      <c r="AH293" t="n">
        <v>-0.332796164</v>
      </c>
      <c r="AI293" t="n">
        <v>-0.987918336</v>
      </c>
      <c r="AJ293" t="n">
        <v>-1.42018248</v>
      </c>
      <c r="AK293" t="n">
        <v>-1.203801787</v>
      </c>
      <c r="AL293" t="n">
        <v>-0.8895818049999999</v>
      </c>
      <c r="AM293" t="n">
        <v>-1.601068914</v>
      </c>
      <c r="AN293" t="n">
        <v>0.7601489259999999</v>
      </c>
      <c r="AO293" t="n">
        <v>-4.355489564</v>
      </c>
      <c r="AP293" t="n">
        <v>-0.196323318</v>
      </c>
      <c r="AQ293" t="n">
        <v>-3.135641584</v>
      </c>
      <c r="AR293" t="n">
        <v>-4.692520561</v>
      </c>
      <c r="AS293" t="n">
        <v>-0.374115635</v>
      </c>
      <c r="AT293" t="n">
        <v>0.8493254730000001</v>
      </c>
      <c r="AU293" t="n">
        <v>-1.175154201</v>
      </c>
      <c r="AV293" t="n">
        <v>0.235929608</v>
      </c>
    </row>
    <row r="294">
      <c r="A294" t="inlineStr">
        <is>
          <t>2020-Q2</t>
        </is>
      </c>
      <c r="B294" s="87" t="n">
        <v>44013</v>
      </c>
      <c r="C294" t="n">
        <v>-14.623280097</v>
      </c>
      <c r="D294" t="n">
        <v>-6.693087597</v>
      </c>
      <c r="E294" t="n">
        <v>-11.48819694</v>
      </c>
      <c r="F294" t="n">
        <v>-11.398144339</v>
      </c>
      <c r="G294" t="n">
        <v>-8.616742044</v>
      </c>
      <c r="H294" t="n">
        <v>-10.928273391</v>
      </c>
      <c r="I294" t="n">
        <v>-7.05825896</v>
      </c>
      <c r="J294" t="n">
        <v>-13.230504783</v>
      </c>
      <c r="K294" t="n">
        <v>11.8</v>
      </c>
      <c r="L294" t="n">
        <v>-8.848739462999999</v>
      </c>
      <c r="M294" t="n">
        <v>-9.481133512</v>
      </c>
      <c r="N294" t="n">
        <v>-6.06957222</v>
      </c>
      <c r="O294" t="n">
        <v>-11.464211</v>
      </c>
      <c r="P294" t="n">
        <v>-11.483755</v>
      </c>
      <c r="Q294" t="n">
        <v>-17.826255917</v>
      </c>
      <c r="R294" t="n">
        <v>-6.730633783</v>
      </c>
      <c r="S294" t="n">
        <v>-11.010817</v>
      </c>
      <c r="T294" t="n">
        <v>-6.258292019</v>
      </c>
      <c r="U294" t="n">
        <v>-13.140495135</v>
      </c>
      <c r="V294" t="n">
        <v>-10.15549</v>
      </c>
      <c r="W294" t="n">
        <v>-20.991372606</v>
      </c>
      <c r="X294" t="n">
        <v>-13.40500325</v>
      </c>
      <c r="Y294" t="n">
        <v>-14.600451567</v>
      </c>
      <c r="Z294" t="n">
        <v>-22.54982</v>
      </c>
      <c r="AA294" t="n">
        <v>-5.511133104</v>
      </c>
      <c r="AB294" t="n">
        <v>-6.668670574</v>
      </c>
      <c r="AC294" t="n">
        <v>-8.775312482</v>
      </c>
      <c r="AD294" t="n">
        <v>-12.039461438</v>
      </c>
      <c r="AE294" t="n">
        <v>-7.89525372</v>
      </c>
      <c r="AF294" t="n">
        <v>-3.01546504</v>
      </c>
      <c r="AG294" t="n">
        <v>-5.859405939</v>
      </c>
      <c r="AH294" t="n">
        <v>-6.839677795</v>
      </c>
      <c r="AI294" t="n">
        <v>-17.805105362</v>
      </c>
      <c r="AJ294" t="n">
        <v>-7.940464441</v>
      </c>
      <c r="AK294" t="n">
        <v>-5.452780171</v>
      </c>
      <c r="AL294" t="n">
        <v>-10.337435613</v>
      </c>
      <c r="AM294" t="n">
        <v>-10.302912866</v>
      </c>
      <c r="AN294" t="n">
        <v>-9.192977487</v>
      </c>
      <c r="AO294" t="n">
        <v>-15.119496961</v>
      </c>
      <c r="AP294" t="n">
        <v>-4.485002074</v>
      </c>
      <c r="AQ294" t="n">
        <v>-7.45941299</v>
      </c>
      <c r="AR294" t="n">
        <v>-9.763382726</v>
      </c>
      <c r="AS294" t="n">
        <v>-8.151906684</v>
      </c>
      <c r="AT294" t="n">
        <v>-10.371752592</v>
      </c>
      <c r="AU294" t="n">
        <v>-8.484336153999999</v>
      </c>
      <c r="AV294" t="n">
        <v>-16.889937293</v>
      </c>
    </row>
    <row r="295">
      <c r="A295" t="inlineStr">
        <is>
          <t>2020-Q3</t>
        </is>
      </c>
      <c r="B295" s="87" t="n">
        <v>44105</v>
      </c>
      <c r="C295" t="n">
        <v>11.426822393</v>
      </c>
      <c r="D295" t="n">
        <v>3.78768268</v>
      </c>
      <c r="E295" t="n">
        <v>11.305281893</v>
      </c>
      <c r="F295" t="n">
        <v>11.756391474</v>
      </c>
      <c r="G295" t="n">
        <v>7.942663911</v>
      </c>
      <c r="H295" t="n">
        <v>9.017921363999999</v>
      </c>
      <c r="I295" t="n">
        <v>7.271822218</v>
      </c>
      <c r="J295" t="n">
        <v>4.727833175</v>
      </c>
      <c r="K295" t="n">
        <v>3.3</v>
      </c>
      <c r="L295" t="n">
        <v>6.953208665</v>
      </c>
      <c r="M295" t="n">
        <v>9.004694908999999</v>
      </c>
      <c r="N295" t="n">
        <v>5.853553547</v>
      </c>
      <c r="O295" t="n">
        <v>12.363239</v>
      </c>
      <c r="P295" t="n">
        <v>12.333831</v>
      </c>
      <c r="Q295" t="n">
        <v>16.637933629</v>
      </c>
      <c r="R295" t="n">
        <v>4.671273845</v>
      </c>
      <c r="S295" t="n">
        <v>11.327978</v>
      </c>
      <c r="T295" t="n">
        <v>4.979608559</v>
      </c>
      <c r="U295" t="n">
        <v>17.437177561</v>
      </c>
      <c r="V295" t="n">
        <v>9.418366000000001</v>
      </c>
      <c r="W295" t="n">
        <v>16.608614293</v>
      </c>
      <c r="X295" t="n">
        <v>5.355934108</v>
      </c>
      <c r="Y295" t="n">
        <v>11.871788373</v>
      </c>
      <c r="Z295" t="n">
        <v>22.55913</v>
      </c>
      <c r="AA295" t="n">
        <v>12.705149818</v>
      </c>
      <c r="AB295" t="n">
        <v>3.140361555</v>
      </c>
      <c r="AC295" t="n">
        <v>8.858137894</v>
      </c>
      <c r="AD295" t="n">
        <v>14.204750372</v>
      </c>
      <c r="AE295" t="n">
        <v>5.592899269</v>
      </c>
      <c r="AF295" t="n">
        <v>2.314953096</v>
      </c>
      <c r="AG295" t="n">
        <v>8.176947746</v>
      </c>
      <c r="AH295" t="n">
        <v>5.878036248</v>
      </c>
      <c r="AI295" t="n">
        <v>13.165268101</v>
      </c>
      <c r="AJ295" t="n">
        <v>6.288450175</v>
      </c>
      <c r="AK295" t="n">
        <v>4.206800657</v>
      </c>
      <c r="AL295" t="n">
        <v>13.708526118</v>
      </c>
      <c r="AM295" t="n">
        <v>9.384624656</v>
      </c>
      <c r="AN295" t="n">
        <v>6.740439502</v>
      </c>
      <c r="AO295" t="n">
        <v>14.588001222</v>
      </c>
      <c r="AP295" t="n">
        <v>2.7780786</v>
      </c>
      <c r="AQ295" t="n">
        <v>9.693816268000001</v>
      </c>
      <c r="AR295" t="n">
        <v>12.970091558</v>
      </c>
      <c r="AS295" t="n">
        <v>7.346083141</v>
      </c>
      <c r="AT295" t="n">
        <v>15.649317805</v>
      </c>
      <c r="AU295" t="n">
        <v>7.854483117</v>
      </c>
      <c r="AV295" t="n">
        <v>13.730038872</v>
      </c>
    </row>
    <row r="296">
      <c r="A296" t="inlineStr">
        <is>
          <t>2020-Q4</t>
        </is>
      </c>
      <c r="B296" s="87" t="n">
        <v>44197</v>
      </c>
      <c r="C296" t="n">
        <v>4.924189212</v>
      </c>
      <c r="D296" t="n">
        <v>3.354144593</v>
      </c>
      <c r="E296" t="n">
        <v>-1.799491379</v>
      </c>
      <c r="F296" t="n">
        <v>-0.487440109</v>
      </c>
      <c r="G296" t="n">
        <v>3.35678228</v>
      </c>
      <c r="H296" t="n">
        <v>2.130500855</v>
      </c>
      <c r="I296" t="n">
        <v>0.349137994</v>
      </c>
      <c r="J296" t="n">
        <v>6.714772351</v>
      </c>
      <c r="K296" t="n">
        <v>2.5</v>
      </c>
      <c r="L296" t="n">
        <v>1.140550376</v>
      </c>
      <c r="M296" t="n">
        <v>0.621471543</v>
      </c>
      <c r="N296" t="n">
        <v>0.223552507</v>
      </c>
      <c r="O296" t="n">
        <v>-0.257669</v>
      </c>
      <c r="P296" t="n">
        <v>-0.227823</v>
      </c>
      <c r="Q296" t="n">
        <v>-0.058975087</v>
      </c>
      <c r="R296" t="n">
        <v>2.707694561</v>
      </c>
      <c r="S296" t="n">
        <v>-0.032439</v>
      </c>
      <c r="T296" t="n">
        <v>0.817767371</v>
      </c>
      <c r="U296" t="n">
        <v>-0.690212194</v>
      </c>
      <c r="V296" t="n">
        <v>0.8796</v>
      </c>
      <c r="W296" t="n">
        <v>1.213880983</v>
      </c>
      <c r="X296" t="n">
        <v>4.033416389</v>
      </c>
      <c r="Y296" t="n">
        <v>1.606994036</v>
      </c>
      <c r="Z296" t="n">
        <v>6.31046</v>
      </c>
      <c r="AA296" t="n">
        <v>-4.874083969</v>
      </c>
      <c r="AB296" t="n">
        <v>2.874924009</v>
      </c>
      <c r="AC296" t="n">
        <v>2.362243292</v>
      </c>
      <c r="AD296" t="n">
        <v>-0.698193421</v>
      </c>
      <c r="AE296" t="n">
        <v>1.939486041</v>
      </c>
      <c r="AF296" t="n">
        <v>1.34605072</v>
      </c>
      <c r="AG296" t="n">
        <v>-0.328720806</v>
      </c>
      <c r="AH296" t="n">
        <v>0.907674841</v>
      </c>
      <c r="AI296" t="n">
        <v>4.332002463</v>
      </c>
      <c r="AJ296" t="n">
        <v>-0.115811399</v>
      </c>
      <c r="AK296" t="n">
        <v>1.272298143</v>
      </c>
      <c r="AL296" t="n">
        <v>-0.07109470699999999</v>
      </c>
      <c r="AM296" t="n">
        <v>1.079797408</v>
      </c>
      <c r="AN296" t="n">
        <v>0.113774146</v>
      </c>
      <c r="AO296" t="n">
        <v>0.370563245</v>
      </c>
      <c r="AP296" t="n">
        <v>0.739743224</v>
      </c>
      <c r="AQ296" t="n">
        <v>0.767184881</v>
      </c>
      <c r="AR296" t="n">
        <v>-1.277621556</v>
      </c>
      <c r="AS296" t="n">
        <v>0.687984412</v>
      </c>
      <c r="AT296" t="n">
        <v>1.084647787</v>
      </c>
      <c r="AU296" t="n">
        <v>0.963213279</v>
      </c>
      <c r="AV296" t="n">
        <v>2.74200195</v>
      </c>
    </row>
    <row r="297">
      <c r="A297" t="inlineStr">
        <is>
          <t>2021-Q1</t>
        </is>
      </c>
      <c r="B297" s="87" t="n">
        <v>44287</v>
      </c>
      <c r="C297" t="n">
        <v>3.46209187</v>
      </c>
      <c r="D297" t="n">
        <v>2.045634878</v>
      </c>
      <c r="E297" t="n">
        <v>-1.032706006</v>
      </c>
      <c r="F297" t="n">
        <v>1.424953383</v>
      </c>
      <c r="G297" t="n">
        <v>0.892236995</v>
      </c>
      <c r="H297" t="n">
        <v>1.308902555</v>
      </c>
      <c r="I297" t="n">
        <v>-0.15469021</v>
      </c>
      <c r="J297" t="n">
        <v>4.437565916</v>
      </c>
      <c r="K297" t="n">
        <v>0.7</v>
      </c>
      <c r="L297" t="n">
        <v>-0.495155357</v>
      </c>
      <c r="M297" t="n">
        <v>-1.468048603</v>
      </c>
      <c r="N297" t="n">
        <v>0.6271341499999999</v>
      </c>
      <c r="O297" t="n">
        <v>-0.035988</v>
      </c>
      <c r="P297" t="n">
        <v>0.007481</v>
      </c>
      <c r="Q297" t="n">
        <v>-0.228663315</v>
      </c>
      <c r="R297" t="n">
        <v>2.85952716</v>
      </c>
      <c r="S297" t="n">
        <v>0.251692</v>
      </c>
      <c r="T297" t="n">
        <v>-0.158355914</v>
      </c>
      <c r="U297" t="n">
        <v>0.00514676</v>
      </c>
      <c r="V297" t="n">
        <v>0.589105</v>
      </c>
      <c r="W297" t="n">
        <v>-1.052939341</v>
      </c>
      <c r="X297" t="n">
        <v>3.330177063</v>
      </c>
      <c r="Y297" t="n">
        <v>1.159672632</v>
      </c>
      <c r="Z297" t="n">
        <v>1.37593</v>
      </c>
      <c r="AA297" t="n">
        <v>9.506254220000001</v>
      </c>
      <c r="AB297" t="n">
        <v>-2.38689818</v>
      </c>
      <c r="AC297" t="n">
        <v>-0.352056261</v>
      </c>
      <c r="AD297" t="n">
        <v>0.47930253</v>
      </c>
      <c r="AE297" t="n">
        <v>-0.275763911</v>
      </c>
      <c r="AF297" t="n">
        <v>1.786997745</v>
      </c>
      <c r="AG297" t="n">
        <v>2.224297144</v>
      </c>
      <c r="AH297" t="n">
        <v>-0.434481007</v>
      </c>
      <c r="AI297" t="n">
        <v>0.330925513</v>
      </c>
      <c r="AJ297" t="n">
        <v>0.337234072</v>
      </c>
      <c r="AK297" t="n">
        <v>-0.223474011</v>
      </c>
      <c r="AL297" t="n">
        <v>2.27210802</v>
      </c>
      <c r="AM297" t="n">
        <v>0.8637546270000001</v>
      </c>
      <c r="AN297" t="n">
        <v>2.638899937</v>
      </c>
      <c r="AO297" t="n">
        <v>-2.559961929</v>
      </c>
      <c r="AP297" t="n">
        <v>0.680789326</v>
      </c>
      <c r="AQ297" t="n">
        <v>-0.139678306</v>
      </c>
      <c r="AR297" t="n">
        <v>1.77988021</v>
      </c>
      <c r="AS297" t="n">
        <v>1.257514861</v>
      </c>
      <c r="AT297" t="n">
        <v>2.616659059</v>
      </c>
      <c r="AU297" t="n">
        <v>1.542791999</v>
      </c>
      <c r="AV297" t="n">
        <v>0.641236515</v>
      </c>
    </row>
    <row r="298">
      <c r="A298" t="inlineStr">
        <is>
          <t>2021-Q2</t>
        </is>
      </c>
      <c r="B298" s="87" t="n">
        <v>44378</v>
      </c>
      <c r="C298" t="n">
        <v>-0.216834876</v>
      </c>
      <c r="D298" t="n">
        <v>0.777937746</v>
      </c>
      <c r="E298" t="n">
        <v>3.97943566</v>
      </c>
      <c r="F298" t="n">
        <v>1.76805788</v>
      </c>
      <c r="G298" t="n">
        <v>-0.166734773</v>
      </c>
      <c r="H298" t="n">
        <v>-0.588596311</v>
      </c>
      <c r="I298" t="n">
        <v>1.983704534</v>
      </c>
      <c r="J298" t="n">
        <v>0.959820574</v>
      </c>
      <c r="K298" t="n">
        <v>1.6</v>
      </c>
      <c r="L298" t="n">
        <v>1.389823598</v>
      </c>
      <c r="M298" t="n">
        <v>1.928643933</v>
      </c>
      <c r="N298" t="n">
        <v>2.107573524</v>
      </c>
      <c r="O298" t="n">
        <v>1.967983</v>
      </c>
      <c r="P298" t="n">
        <v>1.953064</v>
      </c>
      <c r="Q298" t="n">
        <v>1.352205559</v>
      </c>
      <c r="R298" t="n">
        <v>2.605918386</v>
      </c>
      <c r="S298" t="n">
        <v>1.912576</v>
      </c>
      <c r="T298" t="n">
        <v>1.385168476</v>
      </c>
      <c r="U298" t="n">
        <v>0.98114006</v>
      </c>
      <c r="V298" t="n">
        <v>1.813057</v>
      </c>
      <c r="W298" t="n">
        <v>6.52844295</v>
      </c>
      <c r="X298" t="n">
        <v>1.307206022</v>
      </c>
      <c r="Y298" t="n">
        <v>2.313514679</v>
      </c>
      <c r="Z298" t="n">
        <v>-7.51107</v>
      </c>
      <c r="AA298" t="n">
        <v>1.866784169</v>
      </c>
      <c r="AB298" t="n">
        <v>3.418195593</v>
      </c>
      <c r="AC298" t="n">
        <v>3.956118301</v>
      </c>
      <c r="AD298" t="n">
        <v>2.459686258</v>
      </c>
      <c r="AE298" t="n">
        <v>0.445843183</v>
      </c>
      <c r="AF298" t="n">
        <v>0.880678161</v>
      </c>
      <c r="AG298" t="n">
        <v>0.169057658</v>
      </c>
      <c r="AH298" t="n">
        <v>2.426374958</v>
      </c>
      <c r="AI298" t="n">
        <v>0.754465272</v>
      </c>
      <c r="AJ298" t="n">
        <v>3.559824058</v>
      </c>
      <c r="AK298" t="n">
        <v>1.214996118</v>
      </c>
      <c r="AL298" t="n">
        <v>1.88860767</v>
      </c>
      <c r="AM298" t="n">
        <v>1.713643412</v>
      </c>
      <c r="AN298" t="n">
        <v>2.136533911</v>
      </c>
      <c r="AO298" t="n">
        <v>4.42617467</v>
      </c>
      <c r="AP298" t="n">
        <v>3.190933741</v>
      </c>
      <c r="AQ298" t="n">
        <v>1.713724085</v>
      </c>
      <c r="AR298" t="n">
        <v>1.96218986</v>
      </c>
      <c r="AS298" t="n">
        <v>1.37650241</v>
      </c>
      <c r="AT298" t="n">
        <v>1.994956988</v>
      </c>
      <c r="AU298" t="n">
        <v>1.707015905</v>
      </c>
      <c r="AV298" t="n">
        <v>1.297861283</v>
      </c>
    </row>
    <row r="299">
      <c r="A299" t="inlineStr">
        <is>
          <t>2021-Q3</t>
        </is>
      </c>
      <c r="B299" s="87" t="n">
        <v>44470</v>
      </c>
      <c r="C299" t="n">
        <v>2.925688221</v>
      </c>
      <c r="D299" t="n">
        <v>-2.119060089</v>
      </c>
      <c r="E299" t="n">
        <v>4.188200011</v>
      </c>
      <c r="F299" t="n">
        <v>2.346713164</v>
      </c>
      <c r="G299" t="n">
        <v>0.41682395</v>
      </c>
      <c r="H299" t="n">
        <v>1.430867107</v>
      </c>
      <c r="I299" t="n">
        <v>1.727882152</v>
      </c>
      <c r="J299" t="n">
        <v>4.282670801</v>
      </c>
      <c r="K299" t="n">
        <v>0.4</v>
      </c>
      <c r="L299" t="n">
        <v>1.697764004</v>
      </c>
      <c r="M299" t="n">
        <v>0.7852368749999999</v>
      </c>
      <c r="N299" t="n">
        <v>0.859734822</v>
      </c>
      <c r="O299" t="n">
        <v>2.279179</v>
      </c>
      <c r="P299" t="n">
        <v>2.278267</v>
      </c>
      <c r="Q299" t="n">
        <v>3.108188446</v>
      </c>
      <c r="R299" t="n">
        <v>0.729485006</v>
      </c>
      <c r="S299" t="n">
        <v>2.130542</v>
      </c>
      <c r="T299" t="n">
        <v>0.983834521</v>
      </c>
      <c r="U299" t="n">
        <v>3.072689068</v>
      </c>
      <c r="V299" t="n">
        <v>0.983335</v>
      </c>
      <c r="W299" t="n">
        <v>1.733513287</v>
      </c>
      <c r="X299" t="n">
        <v>3.199334083</v>
      </c>
      <c r="Y299" t="n">
        <v>1.474413391</v>
      </c>
      <c r="Z299" t="n">
        <v>9.342980000000001</v>
      </c>
      <c r="AA299" t="n">
        <v>3.552379416</v>
      </c>
      <c r="AB299" t="n">
        <v>2.642689582</v>
      </c>
      <c r="AC299" t="n">
        <v>2.043055693</v>
      </c>
      <c r="AD299" t="n">
        <v>2.890939048</v>
      </c>
      <c r="AE299" t="n">
        <v>-0.397352023</v>
      </c>
      <c r="AF299" t="n">
        <v>0.12722835</v>
      </c>
      <c r="AG299" t="n">
        <v>-0.046329661</v>
      </c>
      <c r="AH299" t="n">
        <v>1.275201785</v>
      </c>
      <c r="AI299" t="n">
        <v>-1.101559669</v>
      </c>
      <c r="AJ299" t="n">
        <v>1.651853594</v>
      </c>
      <c r="AK299" t="n">
        <v>3.144202964</v>
      </c>
      <c r="AL299" t="n">
        <v>-4.176411627</v>
      </c>
      <c r="AM299" t="n">
        <v>1.153228151</v>
      </c>
      <c r="AN299" t="n">
        <v>2.102030507</v>
      </c>
      <c r="AO299" t="n">
        <v>2.802834928</v>
      </c>
      <c r="AP299" t="n">
        <v>-0.794505895</v>
      </c>
      <c r="AQ299" t="n">
        <v>0.62087416</v>
      </c>
      <c r="AR299" t="n">
        <v>2.857304818</v>
      </c>
      <c r="AS299" t="n">
        <v>2.133604676</v>
      </c>
      <c r="AT299" t="n">
        <v>2.714482826</v>
      </c>
      <c r="AU299" t="n">
        <v>0.656694491</v>
      </c>
      <c r="AV299" t="n">
        <v>-1.875252185</v>
      </c>
    </row>
    <row r="300">
      <c r="A300" t="inlineStr">
        <is>
          <t>2021-Q4</t>
        </is>
      </c>
      <c r="B300" s="87" t="n">
        <v>44562</v>
      </c>
      <c r="C300" t="n">
        <v>2.489504139</v>
      </c>
      <c r="D300" t="n">
        <v>3.877629694</v>
      </c>
      <c r="E300" t="n">
        <v>-0.869115124</v>
      </c>
      <c r="F300" t="n">
        <v>0.575202199</v>
      </c>
      <c r="G300" t="n">
        <v>1.049258323</v>
      </c>
      <c r="H300" t="n">
        <v>1.671567869</v>
      </c>
      <c r="I300" t="n">
        <v>0.211568756</v>
      </c>
      <c r="J300" t="n">
        <v>2.372970683</v>
      </c>
      <c r="K300" t="n">
        <v>1.6</v>
      </c>
      <c r="L300" t="n">
        <v>0.849939884</v>
      </c>
      <c r="M300" t="n">
        <v>-0.02815511</v>
      </c>
      <c r="N300" t="n">
        <v>2.79763594</v>
      </c>
      <c r="O300" t="n">
        <v>0.5562240000000001</v>
      </c>
      <c r="P300" t="n">
        <v>0.565597</v>
      </c>
      <c r="Q300" t="n">
        <v>2.26529089</v>
      </c>
      <c r="R300" t="n">
        <v>0.46242475</v>
      </c>
      <c r="S300" t="n">
        <v>0.7182539999999999</v>
      </c>
      <c r="T300" t="n">
        <v>0.957036629</v>
      </c>
      <c r="U300" t="n">
        <v>0.509959341</v>
      </c>
      <c r="V300" t="n">
        <v>1.291374</v>
      </c>
      <c r="W300" t="n">
        <v>1.525013404</v>
      </c>
      <c r="X300" t="n">
        <v>0.462162598</v>
      </c>
      <c r="Y300" t="n">
        <v>2.445747445</v>
      </c>
      <c r="Z300" t="n">
        <v>1.98497</v>
      </c>
      <c r="AA300" t="n">
        <v>-1.490798022</v>
      </c>
      <c r="AB300" t="n">
        <v>3.511719095</v>
      </c>
      <c r="AC300" t="n">
        <v>4.529250219</v>
      </c>
      <c r="AD300" t="n">
        <v>0.891790342</v>
      </c>
      <c r="AE300" t="n">
        <v>1.237751121</v>
      </c>
      <c r="AF300" t="n">
        <v>1.395438784</v>
      </c>
      <c r="AG300" t="n">
        <v>2.180236336</v>
      </c>
      <c r="AH300" t="n">
        <v>0.759629344</v>
      </c>
      <c r="AI300" t="n">
        <v>1.18168164</v>
      </c>
      <c r="AJ300" t="n">
        <v>0.375012813</v>
      </c>
      <c r="AK300" t="n">
        <v>0.482633622</v>
      </c>
      <c r="AL300" t="n">
        <v>3.457946759</v>
      </c>
      <c r="AM300" t="n">
        <v>1.422428207</v>
      </c>
      <c r="AN300" t="n">
        <v>1.775088566</v>
      </c>
      <c r="AO300" t="n">
        <v>1.927325071</v>
      </c>
      <c r="AQ300" t="n">
        <v>0.465452998</v>
      </c>
      <c r="AR300" t="n">
        <v>3.356579703</v>
      </c>
      <c r="AS300" t="n">
        <v>2.195723335</v>
      </c>
      <c r="AT300" t="n">
        <v>1.575638393</v>
      </c>
      <c r="AU300" t="n">
        <v>1.69569402</v>
      </c>
      <c r="AV300" t="n">
        <v>1.372988936</v>
      </c>
    </row>
    <row r="301">
      <c r="A301" t="inlineStr">
        <is>
          <t>2022-Q1</t>
        </is>
      </c>
      <c r="B301" s="87" t="n">
        <v>44652</v>
      </c>
      <c r="C301" t="n">
        <v>0.626358704</v>
      </c>
      <c r="D301" t="n">
        <v>0.580481852</v>
      </c>
      <c r="E301" t="n">
        <v>1.250251947</v>
      </c>
      <c r="F301" t="n">
        <v>0.616443141</v>
      </c>
      <c r="G301" t="n">
        <v>1.015613038</v>
      </c>
      <c r="H301" t="n">
        <v>0.64235529</v>
      </c>
      <c r="I301" t="n">
        <v>0.316029933</v>
      </c>
      <c r="J301" t="n">
        <v>-0.594574712</v>
      </c>
      <c r="K301" t="n">
        <v>0.8</v>
      </c>
      <c r="L301" t="n">
        <v>0.645139803</v>
      </c>
      <c r="M301" t="n">
        <v>1.023511962</v>
      </c>
      <c r="N301" t="n">
        <v>-0.491571803</v>
      </c>
      <c r="O301" t="n">
        <v>0.614417</v>
      </c>
      <c r="P301" t="n">
        <v>0.600769</v>
      </c>
      <c r="Q301" t="n">
        <v>-0.501547881</v>
      </c>
      <c r="R301" t="n">
        <v>-0.777853608</v>
      </c>
      <c r="S301" t="n">
        <v>0.826366</v>
      </c>
      <c r="T301" t="n">
        <v>0.514901453</v>
      </c>
      <c r="U301" t="n">
        <v>-0.123311386</v>
      </c>
      <c r="V301" t="n">
        <v>-0.115578</v>
      </c>
      <c r="W301" t="n">
        <v>0.487184155</v>
      </c>
      <c r="X301" t="n">
        <v>2.601987605</v>
      </c>
      <c r="Y301" t="n">
        <v>1.540551538</v>
      </c>
      <c r="Z301" t="n">
        <v>0.45698</v>
      </c>
      <c r="AA301" t="n">
        <v>7.853834773</v>
      </c>
      <c r="AB301" t="n">
        <v>-1.472015764</v>
      </c>
      <c r="AC301" t="n">
        <v>-0.790394794</v>
      </c>
      <c r="AD301" t="n">
        <v>0.140887993</v>
      </c>
      <c r="AE301" t="n">
        <v>-0.683866193</v>
      </c>
      <c r="AF301" t="n">
        <v>0.660557888</v>
      </c>
      <c r="AG301" t="n">
        <v>0.215141055</v>
      </c>
      <c r="AH301" t="n">
        <v>1.444480051</v>
      </c>
      <c r="AI301" t="n">
        <v>1.017486593</v>
      </c>
      <c r="AJ301" t="n">
        <v>0.537485261</v>
      </c>
      <c r="AK301" t="n">
        <v>-0.376012782</v>
      </c>
      <c r="AL301" t="n">
        <v>0.064473588</v>
      </c>
      <c r="AM301" t="n">
        <v>0.231574437</v>
      </c>
      <c r="AN301" t="n">
        <v>4.460380932</v>
      </c>
      <c r="AO301" t="n">
        <v>2.25969562</v>
      </c>
      <c r="AQ301" t="n">
        <v>0.232490078</v>
      </c>
      <c r="AR301" t="n">
        <v>1.158396802</v>
      </c>
      <c r="AS301" t="n">
        <v>-0.442618298</v>
      </c>
      <c r="AT301" t="n">
        <v>0.732925413</v>
      </c>
      <c r="AU301" t="n">
        <v>-0.410338185</v>
      </c>
      <c r="AV301" t="n">
        <v>1.532076678</v>
      </c>
    </row>
    <row r="302">
      <c r="A302" t="inlineStr">
        <is>
          <t>2022-Q2</t>
        </is>
      </c>
      <c r="B302" s="87" t="n">
        <v>44743</v>
      </c>
      <c r="C302" t="n">
        <v>1.374767844</v>
      </c>
      <c r="D302" t="n">
        <v>0.825496592</v>
      </c>
      <c r="E302" t="n">
        <v>1.688029469</v>
      </c>
      <c r="F302" t="n">
        <v>0.533696652</v>
      </c>
      <c r="G302" t="n">
        <v>1.072750514</v>
      </c>
      <c r="H302" t="n">
        <v>0.896972509</v>
      </c>
      <c r="I302" t="n">
        <v>0.275143887</v>
      </c>
      <c r="J302" t="n">
        <v>-0.6351760829999999</v>
      </c>
      <c r="K302" t="n">
        <v>-2.3</v>
      </c>
      <c r="L302" t="n">
        <v>0.267743255</v>
      </c>
      <c r="M302" t="n">
        <v>-0.120825926</v>
      </c>
      <c r="N302" t="n">
        <v>1.272627241</v>
      </c>
      <c r="O302" t="n">
        <v>0.878399</v>
      </c>
      <c r="P302" t="n">
        <v>0.902712</v>
      </c>
      <c r="Q302" t="n">
        <v>2.643792043</v>
      </c>
      <c r="R302" t="n">
        <v>-1.05175024</v>
      </c>
      <c r="S302" t="n">
        <v>0.669028</v>
      </c>
      <c r="T302" t="n">
        <v>0.55636598</v>
      </c>
      <c r="U302" t="n">
        <v>0.539244811</v>
      </c>
      <c r="V302" t="n">
        <v>0.224002</v>
      </c>
      <c r="W302" t="n">
        <v>0.05129824</v>
      </c>
      <c r="X302" t="n">
        <v>0.881055452</v>
      </c>
      <c r="Y302" t="n">
        <v>0.577852243</v>
      </c>
      <c r="Z302" t="n">
        <v>1.14959</v>
      </c>
      <c r="AA302" t="n">
        <v>2.139889283</v>
      </c>
      <c r="AB302" t="n">
        <v>3.220668575</v>
      </c>
      <c r="AC302" t="n">
        <v>1.567366832</v>
      </c>
      <c r="AD302" t="n">
        <v>1.038223035</v>
      </c>
      <c r="AE302" t="n">
        <v>1.377870749</v>
      </c>
      <c r="AF302" t="n">
        <v>0.750468621</v>
      </c>
      <c r="AG302" t="n">
        <v>-0.10775006</v>
      </c>
      <c r="AH302" t="n">
        <v>-0.166086172</v>
      </c>
      <c r="AI302" t="n">
        <v>1.104230605</v>
      </c>
      <c r="AJ302" t="n">
        <v>2.58732821</v>
      </c>
      <c r="AK302" t="n">
        <v>0.951566179</v>
      </c>
      <c r="AL302" t="n">
        <v>1.527332367</v>
      </c>
      <c r="AM302" t="n">
        <v>0.462406743</v>
      </c>
      <c r="AN302" t="n">
        <v>-2.477909247</v>
      </c>
      <c r="AO302" t="n">
        <v>0.193721282</v>
      </c>
      <c r="AQ302" t="n">
        <v>0.177132767</v>
      </c>
      <c r="AR302" t="n">
        <v>0.7442217840000001</v>
      </c>
      <c r="AS302" t="n">
        <v>0.201704752</v>
      </c>
      <c r="AT302" t="n">
        <v>1.845509858</v>
      </c>
      <c r="AU302" t="n">
        <v>-0.144633973</v>
      </c>
      <c r="AV302" t="n">
        <v>-0.836762081</v>
      </c>
    </row>
    <row r="303">
      <c r="A303" t="inlineStr">
        <is>
          <t>2022-Q3</t>
        </is>
      </c>
      <c r="B303" s="87" t="n">
        <v>44835</v>
      </c>
      <c r="C303" t="n">
        <v>0.803217306</v>
      </c>
      <c r="D303" t="n">
        <v>0.612460401</v>
      </c>
      <c r="E303" t="n">
        <v>0.040853928</v>
      </c>
      <c r="F303" t="n">
        <v>0.314202108</v>
      </c>
      <c r="G303" t="n">
        <v>0.455315583</v>
      </c>
      <c r="H303" t="n">
        <v>0.558360181</v>
      </c>
      <c r="I303" t="n">
        <v>0.188656533</v>
      </c>
      <c r="J303" t="n">
        <v>-1.101753995</v>
      </c>
      <c r="K303" t="n">
        <v>3.9</v>
      </c>
      <c r="L303" t="n">
        <v>-0.270628687</v>
      </c>
      <c r="M303" t="n">
        <v>0.474593985</v>
      </c>
      <c r="N303" t="n">
        <v>0.346185161</v>
      </c>
      <c r="O303" t="n">
        <v>0.370305</v>
      </c>
      <c r="P303" t="n">
        <v>0.37606</v>
      </c>
      <c r="Q303" t="n">
        <v>0.430129377</v>
      </c>
      <c r="R303" t="n">
        <v>-1.091789905</v>
      </c>
      <c r="S303" t="n">
        <v>0.381095</v>
      </c>
      <c r="T303" t="n">
        <v>-0.425086873</v>
      </c>
      <c r="U303" t="n">
        <v>0.175807285</v>
      </c>
      <c r="V303" t="n">
        <v>0.474566</v>
      </c>
      <c r="W303" t="n">
        <v>-0.093938796</v>
      </c>
      <c r="X303" t="n">
        <v>0.170997609</v>
      </c>
      <c r="Y303" t="n">
        <v>-0.844263014</v>
      </c>
      <c r="Z303" t="n">
        <v>1.88811</v>
      </c>
      <c r="AA303" t="n">
        <v>2.543027283</v>
      </c>
      <c r="AB303" t="n">
        <v>0.235724205</v>
      </c>
      <c r="AC303" t="n">
        <v>0.446418462</v>
      </c>
      <c r="AD303" t="n">
        <v>0.386651882</v>
      </c>
      <c r="AE303" t="n">
        <v>-0.366123007</v>
      </c>
      <c r="AF303" t="n">
        <v>0.233726766</v>
      </c>
      <c r="AG303" t="n">
        <v>1.478172075</v>
      </c>
      <c r="AH303" t="n">
        <v>-1.210843991</v>
      </c>
      <c r="AI303" t="n">
        <v>0.914975866</v>
      </c>
      <c r="AJ303" t="n">
        <v>-0.185951737</v>
      </c>
      <c r="AK303" t="n">
        <v>1.205717568</v>
      </c>
      <c r="AL303" t="n">
        <v>1.432239082</v>
      </c>
      <c r="AM303" t="n">
        <v>0.442214967</v>
      </c>
      <c r="AN303" t="n">
        <v>1.012029972</v>
      </c>
      <c r="AO303" t="n">
        <v>0.332851414</v>
      </c>
      <c r="AQ303" t="n">
        <v>0.292249009</v>
      </c>
      <c r="AR303" t="n">
        <v>-1.3415779</v>
      </c>
      <c r="AS303" t="n">
        <v>0.592462563</v>
      </c>
      <c r="AT303" t="n">
        <v>-0.08052983</v>
      </c>
      <c r="AU303" t="n">
        <v>0.801155209</v>
      </c>
      <c r="AV303" t="n">
        <v>1.773960034</v>
      </c>
    </row>
    <row r="304">
      <c r="A304" t="inlineStr">
        <is>
          <t>2022-Q4</t>
        </is>
      </c>
      <c r="B304" s="87" t="n">
        <v>44927</v>
      </c>
      <c r="C304" t="n">
        <v>-1.675363077</v>
      </c>
      <c r="D304" t="n">
        <v>0.577788876</v>
      </c>
      <c r="E304" t="n">
        <v>-0.058313179</v>
      </c>
      <c r="F304" t="n">
        <v>0.055071292</v>
      </c>
      <c r="G304" t="n">
        <v>-0.061710301</v>
      </c>
      <c r="H304" t="n">
        <v>-0.037224634</v>
      </c>
      <c r="I304" t="n">
        <v>-0.039431037</v>
      </c>
      <c r="J304" t="n">
        <v>0.206395083</v>
      </c>
      <c r="K304" t="n">
        <v>0.6</v>
      </c>
      <c r="L304" t="n">
        <v>-0.351914584</v>
      </c>
      <c r="M304" t="n">
        <v>-0.537182704</v>
      </c>
      <c r="N304" t="n">
        <v>0.475262122</v>
      </c>
      <c r="O304" t="n">
        <v>-0.031901</v>
      </c>
      <c r="P304" t="n">
        <v>-0.04907</v>
      </c>
      <c r="Q304" t="n">
        <v>0.472127609</v>
      </c>
      <c r="R304" t="n">
        <v>-1.004297259</v>
      </c>
      <c r="S304" t="n">
        <v>-0.187575</v>
      </c>
      <c r="T304" t="n">
        <v>-0.562425885</v>
      </c>
      <c r="U304" t="n">
        <v>-0.016148941</v>
      </c>
      <c r="V304" t="n">
        <v>0.283259</v>
      </c>
      <c r="W304" t="n">
        <v>0.129018134</v>
      </c>
      <c r="X304" t="n">
        <v>1.072025685</v>
      </c>
      <c r="Y304" t="n">
        <v>-0.5606793410000001</v>
      </c>
      <c r="Z304" t="n">
        <v>1.00309</v>
      </c>
      <c r="AA304" t="n">
        <v>-0.144175795</v>
      </c>
      <c r="AB304" t="n">
        <v>2.184471979</v>
      </c>
      <c r="AC304" t="n">
        <v>1.301292579</v>
      </c>
      <c r="AD304" t="n">
        <v>-0.09495693199999999</v>
      </c>
      <c r="AE304" t="n">
        <v>0.103504238</v>
      </c>
      <c r="AF304" t="n">
        <v>-0.302968296</v>
      </c>
      <c r="AG304" t="n">
        <v>-3.694268913</v>
      </c>
      <c r="AH304" t="n">
        <v>1.177291631</v>
      </c>
      <c r="AI304" t="n">
        <v>0.5785639460000001</v>
      </c>
      <c r="AJ304" t="n">
        <v>0.416998218</v>
      </c>
      <c r="AK304" t="n">
        <v>-0.021736896</v>
      </c>
      <c r="AL304" t="n">
        <v>-0.688233203</v>
      </c>
      <c r="AM304" t="n">
        <v>0.227597112</v>
      </c>
      <c r="AN304" t="n">
        <v>-2.27502298</v>
      </c>
      <c r="AO304" t="n">
        <v>0.349385641</v>
      </c>
      <c r="AQ304" t="n">
        <v>0.266986779</v>
      </c>
      <c r="AR304" t="n">
        <v>0.723727585</v>
      </c>
      <c r="AS304" t="n">
        <v>-0.546316193</v>
      </c>
      <c r="AT304" t="n">
        <v>0.937447501</v>
      </c>
      <c r="AU304" t="n">
        <v>0.637397896</v>
      </c>
      <c r="AV304" t="n">
        <v>-1.094063686</v>
      </c>
    </row>
    <row r="305">
      <c r="A305" t="inlineStr">
        <is>
          <t>2023-Q1</t>
        </is>
      </c>
      <c r="B305" s="87" t="n">
        <v>45017</v>
      </c>
      <c r="C305" t="n">
        <v>0.678832903</v>
      </c>
      <c r="D305" t="n">
        <v>0.23317027</v>
      </c>
      <c r="E305" t="n">
        <v>0.094454911</v>
      </c>
      <c r="F305" t="n">
        <v>0.399907118</v>
      </c>
      <c r="G305" t="n">
        <v>1.946425628</v>
      </c>
      <c r="H305" t="n">
        <v>0.778211363</v>
      </c>
      <c r="I305" t="n">
        <v>0.265231867</v>
      </c>
      <c r="J305" t="n">
        <v>0.831269551</v>
      </c>
      <c r="K305" t="n">
        <v>2.2</v>
      </c>
      <c r="L305" t="n">
        <v>-0.041436933</v>
      </c>
      <c r="M305" t="n">
        <v>-0.335233047</v>
      </c>
      <c r="N305" t="n">
        <v>0.244028043</v>
      </c>
      <c r="P305" t="n">
        <v>0.06880699999999999</v>
      </c>
      <c r="Q305" t="n">
        <v>0.588057597</v>
      </c>
      <c r="R305" t="n">
        <v>-0.611931217</v>
      </c>
      <c r="S305" t="n">
        <v>0.105007</v>
      </c>
      <c r="T305" t="n">
        <v>0.163549014</v>
      </c>
      <c r="U305" t="n">
        <v>0.170669737</v>
      </c>
      <c r="V305" t="n">
        <v>0.301213</v>
      </c>
      <c r="W305" t="n">
        <v>0.125446905</v>
      </c>
      <c r="X305" t="n">
        <v>-0.064008916</v>
      </c>
      <c r="Y305" t="n">
        <v>-0.294836599</v>
      </c>
      <c r="Z305" t="n">
        <v>1.9217</v>
      </c>
      <c r="AA305" t="n">
        <v>-4.626768268</v>
      </c>
      <c r="AB305" t="n">
        <v>0.334398188</v>
      </c>
      <c r="AC305" t="n">
        <v>0.767408903</v>
      </c>
      <c r="AD305" t="n">
        <v>0.557138534</v>
      </c>
      <c r="AE305" t="n">
        <v>0.674923096</v>
      </c>
      <c r="AF305" t="n">
        <v>0.329874547</v>
      </c>
      <c r="AG305" t="n">
        <v>2.011945563</v>
      </c>
      <c r="AH305" t="n">
        <v>0.583456388</v>
      </c>
      <c r="AI305" t="n">
        <v>1.020610932</v>
      </c>
      <c r="AJ305" t="n">
        <v>-0.656791646</v>
      </c>
      <c r="AK305" t="n">
        <v>0.240764363</v>
      </c>
      <c r="AL305" t="n">
        <v>-0.064432067</v>
      </c>
      <c r="AM305" t="n">
        <v>0.377156399</v>
      </c>
      <c r="AN305" t="n">
        <v>3.836125005</v>
      </c>
      <c r="AO305" t="n">
        <v>1.644011395</v>
      </c>
      <c r="AQ305" t="n">
        <v>0.260465479</v>
      </c>
      <c r="AR305" t="n">
        <v>0.572536246</v>
      </c>
      <c r="AS305" t="n">
        <v>0.583603308</v>
      </c>
      <c r="AT305" t="n">
        <v>0.314712325</v>
      </c>
      <c r="AU305" t="n">
        <v>0.316848896</v>
      </c>
      <c r="AV305" t="n">
        <v>0.358585656</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X308"/>
  <sheetViews>
    <sheetView topLeftCell="A286" workbookViewId="0">
      <selection activeCell="C1" sqref="C1:AW1"/>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EA20</t>
        </is>
      </c>
      <c r="Q1" t="inlineStr">
        <is>
          <t>ESP</t>
        </is>
      </c>
      <c r="R1" t="inlineStr">
        <is>
          <t>EST</t>
        </is>
      </c>
      <c r="S1" t="inlineStr">
        <is>
          <t>EU27_2020</t>
        </is>
      </c>
      <c r="T1" t="inlineStr">
        <is>
          <t>EU28</t>
        </is>
      </c>
      <c r="U1" t="inlineStr">
        <is>
          <t>FIN</t>
        </is>
      </c>
      <c r="V1" t="inlineStr">
        <is>
          <t>FRA</t>
        </is>
      </c>
      <c r="W1" t="inlineStr">
        <is>
          <t>G-7</t>
        </is>
      </c>
      <c r="X1" t="inlineStr">
        <is>
          <t>G7</t>
        </is>
      </c>
      <c r="Y1" t="inlineStr">
        <is>
          <t>GBR</t>
        </is>
      </c>
      <c r="Z1" t="inlineStr">
        <is>
          <t>GRC</t>
        </is>
      </c>
      <c r="AA1" t="inlineStr">
        <is>
          <t>HUN</t>
        </is>
      </c>
      <c r="AB1" t="inlineStr">
        <is>
          <t>IND</t>
        </is>
      </c>
      <c r="AC1" t="inlineStr">
        <is>
          <t>IRL</t>
        </is>
      </c>
      <c r="AD1" t="inlineStr">
        <is>
          <t>ISL</t>
        </is>
      </c>
      <c r="AE1" t="inlineStr">
        <is>
          <t>ISR</t>
        </is>
      </c>
      <c r="AF1" t="inlineStr">
        <is>
          <t>ITA</t>
        </is>
      </c>
      <c r="AG1" t="inlineStr">
        <is>
          <t>JPN</t>
        </is>
      </c>
      <c r="AH1" t="inlineStr">
        <is>
          <t>KOR</t>
        </is>
      </c>
      <c r="AI1" t="inlineStr">
        <is>
          <t>LUX</t>
        </is>
      </c>
      <c r="AJ1" t="inlineStr">
        <is>
          <t>LVA</t>
        </is>
      </c>
      <c r="AK1" t="inlineStr">
        <is>
          <t>MEX</t>
        </is>
      </c>
      <c r="AL1" t="inlineStr">
        <is>
          <t>NLD</t>
        </is>
      </c>
      <c r="AM1" t="inlineStr">
        <is>
          <t>NOR</t>
        </is>
      </c>
      <c r="AN1" t="inlineStr">
        <is>
          <t>NZL</t>
        </is>
      </c>
      <c r="AO1" t="inlineStr">
        <is>
          <t>OECD</t>
        </is>
      </c>
      <c r="AP1" t="inlineStr">
        <is>
          <t>POL</t>
        </is>
      </c>
      <c r="AQ1" t="inlineStr">
        <is>
          <t>PRT</t>
        </is>
      </c>
      <c r="AR1" t="inlineStr">
        <is>
          <t>RUS</t>
        </is>
      </c>
      <c r="AS1" t="inlineStr">
        <is>
          <t>SVK</t>
        </is>
      </c>
      <c r="AT1" t="inlineStr">
        <is>
          <t>SVN</t>
        </is>
      </c>
      <c r="AU1" t="inlineStr">
        <is>
          <t>SWE</t>
        </is>
      </c>
      <c r="AV1" t="inlineStr">
        <is>
          <t>TUR</t>
        </is>
      </c>
      <c r="AW1" t="inlineStr">
        <is>
          <t>USA</t>
        </is>
      </c>
      <c r="AX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W5" t="n">
        <v>2.604733466</v>
      </c>
    </row>
    <row r="6">
      <c r="A6" t="inlineStr">
        <is>
          <t>1948-Q2</t>
        </is>
      </c>
      <c r="B6" s="87" t="n">
        <v>17715</v>
      </c>
      <c r="AW6" t="n">
        <v>4.577323876</v>
      </c>
    </row>
    <row r="7">
      <c r="A7" t="inlineStr">
        <is>
          <t>1948-Q3</t>
        </is>
      </c>
      <c r="B7" s="87" t="n">
        <v>17807</v>
      </c>
      <c r="AW7" t="n">
        <v>5.394121197</v>
      </c>
    </row>
    <row r="8">
      <c r="A8" t="inlineStr">
        <is>
          <t>1948-Q4</t>
        </is>
      </c>
      <c r="B8" s="87" t="n">
        <v>17899</v>
      </c>
      <c r="AW8" t="n">
        <v>3.886782838</v>
      </c>
    </row>
    <row r="9">
      <c r="A9" t="inlineStr">
        <is>
          <t>1949-Q1</t>
        </is>
      </c>
      <c r="B9" s="87" t="n">
        <v>17989</v>
      </c>
      <c r="AW9" t="n">
        <v>0.9369841169999999</v>
      </c>
    </row>
    <row r="10">
      <c r="A10" t="inlineStr">
        <is>
          <t>1949-Q2</t>
        </is>
      </c>
      <c r="B10" s="87" t="n">
        <v>18080</v>
      </c>
      <c r="AW10" t="n">
        <v>-1.04081297</v>
      </c>
    </row>
    <row r="11">
      <c r="A11" t="inlineStr">
        <is>
          <t>1949-Q3</t>
        </is>
      </c>
      <c r="B11" s="87" t="n">
        <v>18172</v>
      </c>
      <c r="AW11" t="n">
        <v>-0.588691206</v>
      </c>
    </row>
    <row r="12">
      <c r="A12" t="inlineStr">
        <is>
          <t>1949-Q4</t>
        </is>
      </c>
      <c r="B12" s="87" t="n">
        <v>18264</v>
      </c>
      <c r="AW12" t="n">
        <v>-1.533017543</v>
      </c>
    </row>
    <row r="13">
      <c r="A13" t="inlineStr">
        <is>
          <t>1950-Q1</t>
        </is>
      </c>
      <c r="B13" s="87" t="n">
        <v>18354</v>
      </c>
      <c r="AW13" t="n">
        <v>3.766680699</v>
      </c>
    </row>
    <row r="14">
      <c r="A14" t="inlineStr">
        <is>
          <t>1950-Q2</t>
        </is>
      </c>
      <c r="B14" s="87" t="n">
        <v>18445</v>
      </c>
      <c r="AW14" t="n">
        <v>7.297360623</v>
      </c>
    </row>
    <row r="15">
      <c r="A15" t="inlineStr">
        <is>
          <t>1950-Q3</t>
        </is>
      </c>
      <c r="B15" s="87" t="n">
        <v>18537</v>
      </c>
      <c r="AW15" t="n">
        <v>10.304959762</v>
      </c>
    </row>
    <row r="16">
      <c r="A16" t="inlineStr">
        <is>
          <t>1950-Q4</t>
        </is>
      </c>
      <c r="B16" s="87" t="n">
        <v>18629</v>
      </c>
      <c r="AW16" t="n">
        <v>13.368522328</v>
      </c>
    </row>
    <row r="17">
      <c r="A17" t="inlineStr">
        <is>
          <t>1951-Q1</t>
        </is>
      </c>
      <c r="B17" s="87" t="n">
        <v>18719</v>
      </c>
      <c r="AW17" t="n">
        <v>10.563012123</v>
      </c>
    </row>
    <row r="18">
      <c r="A18" t="inlineStr">
        <is>
          <t>1951-Q2</t>
        </is>
      </c>
      <c r="B18" s="87" t="n">
        <v>18810</v>
      </c>
      <c r="AW18" t="n">
        <v>9.149883824</v>
      </c>
    </row>
    <row r="19">
      <c r="A19" t="inlineStr">
        <is>
          <t>1951-Q3</t>
        </is>
      </c>
      <c r="B19" s="87" t="n">
        <v>18902</v>
      </c>
      <c r="AW19" t="n">
        <v>7.254695502</v>
      </c>
    </row>
    <row r="20">
      <c r="A20" t="inlineStr">
        <is>
          <t>1951-Q4</t>
        </is>
      </c>
      <c r="B20" s="87" t="n">
        <v>18994</v>
      </c>
      <c r="AW20" t="n">
        <v>5.471378495</v>
      </c>
    </row>
    <row r="21">
      <c r="A21" t="inlineStr">
        <is>
          <t>1952-Q1</t>
        </is>
      </c>
      <c r="B21" s="87" t="n">
        <v>19085</v>
      </c>
      <c r="AW21" t="n">
        <v>5.170000881</v>
      </c>
    </row>
    <row r="22">
      <c r="A22" t="inlineStr">
        <is>
          <t>1952-Q2</t>
        </is>
      </c>
      <c r="B22" s="87" t="n">
        <v>19176</v>
      </c>
      <c r="AW22" t="n">
        <v>3.601420952</v>
      </c>
    </row>
    <row r="23">
      <c r="A23" t="inlineStr">
        <is>
          <t>1952-Q3</t>
        </is>
      </c>
      <c r="B23" s="87" t="n">
        <v>19268</v>
      </c>
      <c r="AW23" t="n">
        <v>2.242059381</v>
      </c>
    </row>
    <row r="24">
      <c r="A24" t="inlineStr">
        <is>
          <t>1952-Q4</t>
        </is>
      </c>
      <c r="B24" s="87" t="n">
        <v>19360</v>
      </c>
      <c r="AW24" t="n">
        <v>5.367836947</v>
      </c>
    </row>
    <row r="25">
      <c r="A25" t="inlineStr">
        <is>
          <t>1953-Q1</t>
        </is>
      </c>
      <c r="B25" s="87" t="n">
        <v>19450</v>
      </c>
      <c r="AW25" t="n">
        <v>6.191789594</v>
      </c>
    </row>
    <row r="26">
      <c r="A26" t="inlineStr">
        <is>
          <t>1953-Q2</t>
        </is>
      </c>
      <c r="B26" s="87" t="n">
        <v>19541</v>
      </c>
      <c r="AW26" t="n">
        <v>6.782580163</v>
      </c>
    </row>
    <row r="27">
      <c r="A27" t="inlineStr">
        <is>
          <t>1953-Q3</t>
        </is>
      </c>
      <c r="B27" s="87" t="n">
        <v>19633</v>
      </c>
      <c r="AW27" t="n">
        <v>5.420760181</v>
      </c>
    </row>
    <row r="28">
      <c r="A28" t="inlineStr">
        <is>
          <t>1953-Q4</t>
        </is>
      </c>
      <c r="B28" s="87" t="n">
        <v>19725</v>
      </c>
      <c r="AW28" t="n">
        <v>0.523348844</v>
      </c>
    </row>
    <row r="29">
      <c r="A29" t="inlineStr">
        <is>
          <t>1954-Q1</t>
        </is>
      </c>
      <c r="B29" s="87" t="n">
        <v>19815</v>
      </c>
      <c r="AW29" t="n">
        <v>-1.782902464</v>
      </c>
    </row>
    <row r="30">
      <c r="A30" t="inlineStr">
        <is>
          <t>1954-Q2</t>
        </is>
      </c>
      <c r="B30" s="87" t="n">
        <v>19906</v>
      </c>
      <c r="AW30" t="n">
        <v>-2.43000905</v>
      </c>
    </row>
    <row r="31">
      <c r="A31" t="inlineStr">
        <is>
          <t>1954-Q3</t>
        </is>
      </c>
      <c r="B31" s="87" t="n">
        <v>19998</v>
      </c>
      <c r="AW31" t="n">
        <v>-0.769760223</v>
      </c>
    </row>
    <row r="32">
      <c r="A32" t="inlineStr">
        <is>
          <t>1954-Q4</t>
        </is>
      </c>
      <c r="B32" s="87" t="n">
        <v>20090</v>
      </c>
      <c r="AW32" t="n">
        <v>2.72709325</v>
      </c>
    </row>
    <row r="33">
      <c r="A33" t="inlineStr">
        <is>
          <t>1955-Q1</t>
        </is>
      </c>
      <c r="B33" s="87" t="n">
        <v>20180</v>
      </c>
      <c r="AW33" t="n">
        <v>6.168731987</v>
      </c>
    </row>
    <row r="34">
      <c r="A34" t="inlineStr">
        <is>
          <t>1955-Q2</t>
        </is>
      </c>
      <c r="B34" s="87" t="n">
        <v>20271</v>
      </c>
      <c r="AW34" t="n">
        <v>7.778844328</v>
      </c>
    </row>
    <row r="35">
      <c r="A35" t="inlineStr">
        <is>
          <t>1955-Q3</t>
        </is>
      </c>
      <c r="B35" s="87" t="n">
        <v>20363</v>
      </c>
      <c r="AW35" t="n">
        <v>8.014501381000001</v>
      </c>
    </row>
    <row r="36">
      <c r="A36" t="inlineStr">
        <is>
          <t>1955-Q4</t>
        </is>
      </c>
      <c r="B36" s="87" t="n">
        <v>20455</v>
      </c>
      <c r="AW36" t="n">
        <v>6.577553198</v>
      </c>
    </row>
    <row r="37">
      <c r="A37" t="inlineStr">
        <is>
          <t>1956-Q1</t>
        </is>
      </c>
      <c r="B37" s="87" t="n">
        <v>20546</v>
      </c>
      <c r="Y37" t="n">
        <v>2.758290324</v>
      </c>
      <c r="AW37" t="n">
        <v>3.215548532</v>
      </c>
    </row>
    <row r="38">
      <c r="A38" t="inlineStr">
        <is>
          <t>1956-Q2</t>
        </is>
      </c>
      <c r="B38" s="87" t="n">
        <v>20637</v>
      </c>
      <c r="Y38" t="n">
        <v>2.439796478</v>
      </c>
      <c r="AW38" t="n">
        <v>2.402145867</v>
      </c>
    </row>
    <row r="39">
      <c r="A39" t="inlineStr">
        <is>
          <t>1956-Q3</t>
        </is>
      </c>
      <c r="B39" s="87" t="n">
        <v>20729</v>
      </c>
      <c r="Y39" t="n">
        <v>0.342312731</v>
      </c>
      <c r="AW39" t="n">
        <v>0.94689641</v>
      </c>
    </row>
    <row r="40">
      <c r="A40" t="inlineStr">
        <is>
          <t>1956-Q4</t>
        </is>
      </c>
      <c r="B40" s="87" t="n">
        <v>20821</v>
      </c>
      <c r="Y40" t="n">
        <v>1.178879114</v>
      </c>
      <c r="AW40" t="n">
        <v>1.996033576</v>
      </c>
    </row>
    <row r="41">
      <c r="A41" t="inlineStr">
        <is>
          <t>1957-Q1</t>
        </is>
      </c>
      <c r="B41" s="87" t="n">
        <v>20911</v>
      </c>
      <c r="Y41" t="n">
        <v>2.039880299</v>
      </c>
      <c r="AW41" t="n">
        <v>3.04932862</v>
      </c>
    </row>
    <row r="42">
      <c r="A42" t="inlineStr">
        <is>
          <t>1957-Q2</t>
        </is>
      </c>
      <c r="B42" s="87" t="n">
        <v>21002</v>
      </c>
      <c r="Y42" t="n">
        <v>2.314608943</v>
      </c>
      <c r="AW42" t="n">
        <v>1.98087427</v>
      </c>
    </row>
    <row r="43">
      <c r="A43" t="inlineStr">
        <is>
          <t>1957-Q3</t>
        </is>
      </c>
      <c r="B43" s="87" t="n">
        <v>21094</v>
      </c>
      <c r="Y43" t="n">
        <v>1.848371637</v>
      </c>
      <c r="AW43" t="n">
        <v>3.072905884</v>
      </c>
    </row>
    <row r="44">
      <c r="A44" t="inlineStr">
        <is>
          <t>1957-Q4</t>
        </is>
      </c>
      <c r="B44" s="87" t="n">
        <v>21186</v>
      </c>
      <c r="Y44" t="n">
        <v>1.566813344</v>
      </c>
      <c r="AW44" t="n">
        <v>0.355134715</v>
      </c>
    </row>
    <row r="45">
      <c r="A45" t="inlineStr">
        <is>
          <t>1958-Q1</t>
        </is>
      </c>
      <c r="B45" s="87" t="n">
        <v>21276</v>
      </c>
      <c r="Y45" t="n">
        <v>1.690356714</v>
      </c>
      <c r="AW45" t="n">
        <v>-2.87142829</v>
      </c>
    </row>
    <row r="46">
      <c r="A46" t="inlineStr">
        <is>
          <t>1958-Q2</t>
        </is>
      </c>
      <c r="B46" s="87" t="n">
        <v>21367</v>
      </c>
      <c r="Y46" t="n">
        <v>-0.6836095760000001</v>
      </c>
      <c r="AW46" t="n">
        <v>-2.018409485</v>
      </c>
    </row>
    <row r="47">
      <c r="A47" t="inlineStr">
        <is>
          <t>1958-Q3</t>
        </is>
      </c>
      <c r="B47" s="87" t="n">
        <v>21459</v>
      </c>
      <c r="Y47" t="n">
        <v>2.094943088</v>
      </c>
      <c r="AW47" t="n">
        <v>-0.7247978859999999</v>
      </c>
    </row>
    <row r="48">
      <c r="A48" t="inlineStr">
        <is>
          <t>1958-Q4</t>
        </is>
      </c>
      <c r="B48" s="87" t="n">
        <v>21551</v>
      </c>
      <c r="Y48" t="n">
        <v>2.112154516</v>
      </c>
      <c r="AW48" t="n">
        <v>2.658137335</v>
      </c>
    </row>
    <row r="49">
      <c r="A49" t="inlineStr">
        <is>
          <t>1959-Q1</t>
        </is>
      </c>
      <c r="B49" s="87" t="n">
        <v>21641</v>
      </c>
      <c r="Y49" t="n">
        <v>0.539110902</v>
      </c>
      <c r="AW49" t="n">
        <v>7.416649216</v>
      </c>
    </row>
    <row r="50">
      <c r="A50" t="inlineStr">
        <is>
          <t>1959-Q2</t>
        </is>
      </c>
      <c r="B50" s="87" t="n">
        <v>21732</v>
      </c>
      <c r="Y50" t="n">
        <v>4.622391004</v>
      </c>
      <c r="AW50" t="n">
        <v>9.12189848</v>
      </c>
    </row>
    <row r="51">
      <c r="A51" t="inlineStr">
        <is>
          <t>1959-Q3</t>
        </is>
      </c>
      <c r="B51" s="87" t="n">
        <v>21824</v>
      </c>
      <c r="Y51" t="n">
        <v>4.594580862</v>
      </c>
      <c r="AW51" t="n">
        <v>6.729998745</v>
      </c>
    </row>
    <row r="52">
      <c r="A52" t="inlineStr">
        <is>
          <t>1959-Q4</t>
        </is>
      </c>
      <c r="B52" s="87" t="n">
        <v>21916</v>
      </c>
      <c r="Y52" t="n">
        <v>7.144618509</v>
      </c>
      <c r="AW52" t="n">
        <v>4.588663295</v>
      </c>
    </row>
    <row r="53">
      <c r="A53" t="inlineStr">
        <is>
          <t>1960-Q1</t>
        </is>
      </c>
      <c r="B53" s="87" t="n">
        <v>22007</v>
      </c>
      <c r="Y53" t="n">
        <v>9.132318071</v>
      </c>
      <c r="AW53" t="n">
        <v>4.925418809</v>
      </c>
    </row>
    <row r="54">
      <c r="A54" t="inlineStr">
        <is>
          <t>1960-Q2</t>
        </is>
      </c>
      <c r="B54" s="87" t="n">
        <v>22098</v>
      </c>
      <c r="Y54" t="n">
        <v>6.505310023</v>
      </c>
      <c r="AW54" t="n">
        <v>2.058208212</v>
      </c>
    </row>
    <row r="55">
      <c r="A55" t="inlineStr">
        <is>
          <t>1960-Q3</t>
        </is>
      </c>
      <c r="B55" s="87" t="n">
        <v>22190</v>
      </c>
      <c r="Y55" t="n">
        <v>5.818141442</v>
      </c>
      <c r="AW55" t="n">
        <v>2.485388761</v>
      </c>
    </row>
    <row r="56">
      <c r="A56" t="inlineStr">
        <is>
          <t>1960-Q4</t>
        </is>
      </c>
      <c r="B56" s="87" t="n">
        <v>22282</v>
      </c>
      <c r="Y56" t="n">
        <v>3.940269815</v>
      </c>
      <c r="AW56" t="n">
        <v>0.882684143</v>
      </c>
    </row>
    <row r="57">
      <c r="A57" t="inlineStr">
        <is>
          <t>1961-Q1</t>
        </is>
      </c>
      <c r="B57" s="87" t="n">
        <v>22372</v>
      </c>
      <c r="D57" t="n">
        <v>3.102296989</v>
      </c>
      <c r="E57" t="n">
        <v>8.008100796000001</v>
      </c>
      <c r="F57" t="n">
        <v>4.953327546</v>
      </c>
      <c r="I57" t="n">
        <v>9.435370532</v>
      </c>
      <c r="M57" t="n">
        <v>7.450289556</v>
      </c>
      <c r="N57" t="n">
        <v>4.915217313</v>
      </c>
      <c r="Q57" t="n">
        <v>10.081656102</v>
      </c>
      <c r="U57" t="n">
        <v>9.042962538999999</v>
      </c>
      <c r="V57" t="n">
        <v>3.971438385</v>
      </c>
      <c r="Y57" t="n">
        <v>3.018095364</v>
      </c>
      <c r="Z57" t="n">
        <v>13.732300912</v>
      </c>
      <c r="AC57" t="n">
        <v>5.464306105</v>
      </c>
      <c r="AD57" t="n">
        <v>-1.428355688</v>
      </c>
      <c r="AF57" t="n">
        <v>6.72839745</v>
      </c>
      <c r="AG57" t="n">
        <v>10.879027492</v>
      </c>
      <c r="AH57" t="n">
        <v>7.27803275</v>
      </c>
      <c r="AI57" t="n">
        <v>4.349744991</v>
      </c>
      <c r="AK57" t="n">
        <v>4.013559701</v>
      </c>
      <c r="AL57" t="n">
        <v>2.057126582</v>
      </c>
      <c r="AM57" t="n">
        <v>5.869164351</v>
      </c>
      <c r="AQ57" t="n">
        <v>4.304230975</v>
      </c>
      <c r="AU57" t="n">
        <v>6.96272897</v>
      </c>
      <c r="AW57" t="n">
        <v>-0.669128242</v>
      </c>
      <c r="AX57" t="n">
        <v>5.283162054</v>
      </c>
    </row>
    <row r="58">
      <c r="A58" t="inlineStr">
        <is>
          <t>1961-Q2</t>
        </is>
      </c>
      <c r="B58" s="87" t="n">
        <v>22463</v>
      </c>
      <c r="D58" t="n">
        <v>-0.778047352</v>
      </c>
      <c r="E58" t="n">
        <v>5.169873068</v>
      </c>
      <c r="F58" t="n">
        <v>4.886372094</v>
      </c>
      <c r="I58" t="n">
        <v>8.714370874</v>
      </c>
      <c r="M58" t="n">
        <v>5.00209888</v>
      </c>
      <c r="N58" t="n">
        <v>6.142935511</v>
      </c>
      <c r="Q58" t="n">
        <v>12.654501031</v>
      </c>
      <c r="U58" t="n">
        <v>7.459675384</v>
      </c>
      <c r="V58" t="n">
        <v>5.239926785</v>
      </c>
      <c r="Y58" t="n">
        <v>4.221526992</v>
      </c>
      <c r="Z58" t="n">
        <v>13.260075956</v>
      </c>
      <c r="AC58" t="n">
        <v>5.383629892</v>
      </c>
      <c r="AD58" t="n">
        <v>-1.431513525</v>
      </c>
      <c r="AF58" t="n">
        <v>7.409878847</v>
      </c>
      <c r="AG58" t="n">
        <v>13.033911709</v>
      </c>
      <c r="AH58" t="n">
        <v>7.093669513</v>
      </c>
      <c r="AI58" t="n">
        <v>4.297265319</v>
      </c>
      <c r="AK58" t="n">
        <v>3.968464812</v>
      </c>
      <c r="AL58" t="n">
        <v>-1.660569264</v>
      </c>
      <c r="AM58" t="n">
        <v>6.768961388</v>
      </c>
      <c r="AQ58" t="n">
        <v>5.22169497</v>
      </c>
      <c r="AU58" t="n">
        <v>5.916115027</v>
      </c>
      <c r="AW58" t="n">
        <v>1.564454936</v>
      </c>
      <c r="AX58" t="n">
        <v>3.141132323</v>
      </c>
    </row>
    <row r="59">
      <c r="A59" t="inlineStr">
        <is>
          <t>1961-Q3</t>
        </is>
      </c>
      <c r="B59" s="87" t="n">
        <v>22555</v>
      </c>
      <c r="D59" t="n">
        <v>-1.707059184</v>
      </c>
      <c r="E59" t="n">
        <v>5.171297691</v>
      </c>
      <c r="F59" t="n">
        <v>4.940566124</v>
      </c>
      <c r="I59" t="n">
        <v>6.172528144</v>
      </c>
      <c r="M59" t="n">
        <v>3.576950295</v>
      </c>
      <c r="N59" t="n">
        <v>6.98204323</v>
      </c>
      <c r="Q59" t="n">
        <v>11.82722116</v>
      </c>
      <c r="U59" t="n">
        <v>6.819939345</v>
      </c>
      <c r="V59" t="n">
        <v>6.121194558</v>
      </c>
      <c r="Y59" t="n">
        <v>2.185788766</v>
      </c>
      <c r="Z59" t="n">
        <v>10.997320481</v>
      </c>
      <c r="AC59" t="n">
        <v>4.987092314</v>
      </c>
      <c r="AD59" t="n">
        <v>-0.105392457</v>
      </c>
      <c r="AF59" t="n">
        <v>8.322359036</v>
      </c>
      <c r="AG59" t="n">
        <v>11.377645181</v>
      </c>
      <c r="AH59" t="n">
        <v>6.320767649</v>
      </c>
      <c r="AI59" t="n">
        <v>3.815935253</v>
      </c>
      <c r="AK59" t="n">
        <v>3.98271383</v>
      </c>
      <c r="AL59" t="n">
        <v>0.16790221</v>
      </c>
      <c r="AM59" t="n">
        <v>6.716543806</v>
      </c>
      <c r="AQ59" t="n">
        <v>5.920135217</v>
      </c>
      <c r="AU59" t="n">
        <v>5.66656015</v>
      </c>
      <c r="AW59" t="n">
        <v>3.009920537</v>
      </c>
      <c r="AX59" t="n">
        <v>3.537146061</v>
      </c>
    </row>
    <row r="60">
      <c r="A60" t="inlineStr">
        <is>
          <t>1961-Q4</t>
        </is>
      </c>
      <c r="B60" s="87" t="n">
        <v>22647</v>
      </c>
      <c r="D60" t="n">
        <v>-0.393102583</v>
      </c>
      <c r="E60" t="n">
        <v>3.96974878</v>
      </c>
      <c r="F60" t="n">
        <v>5.112482658</v>
      </c>
      <c r="I60" t="n">
        <v>8.203942002</v>
      </c>
      <c r="M60" t="n">
        <v>2.996160574</v>
      </c>
      <c r="N60" t="n">
        <v>7.434173455</v>
      </c>
      <c r="Q60" t="n">
        <v>12.713710728</v>
      </c>
      <c r="U60" t="n">
        <v>7.151842376</v>
      </c>
      <c r="V60" t="n">
        <v>6.660062972</v>
      </c>
      <c r="Y60" t="n">
        <v>1.226945921</v>
      </c>
      <c r="Z60" t="n">
        <v>6.977179513</v>
      </c>
      <c r="AC60" t="n">
        <v>4.258704214</v>
      </c>
      <c r="AD60" t="n">
        <v>2.655540781</v>
      </c>
      <c r="AF60" t="n">
        <v>10.310053935</v>
      </c>
      <c r="AG60" t="n">
        <v>12.17615334</v>
      </c>
      <c r="AH60" t="n">
        <v>7.061388567</v>
      </c>
      <c r="AI60" t="n">
        <v>2.884953141</v>
      </c>
      <c r="AK60" t="n">
        <v>4.052759283</v>
      </c>
      <c r="AL60" t="n">
        <v>0.655567721</v>
      </c>
      <c r="AM60" t="n">
        <v>5.746506337</v>
      </c>
      <c r="AQ60" t="n">
        <v>6.399767825</v>
      </c>
      <c r="AU60" t="n">
        <v>4.247552433</v>
      </c>
      <c r="AW60" t="n">
        <v>6.395529867</v>
      </c>
      <c r="AX60" t="n">
        <v>3.457111867</v>
      </c>
    </row>
    <row r="61">
      <c r="A61" t="inlineStr">
        <is>
          <t>1962-Q1</t>
        </is>
      </c>
      <c r="B61" s="87" t="n">
        <v>22737</v>
      </c>
      <c r="D61" t="n">
        <v>2.097231488</v>
      </c>
      <c r="E61" t="n">
        <v>2.612017176</v>
      </c>
      <c r="F61" t="n">
        <v>5.271922099</v>
      </c>
      <c r="H61" t="n">
        <v>9.287745472999999</v>
      </c>
      <c r="I61" t="n">
        <v>5.225774383</v>
      </c>
      <c r="M61" t="n">
        <v>3.466854108</v>
      </c>
      <c r="N61" t="n">
        <v>7.510077096</v>
      </c>
      <c r="Q61" t="n">
        <v>12.173784558</v>
      </c>
      <c r="U61" t="n">
        <v>4.939204059</v>
      </c>
      <c r="V61" t="n">
        <v>6.861509915</v>
      </c>
      <c r="Y61" t="n">
        <v>0.135906148</v>
      </c>
      <c r="Z61" t="n">
        <v>3.238725456</v>
      </c>
      <c r="AC61" t="n">
        <v>3.553468987</v>
      </c>
      <c r="AD61" t="n">
        <v>5.413462342</v>
      </c>
      <c r="AF61" t="n">
        <v>8.070639272999999</v>
      </c>
      <c r="AG61" t="n">
        <v>10.328285972</v>
      </c>
      <c r="AH61" t="n">
        <v>5.80716719</v>
      </c>
      <c r="AI61" t="n">
        <v>1.97986256</v>
      </c>
      <c r="AK61" t="n">
        <v>4.120104991</v>
      </c>
      <c r="AL61" t="n">
        <v>3.036310113</v>
      </c>
      <c r="AM61" t="n">
        <v>3.916005825</v>
      </c>
      <c r="AQ61" t="n">
        <v>6.664279093</v>
      </c>
      <c r="AU61" t="n">
        <v>2.550829447</v>
      </c>
      <c r="AW61" t="n">
        <v>7.56727604</v>
      </c>
      <c r="AX61" t="n">
        <v>5.368853258</v>
      </c>
    </row>
    <row r="62">
      <c r="A62" t="inlineStr">
        <is>
          <t>1962-Q2</t>
        </is>
      </c>
      <c r="B62" s="87" t="n">
        <v>22828</v>
      </c>
      <c r="D62" t="n">
        <v>5.215008432</v>
      </c>
      <c r="E62" t="n">
        <v>2.949917446</v>
      </c>
      <c r="F62" t="n">
        <v>5.433319809</v>
      </c>
      <c r="H62" t="n">
        <v>7.376064906</v>
      </c>
      <c r="I62" t="n">
        <v>5.017747102</v>
      </c>
      <c r="M62" t="n">
        <v>5.112241186</v>
      </c>
      <c r="N62" t="n">
        <v>6.795164891</v>
      </c>
      <c r="Q62" t="n">
        <v>9.902242491999999</v>
      </c>
      <c r="U62" t="n">
        <v>1.53206513</v>
      </c>
      <c r="V62" t="n">
        <v>6.877657784</v>
      </c>
      <c r="Y62" t="n">
        <v>0.706384283</v>
      </c>
      <c r="Z62" t="n">
        <v>-0.26087682</v>
      </c>
      <c r="AC62" t="n">
        <v>2.873233101</v>
      </c>
      <c r="AD62" t="n">
        <v>8.169230889</v>
      </c>
      <c r="AF62" t="n">
        <v>6.971203447</v>
      </c>
      <c r="AG62" t="n">
        <v>9.536132545999999</v>
      </c>
      <c r="AH62" t="n">
        <v>-0.465805096</v>
      </c>
      <c r="AI62" t="n">
        <v>1.101465661</v>
      </c>
      <c r="AK62" t="n">
        <v>4.186414275</v>
      </c>
      <c r="AL62" t="n">
        <v>6.673710357</v>
      </c>
      <c r="AM62" t="n">
        <v>2.767736294</v>
      </c>
      <c r="AQ62" t="n">
        <v>6.762632608</v>
      </c>
      <c r="AU62" t="n">
        <v>3.978822693</v>
      </c>
      <c r="AW62" t="n">
        <v>6.727690211</v>
      </c>
      <c r="AX62" t="n">
        <v>6.509246778</v>
      </c>
    </row>
    <row r="63">
      <c r="A63" t="inlineStr">
        <is>
          <t>1962-Q3</t>
        </is>
      </c>
      <c r="B63" s="87" t="n">
        <v>22920</v>
      </c>
      <c r="D63" t="n">
        <v>6.826513425</v>
      </c>
      <c r="E63" t="n">
        <v>2.525644999</v>
      </c>
      <c r="F63" t="n">
        <v>5.267356503</v>
      </c>
      <c r="H63" t="n">
        <v>6.230665173</v>
      </c>
      <c r="I63" t="n">
        <v>5.151158218</v>
      </c>
      <c r="M63" t="n">
        <v>5.465212346</v>
      </c>
      <c r="N63" t="n">
        <v>5.33173139</v>
      </c>
      <c r="Q63" t="n">
        <v>10.340093868</v>
      </c>
      <c r="U63" t="n">
        <v>2.985082011</v>
      </c>
      <c r="V63" t="n">
        <v>6.717294088</v>
      </c>
      <c r="Y63" t="n">
        <v>1.767446636</v>
      </c>
      <c r="Z63" t="n">
        <v>-0.23221839</v>
      </c>
      <c r="AC63" t="n">
        <v>2.867884776</v>
      </c>
      <c r="AD63" t="n">
        <v>9.706723706</v>
      </c>
      <c r="AF63" t="n">
        <v>5.162466069</v>
      </c>
      <c r="AG63" t="n">
        <v>8.786970048000001</v>
      </c>
      <c r="AH63" t="n">
        <v>4.352703034</v>
      </c>
      <c r="AI63" t="n">
        <v>0.913109619</v>
      </c>
      <c r="AK63" t="n">
        <v>4.593795977</v>
      </c>
      <c r="AL63" t="n">
        <v>9.902732388</v>
      </c>
      <c r="AM63" t="n">
        <v>2.254999269</v>
      </c>
      <c r="AQ63" t="n">
        <v>6.702057323</v>
      </c>
      <c r="AU63" t="n">
        <v>5.066437582</v>
      </c>
      <c r="AW63" t="n">
        <v>6.004014529</v>
      </c>
      <c r="AX63" t="n">
        <v>6.215872443</v>
      </c>
    </row>
    <row r="64">
      <c r="A64" t="inlineStr">
        <is>
          <t>1962-Q4</t>
        </is>
      </c>
      <c r="B64" s="87" t="n">
        <v>23012</v>
      </c>
      <c r="D64" t="n">
        <v>7.52221678</v>
      </c>
      <c r="E64" t="n">
        <v>2.3854994</v>
      </c>
      <c r="F64" t="n">
        <v>4.764617265</v>
      </c>
      <c r="H64" t="n">
        <v>6.901830847</v>
      </c>
      <c r="I64" t="n">
        <v>3.797238893</v>
      </c>
      <c r="M64" t="n">
        <v>4.759933392</v>
      </c>
      <c r="N64" t="n">
        <v>3.161342568</v>
      </c>
      <c r="Q64" t="n">
        <v>7.599938625</v>
      </c>
      <c r="U64" t="n">
        <v>2.498507002</v>
      </c>
      <c r="V64" t="n">
        <v>6.248001067</v>
      </c>
      <c r="Y64" t="n">
        <v>1.581358244</v>
      </c>
      <c r="Z64" t="n">
        <v>3.445787925</v>
      </c>
      <c r="AC64" t="n">
        <v>3.566067681</v>
      </c>
      <c r="AD64" t="n">
        <v>9.904189335</v>
      </c>
      <c r="AF64" t="n">
        <v>4.737786642</v>
      </c>
      <c r="AG64" t="n">
        <v>6.188324034</v>
      </c>
      <c r="AH64" t="n">
        <v>5.983428157</v>
      </c>
      <c r="AI64" t="n">
        <v>1.450369515</v>
      </c>
      <c r="AK64" t="n">
        <v>5.353575853</v>
      </c>
      <c r="AL64" t="n">
        <v>7.796584828</v>
      </c>
      <c r="AM64" t="n">
        <v>2.349553513</v>
      </c>
      <c r="AQ64" t="n">
        <v>6.490039608</v>
      </c>
      <c r="AU64" t="n">
        <v>5.40179456</v>
      </c>
      <c r="AW64" t="n">
        <v>4.307098907</v>
      </c>
      <c r="AX64" t="n">
        <v>6.607290092</v>
      </c>
    </row>
    <row r="65">
      <c r="A65" t="inlineStr">
        <is>
          <t>1963-Q1</t>
        </is>
      </c>
      <c r="B65" s="87" t="n">
        <v>23102</v>
      </c>
      <c r="D65" t="n">
        <v>7.000993725</v>
      </c>
      <c r="E65" t="n">
        <v>1.279841912</v>
      </c>
      <c r="F65" t="n">
        <v>4.283888405</v>
      </c>
      <c r="H65" t="n">
        <v>4.774143033</v>
      </c>
      <c r="I65" t="n">
        <v>2.26880126</v>
      </c>
      <c r="M65" t="n">
        <v>-0.372460846</v>
      </c>
      <c r="N65" t="n">
        <v>0.324581636</v>
      </c>
      <c r="Q65" t="n">
        <v>11.160505427</v>
      </c>
      <c r="U65" t="n">
        <v>0.191629712</v>
      </c>
      <c r="V65" t="n">
        <v>2.630486901</v>
      </c>
      <c r="W65" t="n">
        <v>3.111652004</v>
      </c>
      <c r="Y65" t="n">
        <v>1.545434758</v>
      </c>
      <c r="Z65" t="n">
        <v>7.141353272</v>
      </c>
      <c r="AC65" t="n">
        <v>4.251482814</v>
      </c>
      <c r="AD65" t="n">
        <v>10.076270981</v>
      </c>
      <c r="AF65" t="n">
        <v>3.895479919</v>
      </c>
      <c r="AG65" t="n">
        <v>6.21378875</v>
      </c>
      <c r="AH65" t="n">
        <v>10.002246294</v>
      </c>
      <c r="AI65" t="n">
        <v>1.993412063</v>
      </c>
      <c r="AK65" t="n">
        <v>6.096019154</v>
      </c>
      <c r="AL65" t="n">
        <v>-1.641619373</v>
      </c>
      <c r="AM65" t="n">
        <v>3.039157364</v>
      </c>
      <c r="AO65" t="n">
        <v>3.55601243</v>
      </c>
      <c r="AQ65" t="n">
        <v>6.134400396</v>
      </c>
      <c r="AU65" t="n">
        <v>4.030531129</v>
      </c>
      <c r="AW65" t="n">
        <v>3.597866315</v>
      </c>
      <c r="AX65" t="n">
        <v>5.293912413</v>
      </c>
    </row>
    <row r="66">
      <c r="A66" t="inlineStr">
        <is>
          <t>1963-Q2</t>
        </is>
      </c>
      <c r="B66" s="87" t="n">
        <v>23193</v>
      </c>
      <c r="D66" t="n">
        <v>3.623565867</v>
      </c>
      <c r="E66" t="n">
        <v>4.255174666</v>
      </c>
      <c r="F66" t="n">
        <v>3.815036736</v>
      </c>
      <c r="H66" t="n">
        <v>5.529763856</v>
      </c>
      <c r="I66" t="n">
        <v>4.978493477</v>
      </c>
      <c r="M66" t="n">
        <v>3.02141052</v>
      </c>
      <c r="N66" t="n">
        <v>-0.652222748</v>
      </c>
      <c r="Q66" t="n">
        <v>8.723545653</v>
      </c>
      <c r="U66" t="n">
        <v>4.833920046</v>
      </c>
      <c r="V66" t="n">
        <v>5.508740269</v>
      </c>
      <c r="W66" t="n">
        <v>4.560225988</v>
      </c>
      <c r="Y66" t="n">
        <v>5.036213042</v>
      </c>
      <c r="Z66" t="n">
        <v>10.834140735</v>
      </c>
      <c r="AC66" t="n">
        <v>4.9215346</v>
      </c>
      <c r="AD66" t="n">
        <v>10.253512905</v>
      </c>
      <c r="AF66" t="n">
        <v>5.606665596</v>
      </c>
      <c r="AG66" t="n">
        <v>7.832549491</v>
      </c>
      <c r="AH66" t="n">
        <v>9.452533859000001</v>
      </c>
      <c r="AI66" t="n">
        <v>2.518654269</v>
      </c>
      <c r="AK66" t="n">
        <v>6.813210124</v>
      </c>
      <c r="AL66" t="n">
        <v>4.960431322</v>
      </c>
      <c r="AM66" t="n">
        <v>3.612349537</v>
      </c>
      <c r="AO66" t="n">
        <v>4.89164282</v>
      </c>
      <c r="AQ66" t="n">
        <v>5.910975215</v>
      </c>
      <c r="AU66" t="n">
        <v>6.139303137</v>
      </c>
      <c r="AW66" t="n">
        <v>3.822156925</v>
      </c>
      <c r="AX66" t="n">
        <v>7.39021182</v>
      </c>
    </row>
    <row r="67">
      <c r="A67" t="inlineStr">
        <is>
          <t>1963-Q3</t>
        </is>
      </c>
      <c r="B67" s="87" t="n">
        <v>23285</v>
      </c>
      <c r="D67" t="n">
        <v>7.015661022</v>
      </c>
      <c r="E67" t="n">
        <v>4.511913802</v>
      </c>
      <c r="F67" t="n">
        <v>4.157357088</v>
      </c>
      <c r="H67" t="n">
        <v>4.968360624</v>
      </c>
      <c r="I67" t="n">
        <v>5.867026136</v>
      </c>
      <c r="M67" t="n">
        <v>4.102017033</v>
      </c>
      <c r="N67" t="n">
        <v>0.149079388</v>
      </c>
      <c r="Q67" t="n">
        <v>8.41442898</v>
      </c>
      <c r="U67" t="n">
        <v>3.900576349</v>
      </c>
      <c r="V67" t="n">
        <v>7.442326311</v>
      </c>
      <c r="W67" t="n">
        <v>5.556848702</v>
      </c>
      <c r="Y67" t="n">
        <v>4.940973186</v>
      </c>
      <c r="Z67" t="n">
        <v>12.013275682</v>
      </c>
      <c r="AC67" t="n">
        <v>5.087018992</v>
      </c>
      <c r="AD67" t="n">
        <v>10.368625258</v>
      </c>
      <c r="AF67" t="n">
        <v>6.6994012</v>
      </c>
      <c r="AG67" t="n">
        <v>9.654809883</v>
      </c>
      <c r="AH67" t="n">
        <v>9.843458492</v>
      </c>
      <c r="AI67" t="n">
        <v>3.68924336</v>
      </c>
      <c r="AK67" t="n">
        <v>7.815201468</v>
      </c>
      <c r="AL67" t="n">
        <v>4.202308775</v>
      </c>
      <c r="AM67" t="n">
        <v>4.067928667</v>
      </c>
      <c r="AO67" t="n">
        <v>5.779911927</v>
      </c>
      <c r="AQ67" t="n">
        <v>5.81300404</v>
      </c>
      <c r="AU67" t="n">
        <v>5.52528159</v>
      </c>
      <c r="AW67" t="n">
        <v>4.816929346</v>
      </c>
      <c r="AX67" t="n">
        <v>8.114003821000001</v>
      </c>
    </row>
    <row r="68">
      <c r="A68" t="inlineStr">
        <is>
          <t>1963-Q4</t>
        </is>
      </c>
      <c r="B68" s="87" t="n">
        <v>23377</v>
      </c>
      <c r="D68" t="n">
        <v>7.377326565</v>
      </c>
      <c r="E68" t="n">
        <v>6.545704408</v>
      </c>
      <c r="F68" t="n">
        <v>5.342046364</v>
      </c>
      <c r="H68" t="n">
        <v>6.10127534</v>
      </c>
      <c r="I68" t="n">
        <v>6.331157297</v>
      </c>
      <c r="M68" t="n">
        <v>4.832455357</v>
      </c>
      <c r="N68" t="n">
        <v>2.722433245</v>
      </c>
      <c r="Q68" t="n">
        <v>10.13725403</v>
      </c>
      <c r="U68" t="n">
        <v>4.245628351</v>
      </c>
      <c r="V68" t="n">
        <v>6.444313251</v>
      </c>
      <c r="W68" t="n">
        <v>6.162278747</v>
      </c>
      <c r="Y68" t="n">
        <v>7.701369273</v>
      </c>
      <c r="Z68" t="n">
        <v>10.52870362</v>
      </c>
      <c r="AC68" t="n">
        <v>4.72397186</v>
      </c>
      <c r="AD68" t="n">
        <v>10.420619074</v>
      </c>
      <c r="AF68" t="n">
        <v>6.201995409</v>
      </c>
      <c r="AG68" t="n">
        <v>11.111185898</v>
      </c>
      <c r="AH68" t="n">
        <v>6.868184657</v>
      </c>
      <c r="AI68" t="n">
        <v>5.527125252</v>
      </c>
      <c r="AK68" t="n">
        <v>9.093899794</v>
      </c>
      <c r="AL68" t="n">
        <v>6.761604986</v>
      </c>
      <c r="AM68" t="n">
        <v>4.405922922</v>
      </c>
      <c r="AO68" t="n">
        <v>6.410588676</v>
      </c>
      <c r="AQ68" t="n">
        <v>5.834761778</v>
      </c>
      <c r="AU68" t="n">
        <v>5.580868895</v>
      </c>
      <c r="AW68" t="n">
        <v>5.158244565</v>
      </c>
      <c r="AX68" t="n">
        <v>8.627785524</v>
      </c>
    </row>
    <row r="69">
      <c r="A69" t="inlineStr">
        <is>
          <t>1964-Q1</t>
        </is>
      </c>
      <c r="B69" s="87" t="n">
        <v>23468</v>
      </c>
      <c r="D69" t="n">
        <v>4.783471579</v>
      </c>
      <c r="E69" t="n">
        <v>7.223451185</v>
      </c>
      <c r="F69" t="n">
        <v>6.49672863</v>
      </c>
      <c r="H69" t="n">
        <v>8.077131316999999</v>
      </c>
      <c r="I69" t="n">
        <v>7.436765366</v>
      </c>
      <c r="M69" t="n">
        <v>10.127128404</v>
      </c>
      <c r="N69" t="n">
        <v>7.135440572</v>
      </c>
      <c r="Q69" t="n">
        <v>4.734724994</v>
      </c>
      <c r="U69" t="n">
        <v>6.557209558</v>
      </c>
      <c r="V69" t="n">
        <v>10.285371683</v>
      </c>
      <c r="W69" t="n">
        <v>8.038092622000001</v>
      </c>
      <c r="Y69" t="n">
        <v>7.939299945</v>
      </c>
      <c r="Z69" t="n">
        <v>9.13023636</v>
      </c>
      <c r="AC69" t="n">
        <v>4.369742043</v>
      </c>
      <c r="AD69" t="n">
        <v>10.468624289</v>
      </c>
      <c r="AF69" t="n">
        <v>7.065479318</v>
      </c>
      <c r="AG69" t="n">
        <v>13.109119079</v>
      </c>
      <c r="AH69" t="n">
        <v>6.980385039</v>
      </c>
      <c r="AI69" t="n">
        <v>7.316469998</v>
      </c>
      <c r="AK69" t="n">
        <v>10.312366804</v>
      </c>
      <c r="AL69" t="n">
        <v>15.430176153</v>
      </c>
      <c r="AM69" t="n">
        <v>4.62744097</v>
      </c>
      <c r="AO69" t="n">
        <v>7.968895333</v>
      </c>
      <c r="AQ69" t="n">
        <v>5.971237502</v>
      </c>
      <c r="AU69" t="n">
        <v>9.319856316999999</v>
      </c>
      <c r="AW69" t="n">
        <v>6.215820827</v>
      </c>
      <c r="AX69" t="n">
        <v>9.217818014000001</v>
      </c>
    </row>
    <row r="70">
      <c r="A70" t="inlineStr">
        <is>
          <t>1964-Q2</t>
        </is>
      </c>
      <c r="B70" s="87" t="n">
        <v>23559</v>
      </c>
      <c r="D70" t="n">
        <v>8.780160858</v>
      </c>
      <c r="E70" t="n">
        <v>5.694642122</v>
      </c>
      <c r="F70" t="n">
        <v>7.63337205</v>
      </c>
      <c r="H70" t="n">
        <v>6.912015232</v>
      </c>
      <c r="I70" t="n">
        <v>7.116911</v>
      </c>
      <c r="M70" t="n">
        <v>6.688292601</v>
      </c>
      <c r="N70" t="n">
        <v>9.778791911000001</v>
      </c>
      <c r="Q70" t="n">
        <v>6.372595622</v>
      </c>
      <c r="U70" t="n">
        <v>5.392144903</v>
      </c>
      <c r="V70" t="n">
        <v>6.583462385</v>
      </c>
      <c r="W70" t="n">
        <v>6.621166437</v>
      </c>
      <c r="Y70" t="n">
        <v>5.297701351</v>
      </c>
      <c r="Z70" t="n">
        <v>7.844792124</v>
      </c>
      <c r="AC70" t="n">
        <v>4.035700958</v>
      </c>
      <c r="AD70" t="n">
        <v>10.529599457</v>
      </c>
      <c r="AF70" t="n">
        <v>3.154238769</v>
      </c>
      <c r="AG70" t="n">
        <v>12.525733796</v>
      </c>
      <c r="AH70" t="n">
        <v>6.414695357</v>
      </c>
      <c r="AI70" t="n">
        <v>9.089267595000001</v>
      </c>
      <c r="AK70" t="n">
        <v>11.502868805</v>
      </c>
      <c r="AL70" t="n">
        <v>6.873050805</v>
      </c>
      <c r="AM70" t="n">
        <v>4.867998637</v>
      </c>
      <c r="AO70" t="n">
        <v>6.772334907</v>
      </c>
      <c r="AQ70" t="n">
        <v>6.264625869</v>
      </c>
      <c r="AU70" t="n">
        <v>5.864150066</v>
      </c>
      <c r="AW70" t="n">
        <v>6.180751263</v>
      </c>
      <c r="AX70" t="n">
        <v>8.330023211</v>
      </c>
    </row>
    <row r="71">
      <c r="A71" t="inlineStr">
        <is>
          <t>1964-Q3</t>
        </is>
      </c>
      <c r="B71" s="87" t="n">
        <v>23651</v>
      </c>
      <c r="D71" t="n">
        <v>5.139348017</v>
      </c>
      <c r="E71" t="n">
        <v>5.499163719</v>
      </c>
      <c r="F71" t="n">
        <v>7.521538485</v>
      </c>
      <c r="H71" t="n">
        <v>7.19227375</v>
      </c>
      <c r="I71" t="n">
        <v>4.209432294</v>
      </c>
      <c r="M71" t="n">
        <v>4.182533938</v>
      </c>
      <c r="N71" t="n">
        <v>10.573961513</v>
      </c>
      <c r="Q71" t="n">
        <v>4.908125724</v>
      </c>
      <c r="U71" t="n">
        <v>5.976432706</v>
      </c>
      <c r="V71" t="n">
        <v>4.445012473</v>
      </c>
      <c r="W71" t="n">
        <v>5.510495563</v>
      </c>
      <c r="Y71" t="n">
        <v>5.186079913</v>
      </c>
      <c r="Z71" t="n">
        <v>7.624115939</v>
      </c>
      <c r="AC71" t="n">
        <v>3.622910614</v>
      </c>
      <c r="AD71" t="n">
        <v>9.957165419000001</v>
      </c>
      <c r="AF71" t="n">
        <v>1.31708484</v>
      </c>
      <c r="AG71" t="n">
        <v>11.008340696</v>
      </c>
      <c r="AH71" t="n">
        <v>10.031044722</v>
      </c>
      <c r="AI71" t="n">
        <v>8.763759516</v>
      </c>
      <c r="AK71" t="n">
        <v>11.228235822</v>
      </c>
      <c r="AL71" t="n">
        <v>6.33756406</v>
      </c>
      <c r="AM71" t="n">
        <v>5.126538425</v>
      </c>
      <c r="AO71" t="n">
        <v>5.715461541</v>
      </c>
      <c r="AQ71" t="n">
        <v>6.708180336</v>
      </c>
      <c r="AU71" t="n">
        <v>6.010911571</v>
      </c>
      <c r="AW71" t="n">
        <v>5.519829554</v>
      </c>
      <c r="AX71" t="n">
        <v>6.536189845</v>
      </c>
    </row>
    <row r="72">
      <c r="A72" t="inlineStr">
        <is>
          <t>1964-Q4</t>
        </is>
      </c>
      <c r="B72" s="87" t="n">
        <v>23743</v>
      </c>
      <c r="D72" t="n">
        <v>5.858323838</v>
      </c>
      <c r="E72" t="n">
        <v>6.342411772</v>
      </c>
      <c r="F72" t="n">
        <v>6.154568633</v>
      </c>
      <c r="H72" t="n">
        <v>4.491300125</v>
      </c>
      <c r="I72" t="n">
        <v>2.458913009</v>
      </c>
      <c r="M72" t="n">
        <v>5.091160602</v>
      </c>
      <c r="N72" t="n">
        <v>9.561803339000001</v>
      </c>
      <c r="Q72" t="n">
        <v>5.229997125</v>
      </c>
      <c r="U72" t="n">
        <v>3.115370897</v>
      </c>
      <c r="V72" t="n">
        <v>5.061878877</v>
      </c>
      <c r="W72" t="n">
        <v>4.989245939</v>
      </c>
      <c r="Y72" t="n">
        <v>4.486222024</v>
      </c>
      <c r="Z72" t="n">
        <v>8.465315910999999</v>
      </c>
      <c r="AC72" t="n">
        <v>3.139136791</v>
      </c>
      <c r="AD72" t="n">
        <v>8.783337612</v>
      </c>
      <c r="AF72" t="n">
        <v>-0.133944496</v>
      </c>
      <c r="AG72" t="n">
        <v>8.653015152</v>
      </c>
      <c r="AH72" t="n">
        <v>14.347039455</v>
      </c>
      <c r="AI72" t="n">
        <v>6.338888111</v>
      </c>
      <c r="AK72" t="n">
        <v>9.52607796</v>
      </c>
      <c r="AL72" t="n">
        <v>5.237841069</v>
      </c>
      <c r="AM72" t="n">
        <v>5.401899686</v>
      </c>
      <c r="AO72" t="n">
        <v>5.209819426</v>
      </c>
      <c r="AQ72" t="n">
        <v>7.294715415</v>
      </c>
      <c r="AU72" t="n">
        <v>6.213720119</v>
      </c>
      <c r="AW72" t="n">
        <v>5.156343065</v>
      </c>
      <c r="AX72" t="n">
        <v>7.752810132</v>
      </c>
    </row>
    <row r="73">
      <c r="A73" t="inlineStr">
        <is>
          <t>1965-Q1</t>
        </is>
      </c>
      <c r="B73" s="87" t="n">
        <v>23833</v>
      </c>
      <c r="D73" t="n">
        <v>6.92171337</v>
      </c>
      <c r="E73" t="n">
        <v>4.196978101</v>
      </c>
      <c r="F73" t="n">
        <v>4.849101204</v>
      </c>
      <c r="H73" t="n">
        <v>5.171655499</v>
      </c>
      <c r="I73" t="n">
        <v>4.875062358</v>
      </c>
      <c r="M73" t="n">
        <v>5.361369982</v>
      </c>
      <c r="N73" t="n">
        <v>6.891405842</v>
      </c>
      <c r="Q73" t="n">
        <v>6.865155889</v>
      </c>
      <c r="U73" t="n">
        <v>5.114941872</v>
      </c>
      <c r="V73" t="n">
        <v>3.349449551</v>
      </c>
      <c r="W73" t="n">
        <v>4.708143782</v>
      </c>
      <c r="Y73" t="n">
        <v>3.471780105</v>
      </c>
      <c r="Z73" t="n">
        <v>9.278531185</v>
      </c>
      <c r="AC73" t="n">
        <v>2.669783297</v>
      </c>
      <c r="AD73" t="n">
        <v>7.687191149</v>
      </c>
      <c r="AF73" t="n">
        <v>-0.263976118</v>
      </c>
      <c r="AG73" t="n">
        <v>6.150947015</v>
      </c>
      <c r="AH73" t="n">
        <v>9.284199363999999</v>
      </c>
      <c r="AI73" t="n">
        <v>4.041453594</v>
      </c>
      <c r="AK73" t="n">
        <v>7.932758191</v>
      </c>
      <c r="AL73" t="n">
        <v>6.847701078</v>
      </c>
      <c r="AM73" t="n">
        <v>5.69306091</v>
      </c>
      <c r="AO73" t="n">
        <v>4.998548435</v>
      </c>
      <c r="AQ73" t="n">
        <v>8.017283403</v>
      </c>
      <c r="AU73" t="n">
        <v>5.688605036</v>
      </c>
      <c r="AW73" t="n">
        <v>5.477141601</v>
      </c>
      <c r="AX73" t="n">
        <v>7.806654938</v>
      </c>
    </row>
    <row r="74">
      <c r="A74" t="inlineStr">
        <is>
          <t>1965-Q2</t>
        </is>
      </c>
      <c r="B74" s="87" t="n">
        <v>23924</v>
      </c>
      <c r="D74" t="n">
        <v>5.98369591</v>
      </c>
      <c r="E74" t="n">
        <v>3.252284099</v>
      </c>
      <c r="F74" t="n">
        <v>3.595216056</v>
      </c>
      <c r="H74" t="n">
        <v>5.78933802</v>
      </c>
      <c r="I74" t="n">
        <v>1.425322778</v>
      </c>
      <c r="M74" t="n">
        <v>5.732236512</v>
      </c>
      <c r="N74" t="n">
        <v>4.942764076</v>
      </c>
      <c r="Q74" t="n">
        <v>5.581073249</v>
      </c>
      <c r="U74" t="n">
        <v>5.652137295</v>
      </c>
      <c r="V74" t="n">
        <v>4.914832602</v>
      </c>
      <c r="W74" t="n">
        <v>4.933774288</v>
      </c>
      <c r="Y74" t="n">
        <v>1.648001927</v>
      </c>
      <c r="Z74" t="n">
        <v>10.040406075</v>
      </c>
      <c r="AC74" t="n">
        <v>2.206333118</v>
      </c>
      <c r="AD74" t="n">
        <v>6.628062325</v>
      </c>
      <c r="AF74" t="n">
        <v>2.764439154</v>
      </c>
      <c r="AG74" t="n">
        <v>4.944822401</v>
      </c>
      <c r="AH74" t="n">
        <v>12.773367981</v>
      </c>
      <c r="AI74" t="n">
        <v>1.859362449</v>
      </c>
      <c r="AK74" t="n">
        <v>6.422489448</v>
      </c>
      <c r="AL74" t="n">
        <v>4.849417011</v>
      </c>
      <c r="AM74" t="n">
        <v>5.642409731</v>
      </c>
      <c r="AO74" t="n">
        <v>4.93984838</v>
      </c>
      <c r="AQ74" t="n">
        <v>8.078711632999999</v>
      </c>
      <c r="AU74" t="n">
        <v>4.341760016</v>
      </c>
      <c r="AW74" t="n">
        <v>5.659284259</v>
      </c>
      <c r="AX74" t="n">
        <v>6.914559422</v>
      </c>
    </row>
    <row r="75">
      <c r="A75" t="inlineStr">
        <is>
          <t>1965-Q3</t>
        </is>
      </c>
      <c r="B75" s="87" t="n">
        <v>24016</v>
      </c>
      <c r="D75" t="n">
        <v>5.018841262</v>
      </c>
      <c r="E75" t="n">
        <v>4.399167286</v>
      </c>
      <c r="F75" t="n">
        <v>2.973808658</v>
      </c>
      <c r="H75" t="n">
        <v>6.124114964</v>
      </c>
      <c r="I75" t="n">
        <v>3.062773481</v>
      </c>
      <c r="M75" t="n">
        <v>5.341682654</v>
      </c>
      <c r="N75" t="n">
        <v>3.628825783</v>
      </c>
      <c r="Q75" t="n">
        <v>5.860600134</v>
      </c>
      <c r="U75" t="n">
        <v>5.254751366</v>
      </c>
      <c r="V75" t="n">
        <v>5.141568422</v>
      </c>
      <c r="W75" t="n">
        <v>5.481520658</v>
      </c>
      <c r="Y75" t="n">
        <v>2.103555248</v>
      </c>
      <c r="Z75" t="n">
        <v>9.782116979</v>
      </c>
      <c r="AC75" t="n">
        <v>1.708039123</v>
      </c>
      <c r="AD75" t="n">
        <v>6.760279622</v>
      </c>
      <c r="AF75" t="n">
        <v>4.309504193</v>
      </c>
      <c r="AG75" t="n">
        <v>5.690597963</v>
      </c>
      <c r="AH75" t="n">
        <v>4.75250966</v>
      </c>
      <c r="AI75" t="n">
        <v>0.8624123299999999</v>
      </c>
      <c r="AK75" t="n">
        <v>5.770324987</v>
      </c>
      <c r="AL75" t="n">
        <v>3.831122158</v>
      </c>
      <c r="AM75" t="n">
        <v>5.263032089</v>
      </c>
      <c r="AO75" t="n">
        <v>5.306069792</v>
      </c>
      <c r="AQ75" t="n">
        <v>7.510968374</v>
      </c>
      <c r="AU75" t="n">
        <v>2.194775346</v>
      </c>
      <c r="AW75" t="n">
        <v>6.346898404</v>
      </c>
      <c r="AX75" t="n">
        <v>5.584936856</v>
      </c>
    </row>
    <row r="76">
      <c r="A76" t="inlineStr">
        <is>
          <t>1965-Q4</t>
        </is>
      </c>
      <c r="B76" s="87" t="n">
        <v>24108</v>
      </c>
      <c r="D76" t="n">
        <v>2.36685713</v>
      </c>
      <c r="E76" t="n">
        <v>1.958314435</v>
      </c>
      <c r="F76" t="n">
        <v>2.971697898</v>
      </c>
      <c r="H76" t="n">
        <v>8.150395017999999</v>
      </c>
      <c r="I76" t="n">
        <v>3.425711145</v>
      </c>
      <c r="M76" t="n">
        <v>4.549872774</v>
      </c>
      <c r="N76" t="n">
        <v>2.891405765</v>
      </c>
      <c r="Q76" t="n">
        <v>6.705244</v>
      </c>
      <c r="U76" t="n">
        <v>5.190231232</v>
      </c>
      <c r="V76" t="n">
        <v>5.650559413</v>
      </c>
      <c r="W76" t="n">
        <v>6.588711704</v>
      </c>
      <c r="Y76" t="n">
        <v>1.249978895</v>
      </c>
      <c r="Z76" t="n">
        <v>8.50208958</v>
      </c>
      <c r="AC76" t="n">
        <v>1.162031714</v>
      </c>
      <c r="AD76" t="n">
        <v>8.073848152</v>
      </c>
      <c r="AF76" t="n">
        <v>6.32153055</v>
      </c>
      <c r="AG76" t="n">
        <v>6.007142001</v>
      </c>
      <c r="AH76" t="n">
        <v>3.053442617</v>
      </c>
      <c r="AI76" t="n">
        <v>1.025725976</v>
      </c>
      <c r="AK76" t="n">
        <v>5.941480444</v>
      </c>
      <c r="AL76" t="n">
        <v>5.499010714</v>
      </c>
      <c r="AM76" t="n">
        <v>4.568888378</v>
      </c>
      <c r="AO76" t="n">
        <v>6.22752496</v>
      </c>
      <c r="AQ76" t="n">
        <v>6.351470263</v>
      </c>
      <c r="AU76" t="n">
        <v>3.124282877</v>
      </c>
      <c r="AW76" t="n">
        <v>8.462164874000001</v>
      </c>
      <c r="AX76" t="n">
        <v>4.291390843</v>
      </c>
    </row>
    <row r="77">
      <c r="A77" t="inlineStr">
        <is>
          <t>1966-Q1</t>
        </is>
      </c>
      <c r="B77" s="87" t="n">
        <v>24198</v>
      </c>
      <c r="D77" t="n">
        <v>1.220689264</v>
      </c>
      <c r="E77" t="n">
        <v>6.314444341</v>
      </c>
      <c r="F77" t="n">
        <v>2.971085097</v>
      </c>
      <c r="H77" t="n">
        <v>6.856869393</v>
      </c>
      <c r="I77" t="n">
        <v>-0.441617997</v>
      </c>
      <c r="M77" t="n">
        <v>4.73437015</v>
      </c>
      <c r="N77" t="n">
        <v>2.695153835</v>
      </c>
      <c r="Q77" t="n">
        <v>3.770686911</v>
      </c>
      <c r="U77" t="n">
        <v>0.972282941</v>
      </c>
      <c r="V77" t="n">
        <v>6.367614078</v>
      </c>
      <c r="W77" t="n">
        <v>6.857225634</v>
      </c>
      <c r="Y77" t="n">
        <v>1.704176616</v>
      </c>
      <c r="Z77" t="n">
        <v>7.28346504</v>
      </c>
      <c r="AC77" t="n">
        <v>0.632172378</v>
      </c>
      <c r="AD77" t="n">
        <v>9.318345364000001</v>
      </c>
      <c r="AF77" t="n">
        <v>5.919711635</v>
      </c>
      <c r="AG77" t="n">
        <v>7.966393835</v>
      </c>
      <c r="AH77" t="n">
        <v>7.988937946</v>
      </c>
      <c r="AI77" t="n">
        <v>1.18992336</v>
      </c>
      <c r="AK77" t="n">
        <v>6.103648188</v>
      </c>
      <c r="AL77" t="n">
        <v>-0.25207127</v>
      </c>
      <c r="AM77" t="n">
        <v>3.574913868</v>
      </c>
      <c r="AO77" t="n">
        <v>6.25018343</v>
      </c>
      <c r="AQ77" t="n">
        <v>4.641394703</v>
      </c>
      <c r="AU77" t="n">
        <v>2.530094971</v>
      </c>
      <c r="AW77" t="n">
        <v>8.477495838999999</v>
      </c>
      <c r="AX77" t="n">
        <v>3.759659917</v>
      </c>
    </row>
    <row r="78">
      <c r="A78" t="inlineStr">
        <is>
          <t>1966-Q2</t>
        </is>
      </c>
      <c r="B78" s="87" t="n">
        <v>24289</v>
      </c>
      <c r="D78" t="n">
        <v>1.024081569</v>
      </c>
      <c r="E78" t="n">
        <v>5.625371444</v>
      </c>
      <c r="F78" t="n">
        <v>2.969128434</v>
      </c>
      <c r="H78" t="n">
        <v>8.086723845</v>
      </c>
      <c r="I78" t="n">
        <v>4.539785187</v>
      </c>
      <c r="M78" t="n">
        <v>3.424303762</v>
      </c>
      <c r="N78" t="n">
        <v>2.636285131</v>
      </c>
      <c r="Q78" t="n">
        <v>8.669457866</v>
      </c>
      <c r="U78" t="n">
        <v>1.645746945</v>
      </c>
      <c r="V78" t="n">
        <v>5.355111501</v>
      </c>
      <c r="W78" t="n">
        <v>6.491578481</v>
      </c>
      <c r="Y78" t="n">
        <v>2.192737509</v>
      </c>
      <c r="Z78" t="n">
        <v>6.143178555</v>
      </c>
      <c r="AC78" t="n">
        <v>0.105383703</v>
      </c>
      <c r="AD78" t="n">
        <v>10.536657195</v>
      </c>
      <c r="AF78" t="n">
        <v>5.328250977</v>
      </c>
      <c r="AG78" t="n">
        <v>10.806859365</v>
      </c>
      <c r="AH78" t="n">
        <v>14.418906359</v>
      </c>
      <c r="AI78" t="n">
        <v>1.349464532</v>
      </c>
      <c r="AK78" t="n">
        <v>6.263107691</v>
      </c>
      <c r="AL78" t="n">
        <v>3.75271861</v>
      </c>
      <c r="AM78" t="n">
        <v>3.272870889</v>
      </c>
      <c r="AO78" t="n">
        <v>6.329138745</v>
      </c>
      <c r="AQ78" t="n">
        <v>3.757119338</v>
      </c>
      <c r="AU78" t="n">
        <v>2.612348835</v>
      </c>
      <c r="AW78" t="n">
        <v>7.490136087</v>
      </c>
      <c r="AX78" t="n">
        <v>3.883849891</v>
      </c>
    </row>
    <row r="79">
      <c r="A79" t="inlineStr">
        <is>
          <t>1966-Q3</t>
        </is>
      </c>
      <c r="B79" s="87" t="n">
        <v>24381</v>
      </c>
      <c r="D79" t="n">
        <v>4.188064856</v>
      </c>
      <c r="E79" t="n">
        <v>3.819090473</v>
      </c>
      <c r="F79" t="n">
        <v>3.103288341</v>
      </c>
      <c r="H79" t="n">
        <v>6.608989432</v>
      </c>
      <c r="I79" t="n">
        <v>2.14424718</v>
      </c>
      <c r="M79" t="n">
        <v>2.866220447</v>
      </c>
      <c r="N79" t="n">
        <v>2.711722355</v>
      </c>
      <c r="Q79" t="n">
        <v>9.708258212</v>
      </c>
      <c r="U79" t="n">
        <v>1.49622237</v>
      </c>
      <c r="V79" t="n">
        <v>5.038777761</v>
      </c>
      <c r="W79" t="n">
        <v>5.752163688</v>
      </c>
      <c r="Y79" t="n">
        <v>1.711625513</v>
      </c>
      <c r="Z79" t="n">
        <v>5.543635989</v>
      </c>
      <c r="AC79" t="n">
        <v>0.61202429</v>
      </c>
      <c r="AD79" t="n">
        <v>9.377732145</v>
      </c>
      <c r="AF79" t="n">
        <v>6.880078292</v>
      </c>
      <c r="AG79" t="n">
        <v>10.986148697</v>
      </c>
      <c r="AH79" t="n">
        <v>13.337432054</v>
      </c>
      <c r="AI79" t="n">
        <v>1.190680844</v>
      </c>
      <c r="AK79" t="n">
        <v>6.239657409</v>
      </c>
      <c r="AL79" t="n">
        <v>4.937033036</v>
      </c>
      <c r="AM79" t="n">
        <v>3.63544014</v>
      </c>
      <c r="AO79" t="n">
        <v>5.751928414</v>
      </c>
      <c r="AQ79" t="n">
        <v>3.646398429</v>
      </c>
      <c r="AU79" t="n">
        <v>0.088233065</v>
      </c>
      <c r="AW79" t="n">
        <v>6.042874845</v>
      </c>
      <c r="AX79" t="n">
        <v>5.748257538</v>
      </c>
    </row>
    <row r="80">
      <c r="A80" t="inlineStr">
        <is>
          <t>1966-Q4</t>
        </is>
      </c>
      <c r="B80" s="87" t="n">
        <v>24473</v>
      </c>
      <c r="D80" t="n">
        <v>4.618671559</v>
      </c>
      <c r="E80" t="n">
        <v>4.274241416</v>
      </c>
      <c r="F80" t="n">
        <v>3.379550398</v>
      </c>
      <c r="H80" t="n">
        <v>5.322708959</v>
      </c>
      <c r="I80" t="n">
        <v>3.59051313</v>
      </c>
      <c r="M80" t="n">
        <v>0.657536009</v>
      </c>
      <c r="N80" t="n">
        <v>2.91883797</v>
      </c>
      <c r="Q80" t="n">
        <v>6.812414143</v>
      </c>
      <c r="U80" t="n">
        <v>5.352346667</v>
      </c>
      <c r="V80" t="n">
        <v>4.162074119</v>
      </c>
      <c r="W80" t="n">
        <v>4.480578839</v>
      </c>
      <c r="Y80" t="n">
        <v>0.57808609</v>
      </c>
      <c r="Z80" t="n">
        <v>5.485716</v>
      </c>
      <c r="AC80" t="n">
        <v>2.221086894</v>
      </c>
      <c r="AD80" t="n">
        <v>5.851204164</v>
      </c>
      <c r="AF80" t="n">
        <v>5.802716803</v>
      </c>
      <c r="AG80" t="n">
        <v>11.471788614</v>
      </c>
      <c r="AH80" t="n">
        <v>12.228569249</v>
      </c>
      <c r="AI80" t="n">
        <v>0.694544523</v>
      </c>
      <c r="AK80" t="n">
        <v>6.028594206</v>
      </c>
      <c r="AL80" t="n">
        <v>2.540834896</v>
      </c>
      <c r="AM80" t="n">
        <v>4.645598806</v>
      </c>
      <c r="AO80" t="n">
        <v>4.637915657</v>
      </c>
      <c r="AQ80" t="n">
        <v>4.277713759</v>
      </c>
      <c r="AU80" t="n">
        <v>3.10840747</v>
      </c>
      <c r="AW80" t="n">
        <v>4.505020174</v>
      </c>
      <c r="AX80" t="n">
        <v>4.360363048</v>
      </c>
    </row>
    <row r="81">
      <c r="A81" t="inlineStr">
        <is>
          <t>1967-Q1</t>
        </is>
      </c>
      <c r="B81" s="87" t="n">
        <v>24563</v>
      </c>
      <c r="D81" t="n">
        <v>9.017276195000001</v>
      </c>
      <c r="E81" t="n">
        <v>1.930249257</v>
      </c>
      <c r="F81" t="n">
        <v>3.648900655</v>
      </c>
      <c r="H81" t="n">
        <v>3.117191326</v>
      </c>
      <c r="I81" t="n">
        <v>7.949770593</v>
      </c>
      <c r="M81" t="n">
        <v>-1.629790537</v>
      </c>
      <c r="N81" t="n">
        <v>3.255343506</v>
      </c>
      <c r="Q81" t="n">
        <v>7.840548426</v>
      </c>
      <c r="U81" t="n">
        <v>4.942012725</v>
      </c>
      <c r="V81" t="n">
        <v>4.999723198</v>
      </c>
      <c r="W81" t="n">
        <v>3.590906561</v>
      </c>
      <c r="Y81" t="n">
        <v>1.751659525</v>
      </c>
      <c r="Z81" t="n">
        <v>5.436672468</v>
      </c>
      <c r="AC81" t="n">
        <v>3.822701683</v>
      </c>
      <c r="AD81" t="n">
        <v>2.528131274</v>
      </c>
      <c r="AF81" t="n">
        <v>6.879902345</v>
      </c>
      <c r="AG81" t="n">
        <v>11.443301697</v>
      </c>
      <c r="AH81" t="n">
        <v>9.310976925</v>
      </c>
      <c r="AI81" t="n">
        <v>0.209683213</v>
      </c>
      <c r="AK81" t="n">
        <v>5.827578402</v>
      </c>
      <c r="AL81" t="n">
        <v>6.847092673</v>
      </c>
      <c r="AM81" t="n">
        <v>6.295465769</v>
      </c>
      <c r="AO81" t="n">
        <v>4.072308905</v>
      </c>
      <c r="AQ81" t="n">
        <v>5.637748215</v>
      </c>
      <c r="AU81" t="n">
        <v>2.780279262</v>
      </c>
      <c r="AW81" t="n">
        <v>2.925036251</v>
      </c>
      <c r="AX81" t="n">
        <v>6.656582495</v>
      </c>
    </row>
    <row r="82">
      <c r="A82" t="inlineStr">
        <is>
          <t>1967-Q2</t>
        </is>
      </c>
      <c r="B82" s="87" t="n">
        <v>24654</v>
      </c>
      <c r="D82" t="n">
        <v>7.389168013</v>
      </c>
      <c r="E82" t="n">
        <v>2.930030802</v>
      </c>
      <c r="F82" t="n">
        <v>3.912870448</v>
      </c>
      <c r="H82" t="n">
        <v>3.101253371</v>
      </c>
      <c r="I82" t="n">
        <v>1.676302283</v>
      </c>
      <c r="M82" t="n">
        <v>-2.237879279</v>
      </c>
      <c r="N82" t="n">
        <v>3.454916878</v>
      </c>
      <c r="Q82" t="n">
        <v>3.773644417</v>
      </c>
      <c r="U82" t="n">
        <v>3.677660328</v>
      </c>
      <c r="V82" t="n">
        <v>4.567421441</v>
      </c>
      <c r="W82" t="n">
        <v>3.368741942</v>
      </c>
      <c r="Y82" t="n">
        <v>2.65740751</v>
      </c>
      <c r="Z82" t="n">
        <v>5.382741926</v>
      </c>
      <c r="AC82" t="n">
        <v>5.408445112</v>
      </c>
      <c r="AD82" t="n">
        <v>-0.593416448</v>
      </c>
      <c r="AF82" t="n">
        <v>7.6455601</v>
      </c>
      <c r="AG82" t="n">
        <v>10.132281283</v>
      </c>
      <c r="AH82" t="n">
        <v>5.084573662</v>
      </c>
      <c r="AI82" t="n">
        <v>-0.271576295</v>
      </c>
      <c r="AK82" t="n">
        <v>5.632259403</v>
      </c>
      <c r="AL82" t="n">
        <v>4.844838143</v>
      </c>
      <c r="AM82" t="n">
        <v>6.930096169</v>
      </c>
      <c r="AO82" t="n">
        <v>3.565912061</v>
      </c>
      <c r="AQ82" t="n">
        <v>6.942624099</v>
      </c>
      <c r="AU82" t="n">
        <v>3.810406434</v>
      </c>
      <c r="AW82" t="n">
        <v>2.637515281</v>
      </c>
      <c r="AX82" t="n">
        <v>5.676076147</v>
      </c>
    </row>
    <row r="83">
      <c r="A83" t="inlineStr">
        <is>
          <t>1967-Q3</t>
        </is>
      </c>
      <c r="B83" s="87" t="n">
        <v>24746</v>
      </c>
      <c r="D83" t="n">
        <v>6.397107096</v>
      </c>
      <c r="E83" t="n">
        <v>1.969745836</v>
      </c>
      <c r="F83" t="n">
        <v>4.002077606</v>
      </c>
      <c r="H83" t="n">
        <v>3.494948211</v>
      </c>
      <c r="I83" t="n">
        <v>1.772205274</v>
      </c>
      <c r="M83" t="n">
        <v>0</v>
      </c>
      <c r="N83" t="n">
        <v>3.519794933</v>
      </c>
      <c r="Q83" t="n">
        <v>3.500479377</v>
      </c>
      <c r="U83" t="n">
        <v>1.95673609</v>
      </c>
      <c r="V83" t="n">
        <v>4.376943527</v>
      </c>
      <c r="W83" t="n">
        <v>3.766322373</v>
      </c>
      <c r="Y83" t="n">
        <v>2.785265544</v>
      </c>
      <c r="Z83" t="n">
        <v>5.452097117</v>
      </c>
      <c r="AC83" t="n">
        <v>6.582321072</v>
      </c>
      <c r="AD83" t="n">
        <v>-2.783749775</v>
      </c>
      <c r="AF83" t="n">
        <v>6.30141378</v>
      </c>
      <c r="AG83" t="n">
        <v>11.24638467</v>
      </c>
      <c r="AH83" t="n">
        <v>11.359761663</v>
      </c>
      <c r="AI83" t="n">
        <v>-0.036789086</v>
      </c>
      <c r="AK83" t="n">
        <v>5.833420987</v>
      </c>
      <c r="AL83" t="n">
        <v>4.445109756</v>
      </c>
      <c r="AM83" t="n">
        <v>6.569831344</v>
      </c>
      <c r="AO83" t="n">
        <v>3.874029106</v>
      </c>
      <c r="AQ83" t="n">
        <v>8.180645555</v>
      </c>
      <c r="AU83" t="n">
        <v>4.836197755</v>
      </c>
      <c r="AW83" t="n">
        <v>2.738492797</v>
      </c>
      <c r="AX83" t="n">
        <v>9.378365174000001</v>
      </c>
    </row>
    <row r="84">
      <c r="A84" t="inlineStr">
        <is>
          <t>1967-Q4</t>
        </is>
      </c>
      <c r="B84" s="87" t="n">
        <v>24838</v>
      </c>
      <c r="D84" t="n">
        <v>6.621617287</v>
      </c>
      <c r="E84" t="n">
        <v>2.697595931</v>
      </c>
      <c r="F84" t="n">
        <v>3.907736492</v>
      </c>
      <c r="H84" t="n">
        <v>2.65787795</v>
      </c>
      <c r="I84" t="n">
        <v>1.130889688</v>
      </c>
      <c r="M84" t="n">
        <v>2.892640581</v>
      </c>
      <c r="N84" t="n">
        <v>3.452805233</v>
      </c>
      <c r="Q84" t="n">
        <v>2.478592655</v>
      </c>
      <c r="U84" t="n">
        <v>-1.68227821</v>
      </c>
      <c r="V84" t="n">
        <v>4.822061724</v>
      </c>
      <c r="W84" t="n">
        <v>4.32827151</v>
      </c>
      <c r="Y84" t="n">
        <v>3.807807941</v>
      </c>
      <c r="Z84" t="n">
        <v>5.648204716</v>
      </c>
      <c r="AC84" t="n">
        <v>7.289443583</v>
      </c>
      <c r="AD84" t="n">
        <v>-4.098472803</v>
      </c>
      <c r="AF84" t="n">
        <v>7.884903596</v>
      </c>
      <c r="AG84" t="n">
        <v>11.175461277</v>
      </c>
      <c r="AH84" t="n">
        <v>10.62251453</v>
      </c>
      <c r="AI84" t="n">
        <v>0.963930523</v>
      </c>
      <c r="AK84" t="n">
        <v>6.441395722</v>
      </c>
      <c r="AL84" t="n">
        <v>5.052885411</v>
      </c>
      <c r="AM84" t="n">
        <v>5.258175608</v>
      </c>
      <c r="AO84" t="n">
        <v>4.298284775</v>
      </c>
      <c r="AQ84" t="n">
        <v>9.34170357</v>
      </c>
      <c r="AU84" t="n">
        <v>2.106844941</v>
      </c>
      <c r="AW84" t="n">
        <v>2.670839761</v>
      </c>
      <c r="AX84" t="n">
        <v>7.040123665</v>
      </c>
    </row>
    <row r="85">
      <c r="A85" t="inlineStr">
        <is>
          <t>1968-Q1</t>
        </is>
      </c>
      <c r="B85" s="87" t="n">
        <v>24929</v>
      </c>
      <c r="D85" t="n">
        <v>1.703060363</v>
      </c>
      <c r="E85" t="n">
        <v>3.091996527</v>
      </c>
      <c r="F85" t="n">
        <v>3.818340183</v>
      </c>
      <c r="H85" t="n">
        <v>3.737145571</v>
      </c>
      <c r="I85" t="n">
        <v>-0.065956367</v>
      </c>
      <c r="M85" t="n">
        <v>4.617508884</v>
      </c>
      <c r="N85" t="n">
        <v>3.257472627</v>
      </c>
      <c r="Q85" t="n">
        <v>4.377876104</v>
      </c>
      <c r="U85" t="n">
        <v>0.6244873440000001</v>
      </c>
      <c r="V85" t="n">
        <v>6.054590299</v>
      </c>
      <c r="W85" t="n">
        <v>5.292788835</v>
      </c>
      <c r="Y85" t="n">
        <v>6.143633269</v>
      </c>
      <c r="Z85" t="n">
        <v>5.843291796</v>
      </c>
      <c r="AC85" t="n">
        <v>7.960987056</v>
      </c>
      <c r="AD85" t="n">
        <v>-5.394211259</v>
      </c>
      <c r="AF85" t="n">
        <v>6.031792487</v>
      </c>
      <c r="AG85" t="n">
        <v>10.889312772</v>
      </c>
      <c r="AH85" t="n">
        <v>13.825729552</v>
      </c>
      <c r="AI85" t="n">
        <v>1.968540785</v>
      </c>
      <c r="AK85" t="n">
        <v>7.029301289</v>
      </c>
      <c r="AL85" t="n">
        <v>7.065278845</v>
      </c>
      <c r="AM85" t="n">
        <v>3.058504699</v>
      </c>
      <c r="AO85" t="n">
        <v>5.099458223</v>
      </c>
      <c r="AQ85" t="n">
        <v>10.41790887</v>
      </c>
      <c r="AU85" t="n">
        <v>-0.6664072559999999</v>
      </c>
      <c r="AW85" t="n">
        <v>3.845214871</v>
      </c>
      <c r="AX85" t="n">
        <v>4.980981285</v>
      </c>
    </row>
    <row r="86">
      <c r="A86" t="inlineStr">
        <is>
          <t>1968-Q2</t>
        </is>
      </c>
      <c r="B86" s="87" t="n">
        <v>25020</v>
      </c>
      <c r="D86" t="n">
        <v>5.7688146</v>
      </c>
      <c r="E86" t="n">
        <v>3.425736769</v>
      </c>
      <c r="F86" t="n">
        <v>3.734144206</v>
      </c>
      <c r="H86" t="n">
        <v>4.360391734</v>
      </c>
      <c r="I86" t="n">
        <v>1.480760364</v>
      </c>
      <c r="M86" t="n">
        <v>5.761267217</v>
      </c>
      <c r="N86" t="n">
        <v>3.468764591</v>
      </c>
      <c r="Q86" t="n">
        <v>6.267991786</v>
      </c>
      <c r="U86" t="n">
        <v>1.417281106</v>
      </c>
      <c r="V86" t="n">
        <v>-3.046591848</v>
      </c>
      <c r="W86" t="n">
        <v>5.477554082</v>
      </c>
      <c r="Y86" t="n">
        <v>4.213628151</v>
      </c>
      <c r="Z86" t="n">
        <v>6.034791185</v>
      </c>
      <c r="AC86" t="n">
        <v>8.628158072</v>
      </c>
      <c r="AD86" t="n">
        <v>-6.725705081</v>
      </c>
      <c r="AF86" t="n">
        <v>5.973454093</v>
      </c>
      <c r="AG86" t="n">
        <v>11.668719373</v>
      </c>
      <c r="AH86" t="n">
        <v>13.138739029</v>
      </c>
      <c r="AI86" t="n">
        <v>2.96303208</v>
      </c>
      <c r="AK86" t="n">
        <v>7.606982994</v>
      </c>
      <c r="AL86" t="n">
        <v>6.098563158</v>
      </c>
      <c r="AM86" t="n">
        <v>1.889273238</v>
      </c>
      <c r="AO86" t="n">
        <v>5.501969499</v>
      </c>
      <c r="AQ86" t="n">
        <v>10.206450527</v>
      </c>
      <c r="AU86" t="n">
        <v>4.441642659</v>
      </c>
      <c r="AW86" t="n">
        <v>5.51558151</v>
      </c>
      <c r="AX86" t="n">
        <v>5.279118669</v>
      </c>
    </row>
    <row r="87">
      <c r="A87" t="inlineStr">
        <is>
          <t>1968-Q3</t>
        </is>
      </c>
      <c r="B87" s="87" t="n">
        <v>25112</v>
      </c>
      <c r="D87" t="n">
        <v>5.193149978</v>
      </c>
      <c r="E87" t="n">
        <v>5.997559071</v>
      </c>
      <c r="F87" t="n">
        <v>4.122067658</v>
      </c>
      <c r="H87" t="n">
        <v>5.4106085</v>
      </c>
      <c r="I87" t="n">
        <v>5.510627267</v>
      </c>
      <c r="M87" t="n">
        <v>5.534700242</v>
      </c>
      <c r="N87" t="n">
        <v>4.076454082</v>
      </c>
      <c r="Q87" t="n">
        <v>5.318367219</v>
      </c>
      <c r="U87" t="n">
        <v>2.316299546</v>
      </c>
      <c r="V87" t="n">
        <v>6.957438518</v>
      </c>
      <c r="W87" t="n">
        <v>6.250885961</v>
      </c>
      <c r="Y87" t="n">
        <v>5.759977735</v>
      </c>
      <c r="Z87" t="n">
        <v>6.746827129</v>
      </c>
      <c r="AC87" t="n">
        <v>8.577224612</v>
      </c>
      <c r="AD87" t="n">
        <v>-6.172334619</v>
      </c>
      <c r="AF87" t="n">
        <v>6.874522889</v>
      </c>
      <c r="AG87" t="n">
        <v>10.369641908</v>
      </c>
      <c r="AH87" t="n">
        <v>14.21700907</v>
      </c>
      <c r="AI87" t="n">
        <v>4.67629448</v>
      </c>
      <c r="AK87" t="n">
        <v>7.54069153</v>
      </c>
      <c r="AL87" t="n">
        <v>4.986113557</v>
      </c>
      <c r="AM87" t="n">
        <v>1.685966386</v>
      </c>
      <c r="AO87" t="n">
        <v>6.20510235</v>
      </c>
      <c r="AQ87" t="n">
        <v>8.788009085000001</v>
      </c>
      <c r="AU87" t="n">
        <v>6.908329117</v>
      </c>
      <c r="AW87" t="n">
        <v>5.336668233</v>
      </c>
      <c r="AX87" t="n">
        <v>1.320678553</v>
      </c>
    </row>
    <row r="88">
      <c r="A88" t="inlineStr">
        <is>
          <t>1968-Q4</t>
        </is>
      </c>
      <c r="B88" s="87" t="n">
        <v>25204</v>
      </c>
      <c r="D88" t="n">
        <v>8.172884075000001</v>
      </c>
      <c r="E88" t="n">
        <v>5.252432914</v>
      </c>
      <c r="F88" t="n">
        <v>4.995953916</v>
      </c>
      <c r="H88" t="n">
        <v>6.435475599</v>
      </c>
      <c r="I88" t="n">
        <v>7.524885244</v>
      </c>
      <c r="M88" t="n">
        <v>5.767579384</v>
      </c>
      <c r="N88" t="n">
        <v>5.071583791</v>
      </c>
      <c r="Q88" t="n">
        <v>10.381103957</v>
      </c>
      <c r="U88" t="n">
        <v>4.872273641</v>
      </c>
      <c r="V88" t="n">
        <v>7.01025557</v>
      </c>
      <c r="W88" t="n">
        <v>6.669462244</v>
      </c>
      <c r="Y88" t="n">
        <v>5.644877924</v>
      </c>
      <c r="Z88" t="n">
        <v>7.982468312</v>
      </c>
      <c r="AC88" t="n">
        <v>7.817075521</v>
      </c>
      <c r="AD88" t="n">
        <v>-3.556261768</v>
      </c>
      <c r="AF88" t="n">
        <v>7.257052077</v>
      </c>
      <c r="AG88" t="n">
        <v>14.445485764</v>
      </c>
      <c r="AH88" t="n">
        <v>11.531282406</v>
      </c>
      <c r="AI88" t="n">
        <v>7.09424257</v>
      </c>
      <c r="AK88" t="n">
        <v>6.834903722</v>
      </c>
      <c r="AL88" t="n">
        <v>7.516450622</v>
      </c>
      <c r="AM88" t="n">
        <v>2.416678176</v>
      </c>
      <c r="AO88" t="n">
        <v>6.763202334</v>
      </c>
      <c r="AQ88" t="n">
        <v>6.257647541</v>
      </c>
      <c r="AU88" t="n">
        <v>3.906173779</v>
      </c>
      <c r="AW88" t="n">
        <v>4.95956536</v>
      </c>
      <c r="AX88" t="n">
        <v>5.145436461</v>
      </c>
    </row>
    <row r="89">
      <c r="A89" t="inlineStr">
        <is>
          <t>1969-Q1</t>
        </is>
      </c>
      <c r="B89" s="87" t="n">
        <v>25294</v>
      </c>
      <c r="D89" t="n">
        <v>8.388898445000001</v>
      </c>
      <c r="E89" t="n">
        <v>4.950315158</v>
      </c>
      <c r="F89" t="n">
        <v>5.851068068</v>
      </c>
      <c r="H89" t="n">
        <v>6.941110413</v>
      </c>
      <c r="I89" t="n">
        <v>3.310148754</v>
      </c>
      <c r="M89" t="n">
        <v>7.174887892</v>
      </c>
      <c r="N89" t="n">
        <v>6.446420688</v>
      </c>
      <c r="Q89" t="n">
        <v>11.909356618</v>
      </c>
      <c r="U89" t="n">
        <v>8.892996454</v>
      </c>
      <c r="V89" t="n">
        <v>4.175764548</v>
      </c>
      <c r="W89" t="n">
        <v>5.97359106</v>
      </c>
      <c r="Y89" t="n">
        <v>1.701003644</v>
      </c>
      <c r="Z89" t="n">
        <v>9.173695217000001</v>
      </c>
      <c r="AC89" t="n">
        <v>7.092007268</v>
      </c>
      <c r="AD89" t="n">
        <v>-0.850472472</v>
      </c>
      <c r="AF89" t="n">
        <v>8.672652972</v>
      </c>
      <c r="AG89" t="n">
        <v>12.761530267</v>
      </c>
      <c r="AH89" t="n">
        <v>10.218171576</v>
      </c>
      <c r="AI89" t="n">
        <v>9.437634371</v>
      </c>
      <c r="AK89" t="n">
        <v>6.164891315</v>
      </c>
      <c r="AL89" t="n">
        <v>4.456164096</v>
      </c>
      <c r="AM89" t="n">
        <v>4.07878292</v>
      </c>
      <c r="AO89" t="n">
        <v>6.164141205</v>
      </c>
      <c r="AQ89" t="n">
        <v>2.689879993</v>
      </c>
      <c r="AU89" t="n">
        <v>5.22821098</v>
      </c>
      <c r="AW89" t="n">
        <v>4.471598105</v>
      </c>
      <c r="AX89" t="n">
        <v>4.190433764</v>
      </c>
    </row>
    <row r="90">
      <c r="A90" t="inlineStr">
        <is>
          <t>1969-Q2</t>
        </is>
      </c>
      <c r="B90" s="87" t="n">
        <v>25385</v>
      </c>
      <c r="D90" t="n">
        <v>6.440172647</v>
      </c>
      <c r="E90" t="n">
        <v>5.686384345</v>
      </c>
      <c r="F90" t="n">
        <v>6.67499965</v>
      </c>
      <c r="H90" t="n">
        <v>4.624843343</v>
      </c>
      <c r="I90" t="n">
        <v>6.356659597</v>
      </c>
      <c r="M90" t="n">
        <v>7.71280633</v>
      </c>
      <c r="N90" t="n">
        <v>6.936691676</v>
      </c>
      <c r="Q90" t="n">
        <v>8.247020152999999</v>
      </c>
      <c r="U90" t="n">
        <v>8.162703614</v>
      </c>
      <c r="V90" t="n">
        <v>15.486192588</v>
      </c>
      <c r="W90" t="n">
        <v>6.137062307</v>
      </c>
      <c r="Y90" t="n">
        <v>2.924088254</v>
      </c>
      <c r="Z90" t="n">
        <v>10.310386762</v>
      </c>
      <c r="AC90" t="n">
        <v>6.393462502</v>
      </c>
      <c r="AD90" t="n">
        <v>1.940155508</v>
      </c>
      <c r="AF90" t="n">
        <v>8.365126942</v>
      </c>
      <c r="AG90" t="n">
        <v>12.216026566</v>
      </c>
      <c r="AH90" t="n">
        <v>12.369490488</v>
      </c>
      <c r="AI90" t="n">
        <v>11.731351725</v>
      </c>
      <c r="AK90" t="n">
        <v>5.510473781</v>
      </c>
      <c r="AL90" t="n">
        <v>5.974732605</v>
      </c>
      <c r="AM90" t="n">
        <v>4.912590552</v>
      </c>
      <c r="AO90" t="n">
        <v>6.190121516</v>
      </c>
      <c r="AQ90" t="n">
        <v>0.549384166</v>
      </c>
      <c r="AU90" t="n">
        <v>2.382584362</v>
      </c>
      <c r="AW90" t="n">
        <v>3.067141538</v>
      </c>
      <c r="AX90" t="n">
        <v>3.643046824</v>
      </c>
    </row>
    <row r="91">
      <c r="A91" t="inlineStr">
        <is>
          <t>1969-Q3</t>
        </is>
      </c>
      <c r="B91" s="87" t="n">
        <v>25477</v>
      </c>
      <c r="D91" t="n">
        <v>6.791672677</v>
      </c>
      <c r="E91" t="n">
        <v>6.303681067</v>
      </c>
      <c r="F91" t="n">
        <v>7.033819708</v>
      </c>
      <c r="H91" t="n">
        <v>4.321373881</v>
      </c>
      <c r="I91" t="n">
        <v>7.802289589</v>
      </c>
      <c r="M91" t="n">
        <v>7.663339108</v>
      </c>
      <c r="N91" t="n">
        <v>6.565325656</v>
      </c>
      <c r="Q91" t="n">
        <v>9.384354079</v>
      </c>
      <c r="U91" t="n">
        <v>10.853669782</v>
      </c>
      <c r="V91" t="n">
        <v>4.673238494</v>
      </c>
      <c r="W91" t="n">
        <v>5.019703463</v>
      </c>
      <c r="Y91" t="n">
        <v>1.512628857</v>
      </c>
      <c r="Z91" t="n">
        <v>10.466986037</v>
      </c>
      <c r="AC91" t="n">
        <v>5.539777563</v>
      </c>
      <c r="AD91" t="n">
        <v>3.819850419</v>
      </c>
      <c r="AF91" t="n">
        <v>6.073814681</v>
      </c>
      <c r="AG91" t="n">
        <v>12.360262526</v>
      </c>
      <c r="AH91" t="n">
        <v>15.500480646</v>
      </c>
      <c r="AI91" t="n">
        <v>11.139335249</v>
      </c>
      <c r="AK91" t="n">
        <v>5.479421526</v>
      </c>
      <c r="AL91" t="n">
        <v>7.796379743</v>
      </c>
      <c r="AM91" t="n">
        <v>4.917631611</v>
      </c>
      <c r="AO91" t="n">
        <v>5.468769809</v>
      </c>
      <c r="AQ91" t="n">
        <v>1.413080435</v>
      </c>
      <c r="AU91" t="n">
        <v>5.545896747</v>
      </c>
      <c r="AW91" t="n">
        <v>2.950097041</v>
      </c>
      <c r="AX91" t="n">
        <v>7.218940101</v>
      </c>
    </row>
    <row r="92">
      <c r="A92" t="inlineStr">
        <is>
          <t>1969-Q4</t>
        </is>
      </c>
      <c r="B92" s="87" t="n">
        <v>25569</v>
      </c>
      <c r="D92" t="n">
        <v>5.326782238</v>
      </c>
      <c r="E92" t="n">
        <v>6.432192405</v>
      </c>
      <c r="F92" t="n">
        <v>6.911449231</v>
      </c>
      <c r="H92" t="n">
        <v>4.373345887</v>
      </c>
      <c r="I92" t="n">
        <v>5.007674597</v>
      </c>
      <c r="M92" t="n">
        <v>7.692303547</v>
      </c>
      <c r="N92" t="n">
        <v>5.371658006</v>
      </c>
      <c r="Q92" t="n">
        <v>6.300111424</v>
      </c>
      <c r="U92" t="n">
        <v>10.432124647</v>
      </c>
      <c r="V92" t="n">
        <v>4.430436575</v>
      </c>
      <c r="W92" t="n">
        <v>4.034687492</v>
      </c>
      <c r="Y92" t="n">
        <v>1.508791203</v>
      </c>
      <c r="Z92" t="n">
        <v>9.637789725999999</v>
      </c>
      <c r="AC92" t="n">
        <v>4.50596377</v>
      </c>
      <c r="AD92" t="n">
        <v>4.654050018</v>
      </c>
      <c r="AF92" t="n">
        <v>1.552414557</v>
      </c>
      <c r="AG92" t="n">
        <v>10.452610449</v>
      </c>
      <c r="AH92" t="n">
        <v>19.868867814</v>
      </c>
      <c r="AI92" t="n">
        <v>7.677501243</v>
      </c>
      <c r="AK92" t="n">
        <v>6.069005197</v>
      </c>
      <c r="AL92" t="n">
        <v>7.439867661</v>
      </c>
      <c r="AM92" t="n">
        <v>4.113432797</v>
      </c>
      <c r="AO92" t="n">
        <v>4.562409</v>
      </c>
      <c r="AQ92" t="n">
        <v>3.82646095</v>
      </c>
      <c r="AU92" t="n">
        <v>6.883655394</v>
      </c>
      <c r="AW92" t="n">
        <v>2.046645083</v>
      </c>
      <c r="AX92" t="n">
        <v>3.809053319</v>
      </c>
    </row>
    <row r="93">
      <c r="A93" t="inlineStr">
        <is>
          <t>1970-Q1</t>
        </is>
      </c>
      <c r="B93" s="87" t="n">
        <v>25659</v>
      </c>
      <c r="D93" t="n">
        <v>8.267055001999999</v>
      </c>
      <c r="E93" t="n">
        <v>7.395607973</v>
      </c>
      <c r="F93" t="n">
        <v>6.780990349</v>
      </c>
      <c r="H93" t="n">
        <v>3.691399175</v>
      </c>
      <c r="I93" t="n">
        <v>9.730185706</v>
      </c>
      <c r="M93" t="n">
        <v>3.372586353</v>
      </c>
      <c r="N93" t="n">
        <v>3.409019702</v>
      </c>
      <c r="Q93" t="n">
        <v>4.577155814</v>
      </c>
      <c r="U93" t="n">
        <v>6.198175872</v>
      </c>
      <c r="V93" t="n">
        <v>6.231298358</v>
      </c>
      <c r="W93" t="n">
        <v>3.435572881</v>
      </c>
      <c r="Y93" t="n">
        <v>1.105603307</v>
      </c>
      <c r="Z93" t="n">
        <v>7.899130229</v>
      </c>
      <c r="AC93" t="n">
        <v>4.737700024</v>
      </c>
      <c r="AD93" t="n">
        <v>0.957151579</v>
      </c>
      <c r="AF93" t="n">
        <v>5.982116267</v>
      </c>
      <c r="AG93" t="n">
        <v>12.844536368</v>
      </c>
      <c r="AH93" t="n">
        <v>12.10800823</v>
      </c>
      <c r="AI93" t="n">
        <v>5.064038509</v>
      </c>
      <c r="AK93" t="n">
        <v>6.629729216</v>
      </c>
      <c r="AL93" t="n">
        <v>5.451396488</v>
      </c>
      <c r="AM93" t="n">
        <v>2.538372103</v>
      </c>
      <c r="AO93" t="n">
        <v>4.073896839</v>
      </c>
      <c r="AQ93" t="n">
        <v>7.491879766</v>
      </c>
      <c r="AU93" t="n">
        <v>8.781951851000001</v>
      </c>
      <c r="AW93" t="n">
        <v>0.324934603</v>
      </c>
      <c r="AX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Q94" t="n">
        <v>5.098377176</v>
      </c>
      <c r="U94" t="n">
        <v>8.848863767999999</v>
      </c>
      <c r="V94" t="n">
        <v>4.996378068</v>
      </c>
      <c r="W94" t="n">
        <v>3.437619357</v>
      </c>
      <c r="Y94" t="n">
        <v>2.77233282</v>
      </c>
      <c r="Z94" t="n">
        <v>9.125804564999999</v>
      </c>
      <c r="AC94" t="n">
        <v>2.635779581</v>
      </c>
      <c r="AD94" t="n">
        <v>6.290574409</v>
      </c>
      <c r="AF94" t="n">
        <v>4.862220846</v>
      </c>
      <c r="AG94" t="n">
        <v>10.98153819</v>
      </c>
      <c r="AH94" t="n">
        <v>12.724290157</v>
      </c>
      <c r="AI94" t="n">
        <v>1.533094794</v>
      </c>
      <c r="AK94" t="n">
        <v>7.181340692</v>
      </c>
      <c r="AL94" t="n">
        <v>6.659421098</v>
      </c>
      <c r="AM94" t="n">
        <v>1.70924371</v>
      </c>
      <c r="AO94" t="n">
        <v>4.101787194</v>
      </c>
      <c r="AQ94" t="n">
        <v>10.913052805</v>
      </c>
      <c r="AU94" t="n">
        <v>6.79729883</v>
      </c>
      <c r="AW94" t="n">
        <v>0.162835451</v>
      </c>
      <c r="AX94" t="n">
        <v>7.525998533</v>
      </c>
    </row>
    <row r="95">
      <c r="A95" t="inlineStr">
        <is>
          <t>1970-Q3</t>
        </is>
      </c>
      <c r="B95" s="87" t="n">
        <v>25842</v>
      </c>
      <c r="D95" t="n">
        <v>6.307514992</v>
      </c>
      <c r="E95" t="n">
        <v>7.635446134</v>
      </c>
      <c r="F95" t="n">
        <v>6.148273164</v>
      </c>
      <c r="H95" t="n">
        <v>3.136628399</v>
      </c>
      <c r="I95" t="n">
        <v>4.414113024</v>
      </c>
      <c r="M95" t="n">
        <v>5.82953727</v>
      </c>
      <c r="N95" t="n">
        <v>1.387056399</v>
      </c>
      <c r="Q95" t="n">
        <v>3.701023587</v>
      </c>
      <c r="U95" t="n">
        <v>7.891059781</v>
      </c>
      <c r="V95" t="n">
        <v>5.44556343</v>
      </c>
      <c r="W95" t="n">
        <v>3.79775816</v>
      </c>
      <c r="Y95" t="n">
        <v>3.188561857</v>
      </c>
      <c r="Z95" t="n">
        <v>8.759931791</v>
      </c>
      <c r="AC95" t="n">
        <v>1.645343858</v>
      </c>
      <c r="AD95" t="n">
        <v>10.047954045</v>
      </c>
      <c r="AF95" t="n">
        <v>6.710902356</v>
      </c>
      <c r="AG95" t="n">
        <v>11.290849578</v>
      </c>
      <c r="AH95" t="n">
        <v>4.960290713</v>
      </c>
      <c r="AI95" t="n">
        <v>-0.008191354</v>
      </c>
      <c r="AK95" t="n">
        <v>6.853289384</v>
      </c>
      <c r="AL95" t="n">
        <v>5.829976517</v>
      </c>
      <c r="AM95" t="n">
        <v>1.59044565</v>
      </c>
      <c r="AO95" t="n">
        <v>4.152324178</v>
      </c>
      <c r="AQ95" t="n">
        <v>9.496946693</v>
      </c>
      <c r="AU95" t="n">
        <v>5.853065562</v>
      </c>
      <c r="AW95" t="n">
        <v>0.422581476</v>
      </c>
      <c r="AX95" t="n">
        <v>1.642860733</v>
      </c>
    </row>
    <row r="96">
      <c r="A96" t="inlineStr">
        <is>
          <t>1970-Q4</t>
        </is>
      </c>
      <c r="B96" s="87" t="n">
        <v>25934</v>
      </c>
      <c r="D96" t="n">
        <v>4.407829883</v>
      </c>
      <c r="E96" t="n">
        <v>7.874498883</v>
      </c>
      <c r="F96" t="n">
        <v>5.213218572</v>
      </c>
      <c r="H96" t="n">
        <v>1.86252244</v>
      </c>
      <c r="I96" t="n">
        <v>5.071641148</v>
      </c>
      <c r="M96" t="n">
        <v>5.111265622</v>
      </c>
      <c r="N96" t="n">
        <v>1.252016091</v>
      </c>
      <c r="Q96" t="n">
        <v>3.362136729</v>
      </c>
      <c r="U96" t="n">
        <v>7.386272909</v>
      </c>
      <c r="V96" t="n">
        <v>6.261521475</v>
      </c>
      <c r="W96" t="n">
        <v>3.096489205</v>
      </c>
      <c r="Y96" t="n">
        <v>3.692579593</v>
      </c>
      <c r="Z96" t="n">
        <v>6.093205954</v>
      </c>
      <c r="AC96" t="n">
        <v>1.678856697</v>
      </c>
      <c r="AD96" t="n">
        <v>12.314070416</v>
      </c>
      <c r="AF96" t="n">
        <v>9.034176950000001</v>
      </c>
      <c r="AG96" t="n">
        <v>6.765415354</v>
      </c>
      <c r="AH96" t="n">
        <v>10.81840433</v>
      </c>
      <c r="AI96" t="n">
        <v>0.365600335</v>
      </c>
      <c r="AK96" t="n">
        <v>5.628723942</v>
      </c>
      <c r="AL96" t="n">
        <v>4.877153525</v>
      </c>
      <c r="AM96" t="n">
        <v>2.163655875</v>
      </c>
      <c r="AO96" t="n">
        <v>3.508816676</v>
      </c>
      <c r="AQ96" t="n">
        <v>8.573941264</v>
      </c>
      <c r="AU96" t="n">
        <v>5.583959611</v>
      </c>
      <c r="AW96" t="n">
        <v>-0.166703591</v>
      </c>
      <c r="AX96" t="n">
        <v>6.658863094</v>
      </c>
    </row>
    <row r="97">
      <c r="A97" t="inlineStr">
        <is>
          <t>1971-Q1</t>
        </is>
      </c>
      <c r="B97" s="87" t="n">
        <v>26024</v>
      </c>
      <c r="D97" t="n">
        <v>3.518710122</v>
      </c>
      <c r="E97" t="n">
        <v>6.057112964</v>
      </c>
      <c r="F97" t="n">
        <v>4.319317325</v>
      </c>
      <c r="H97" t="n">
        <v>0.62791108</v>
      </c>
      <c r="I97" t="n">
        <v>4.16347731</v>
      </c>
      <c r="M97" t="n">
        <v>4.763644266</v>
      </c>
      <c r="N97" t="n">
        <v>1.679226286</v>
      </c>
      <c r="Q97" t="n">
        <v>2.257438171</v>
      </c>
      <c r="U97" t="n">
        <v>1.510871282</v>
      </c>
      <c r="V97" t="n">
        <v>4.403152179</v>
      </c>
      <c r="W97" t="n">
        <v>3.326327373</v>
      </c>
      <c r="Y97" t="n">
        <v>3.793811754</v>
      </c>
      <c r="Z97" t="n">
        <v>7.803711654</v>
      </c>
      <c r="AC97" t="n">
        <v>0.967777613</v>
      </c>
      <c r="AD97" t="n">
        <v>18.749203011</v>
      </c>
      <c r="AF97" t="n">
        <v>2.327837554</v>
      </c>
      <c r="AG97" t="n">
        <v>4.534988705</v>
      </c>
      <c r="AH97" t="n">
        <v>13.360842095</v>
      </c>
      <c r="AI97" t="n">
        <v>0.524477482</v>
      </c>
      <c r="AK97" t="n">
        <v>4.462871718</v>
      </c>
      <c r="AL97" t="n">
        <v>6.985689414</v>
      </c>
      <c r="AM97" t="n">
        <v>3.426122144</v>
      </c>
      <c r="AO97" t="n">
        <v>3.567935276</v>
      </c>
      <c r="AQ97" t="n">
        <v>5.47193606</v>
      </c>
      <c r="AU97" t="n">
        <v>3.05815547</v>
      </c>
      <c r="AW97" t="n">
        <v>2.697236849</v>
      </c>
      <c r="AX97" t="n">
        <v>5.957883758</v>
      </c>
    </row>
    <row r="98">
      <c r="A98" t="inlineStr">
        <is>
          <t>1971-Q2</t>
        </is>
      </c>
      <c r="B98" s="87" t="n">
        <v>26115</v>
      </c>
      <c r="D98" t="n">
        <v>1.91694911</v>
      </c>
      <c r="E98" t="n">
        <v>5.606185481</v>
      </c>
      <c r="F98" t="n">
        <v>3.45634763</v>
      </c>
      <c r="H98" t="n">
        <v>3.550955667</v>
      </c>
      <c r="I98" t="n">
        <v>4.579348355</v>
      </c>
      <c r="M98" t="n">
        <v>2.872243992</v>
      </c>
      <c r="N98" t="n">
        <v>2.244777508</v>
      </c>
      <c r="Q98" t="n">
        <v>4.086707919</v>
      </c>
      <c r="U98" t="n">
        <v>4.093867534</v>
      </c>
      <c r="V98" t="n">
        <v>4.980469914</v>
      </c>
      <c r="W98" t="n">
        <v>3.417125442</v>
      </c>
      <c r="Y98" t="n">
        <v>3.15315535</v>
      </c>
      <c r="Z98" t="n">
        <v>6.375619088</v>
      </c>
      <c r="AC98" t="n">
        <v>2.880248039</v>
      </c>
      <c r="AD98" t="n">
        <v>14.396529955</v>
      </c>
      <c r="AF98" t="n">
        <v>2.014957053</v>
      </c>
      <c r="AG98" t="n">
        <v>4.948614972</v>
      </c>
      <c r="AH98" t="n">
        <v>12.528585154</v>
      </c>
      <c r="AI98" t="n">
        <v>2.064750722</v>
      </c>
      <c r="AK98" t="n">
        <v>3.341550471</v>
      </c>
      <c r="AL98" t="n">
        <v>5.037089548</v>
      </c>
      <c r="AM98" t="n">
        <v>4.39247574</v>
      </c>
      <c r="AO98" t="n">
        <v>3.584501475</v>
      </c>
      <c r="AQ98" t="n">
        <v>6.46671997</v>
      </c>
      <c r="AU98" t="n">
        <v>1.06801577</v>
      </c>
      <c r="AW98" t="n">
        <v>3.106613002</v>
      </c>
      <c r="AX98" t="n">
        <v>2.992432488</v>
      </c>
    </row>
    <row r="99">
      <c r="A99" t="inlineStr">
        <is>
          <t>1971-Q3</t>
        </is>
      </c>
      <c r="B99" s="87" t="n">
        <v>26207</v>
      </c>
      <c r="D99" t="n">
        <v>5.338675114</v>
      </c>
      <c r="E99" t="n">
        <v>5.262499685</v>
      </c>
      <c r="F99" t="n">
        <v>3.317883862</v>
      </c>
      <c r="H99" t="n">
        <v>5.342377002</v>
      </c>
      <c r="I99" t="n">
        <v>3.775545549</v>
      </c>
      <c r="M99" t="n">
        <v>2.733086207</v>
      </c>
      <c r="N99" t="n">
        <v>2.94575616</v>
      </c>
      <c r="Q99" t="n">
        <v>5.462798808</v>
      </c>
      <c r="U99" t="n">
        <v>2.158805829</v>
      </c>
      <c r="V99" t="n">
        <v>5.242837937</v>
      </c>
      <c r="W99" t="n">
        <v>3.264015158</v>
      </c>
      <c r="Y99" t="n">
        <v>3.986704543</v>
      </c>
      <c r="Z99" t="n">
        <v>9.266260319000001</v>
      </c>
      <c r="AC99" t="n">
        <v>4.437009478</v>
      </c>
      <c r="AD99" t="n">
        <v>11.137927823</v>
      </c>
      <c r="AF99" t="n">
        <v>1.473349145</v>
      </c>
      <c r="AG99" t="n">
        <v>3.453962834</v>
      </c>
      <c r="AH99" t="n">
        <v>12.052848479</v>
      </c>
      <c r="AI99" t="n">
        <v>3.445930649</v>
      </c>
      <c r="AK99" t="n">
        <v>3.596275919</v>
      </c>
      <c r="AL99" t="n">
        <v>4.151754574</v>
      </c>
      <c r="AM99" t="n">
        <v>5.057073903</v>
      </c>
      <c r="AO99" t="n">
        <v>3.568666609</v>
      </c>
      <c r="AQ99" t="n">
        <v>6.397823273</v>
      </c>
      <c r="AU99" t="n">
        <v>-0.005447593</v>
      </c>
      <c r="AW99" t="n">
        <v>3.005894811</v>
      </c>
      <c r="AX99" t="n">
        <v>5.55263699</v>
      </c>
    </row>
    <row r="100">
      <c r="A100" t="inlineStr">
        <is>
          <t>1971-Q4</t>
        </is>
      </c>
      <c r="B100" s="87" t="n">
        <v>26299</v>
      </c>
      <c r="D100" t="n">
        <v>4.50077556</v>
      </c>
      <c r="E100" t="n">
        <v>3.592101647</v>
      </c>
      <c r="F100" t="n">
        <v>3.929017504</v>
      </c>
      <c r="H100" t="n">
        <v>6.317615271</v>
      </c>
      <c r="I100" t="n">
        <v>4.131836637</v>
      </c>
      <c r="M100" t="n">
        <v>1.783876414</v>
      </c>
      <c r="N100" t="n">
        <v>3.778477462</v>
      </c>
      <c r="Q100" t="n">
        <v>6.744114122</v>
      </c>
      <c r="U100" t="n">
        <v>0.515540379</v>
      </c>
      <c r="V100" t="n">
        <v>4.5036371</v>
      </c>
      <c r="W100" t="n">
        <v>3.889631988</v>
      </c>
      <c r="Y100" t="n">
        <v>3.416974276</v>
      </c>
      <c r="Z100" t="n">
        <v>7.896438455</v>
      </c>
      <c r="AC100" t="n">
        <v>5.597021278</v>
      </c>
      <c r="AD100" t="n">
        <v>8.758612512999999</v>
      </c>
      <c r="AF100" t="n">
        <v>1.932219673</v>
      </c>
      <c r="AG100" t="n">
        <v>4.733731222</v>
      </c>
      <c r="AH100" t="n">
        <v>4.818664938</v>
      </c>
      <c r="AI100" t="n">
        <v>4.639125518</v>
      </c>
      <c r="AK100" t="n">
        <v>5.276770586</v>
      </c>
      <c r="AL100" t="n">
        <v>0.9054898179999999</v>
      </c>
      <c r="AM100" t="n">
        <v>5.419882117</v>
      </c>
      <c r="AO100" t="n">
        <v>4.038054631</v>
      </c>
      <c r="AQ100" t="n">
        <v>8.121720145999999</v>
      </c>
      <c r="AU100" t="n">
        <v>-1.441770522</v>
      </c>
      <c r="AW100" t="n">
        <v>4.367204801</v>
      </c>
      <c r="AX100" t="n">
        <v>2.697885433</v>
      </c>
    </row>
    <row r="101">
      <c r="A101" t="inlineStr">
        <is>
          <t>1972-Q1</t>
        </is>
      </c>
      <c r="B101" s="87" t="n">
        <v>26390</v>
      </c>
      <c r="D101" t="n">
        <v>1.99815094</v>
      </c>
      <c r="E101" t="n">
        <v>6.783442596</v>
      </c>
      <c r="F101" t="n">
        <v>4.532774112</v>
      </c>
      <c r="H101" t="n">
        <v>6.557448905</v>
      </c>
      <c r="I101" t="n">
        <v>3.928824502</v>
      </c>
      <c r="M101" t="n">
        <v>3.882471449</v>
      </c>
      <c r="N101" t="n">
        <v>4.738447137</v>
      </c>
      <c r="Q101" t="n">
        <v>7.635505773</v>
      </c>
      <c r="U101" t="n">
        <v>10.593136979</v>
      </c>
      <c r="V101" t="n">
        <v>5.735934281</v>
      </c>
      <c r="W101" t="n">
        <v>4.426879157</v>
      </c>
      <c r="Y101" t="n">
        <v>4.158802003</v>
      </c>
      <c r="Z101" t="n">
        <v>10.467548834</v>
      </c>
      <c r="AC101" t="n">
        <v>6.326890062</v>
      </c>
      <c r="AD101" t="n">
        <v>7.157446898</v>
      </c>
      <c r="AF101" t="n">
        <v>3.600250233</v>
      </c>
      <c r="AG101" t="n">
        <v>7.169685695</v>
      </c>
      <c r="AH101" t="n">
        <v>5.732198374</v>
      </c>
      <c r="AI101" t="n">
        <v>5.610938151</v>
      </c>
      <c r="AK101" t="n">
        <v>6.927996572</v>
      </c>
      <c r="AL101" t="n">
        <v>3.277890555</v>
      </c>
      <c r="AM101" t="n">
        <v>5.486455766</v>
      </c>
      <c r="AO101" t="n">
        <v>4.702632234</v>
      </c>
      <c r="AQ101" t="n">
        <v>8.089314908</v>
      </c>
      <c r="AU101" t="n">
        <v>0.115212672</v>
      </c>
      <c r="AW101" t="n">
        <v>3.476072128</v>
      </c>
      <c r="AX101" t="n">
        <v>0.6024105</v>
      </c>
    </row>
    <row r="102">
      <c r="A102" t="inlineStr">
        <is>
          <t>1972-Q2</t>
        </is>
      </c>
      <c r="B102" s="87" t="n">
        <v>26481</v>
      </c>
      <c r="D102" t="n">
        <v>3.835595989</v>
      </c>
      <c r="E102" t="n">
        <v>4.4918439</v>
      </c>
      <c r="F102" t="n">
        <v>5.123917827</v>
      </c>
      <c r="H102" t="n">
        <v>6.484376464</v>
      </c>
      <c r="I102" t="n">
        <v>2.593712056</v>
      </c>
      <c r="M102" t="n">
        <v>3.408694186</v>
      </c>
      <c r="N102" t="n">
        <v>5.333643076</v>
      </c>
      <c r="Q102" t="n">
        <v>8.070736524999999</v>
      </c>
      <c r="U102" t="n">
        <v>4.199543725</v>
      </c>
      <c r="V102" t="n">
        <v>4.242856656</v>
      </c>
      <c r="W102" t="n">
        <v>5.110372557</v>
      </c>
      <c r="Y102" t="n">
        <v>5.022580569</v>
      </c>
      <c r="Z102" t="n">
        <v>11.188845642</v>
      </c>
      <c r="AC102" t="n">
        <v>6.680442187</v>
      </c>
      <c r="AD102" t="n">
        <v>6.164898247</v>
      </c>
      <c r="AF102" t="n">
        <v>3.118160203</v>
      </c>
      <c r="AG102" t="n">
        <v>7.453256148</v>
      </c>
      <c r="AH102" t="n">
        <v>5.423043315</v>
      </c>
      <c r="AI102" t="n">
        <v>6.389703324</v>
      </c>
      <c r="AK102" t="n">
        <v>8.549659181000001</v>
      </c>
      <c r="AL102" t="n">
        <v>2.870336209</v>
      </c>
      <c r="AM102" t="n">
        <v>5.383602137</v>
      </c>
      <c r="AO102" t="n">
        <v>5.301994033</v>
      </c>
      <c r="AQ102" t="n">
        <v>5.986622547</v>
      </c>
      <c r="AU102" t="n">
        <v>1.499043691</v>
      </c>
      <c r="AW102" t="n">
        <v>5.255186457</v>
      </c>
      <c r="AX102" t="n">
        <v>2.490415309</v>
      </c>
    </row>
    <row r="103">
      <c r="A103" t="inlineStr">
        <is>
          <t>1972-Q3</t>
        </is>
      </c>
      <c r="B103" s="87" t="n">
        <v>26573</v>
      </c>
      <c r="D103" t="n">
        <v>0.165640127</v>
      </c>
      <c r="E103" t="n">
        <v>4.2334192</v>
      </c>
      <c r="F103" t="n">
        <v>5.54800966</v>
      </c>
      <c r="H103" t="n">
        <v>3.892603208</v>
      </c>
      <c r="I103" t="n">
        <v>2.821710999</v>
      </c>
      <c r="M103" t="n">
        <v>4.024253738</v>
      </c>
      <c r="N103" t="n">
        <v>5.568553889</v>
      </c>
      <c r="Q103" t="n">
        <v>8.449559418</v>
      </c>
      <c r="U103" t="n">
        <v>6.460207456</v>
      </c>
      <c r="V103" t="n">
        <v>3.481126981</v>
      </c>
      <c r="W103" t="n">
        <v>5.071312434</v>
      </c>
      <c r="Y103" t="n">
        <v>3.463110946</v>
      </c>
      <c r="Z103" t="n">
        <v>5.575954432</v>
      </c>
      <c r="AC103" t="n">
        <v>6.650550358</v>
      </c>
      <c r="AD103" t="n">
        <v>5.712407076</v>
      </c>
      <c r="AF103" t="n">
        <v>2.999652835</v>
      </c>
      <c r="AG103" t="n">
        <v>8.425770557</v>
      </c>
      <c r="AH103" t="n">
        <v>6.953982319</v>
      </c>
      <c r="AI103" t="n">
        <v>6.96563392</v>
      </c>
      <c r="AK103" t="n">
        <v>9.294404825999999</v>
      </c>
      <c r="AL103" t="n">
        <v>2.336628829</v>
      </c>
      <c r="AM103" t="n">
        <v>5.117879505</v>
      </c>
      <c r="AO103" t="n">
        <v>5.238504254</v>
      </c>
      <c r="AQ103" t="n">
        <v>10.538172441</v>
      </c>
      <c r="AU103" t="n">
        <v>2.517171289</v>
      </c>
      <c r="AW103" t="n">
        <v>5.381938705</v>
      </c>
      <c r="AX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Q104" t="n">
        <v>8.414972023000001</v>
      </c>
      <c r="U104" t="n">
        <v>9.32866441</v>
      </c>
      <c r="V104" t="n">
        <v>4.305488626</v>
      </c>
      <c r="W104" t="n">
        <v>6.426097254</v>
      </c>
      <c r="Y104" t="n">
        <v>4.721628103</v>
      </c>
      <c r="Z104" t="n">
        <v>13.531978138</v>
      </c>
      <c r="AC104" t="n">
        <v>6.302842549</v>
      </c>
      <c r="AD104" t="n">
        <v>5.720283321</v>
      </c>
      <c r="AF104" t="n">
        <v>2.908209485</v>
      </c>
      <c r="AG104" t="n">
        <v>10.149895291</v>
      </c>
      <c r="AH104" t="n">
        <v>10.669786169</v>
      </c>
      <c r="AI104" t="n">
        <v>7.389353828</v>
      </c>
      <c r="AK104" t="n">
        <v>9.130326572</v>
      </c>
      <c r="AL104" t="n">
        <v>4.768047131</v>
      </c>
      <c r="AM104" t="n">
        <v>4.695961427</v>
      </c>
      <c r="AO104" t="n">
        <v>6.527355505</v>
      </c>
      <c r="AQ104" t="n">
        <v>7.459234831</v>
      </c>
      <c r="AU104" t="n">
        <v>5.297122961</v>
      </c>
      <c r="AW104" t="n">
        <v>6.894475887</v>
      </c>
      <c r="AX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Q105" t="n">
        <v>8.647695077</v>
      </c>
      <c r="U105" t="n">
        <v>7.938035706</v>
      </c>
      <c r="V105" t="n">
        <v>5.008155566</v>
      </c>
      <c r="W105" t="n">
        <v>7.512572003</v>
      </c>
      <c r="Y105" t="n">
        <v>9.710286292999999</v>
      </c>
      <c r="Z105" t="n">
        <v>8.446655106</v>
      </c>
      <c r="AC105" t="n">
        <v>5.742335772</v>
      </c>
      <c r="AD105" t="n">
        <v>6.057461101</v>
      </c>
      <c r="AF105" t="n">
        <v>2.70126782</v>
      </c>
      <c r="AG105" t="n">
        <v>10.242340331</v>
      </c>
      <c r="AH105" t="n">
        <v>12.709984152</v>
      </c>
      <c r="AI105" t="n">
        <v>7.745145939</v>
      </c>
      <c r="AK105" t="n">
        <v>8.968920915</v>
      </c>
      <c r="AL105" t="n">
        <v>5.081741624</v>
      </c>
      <c r="AM105" t="n">
        <v>4.124373764</v>
      </c>
      <c r="AO105" t="n">
        <v>7.356263108</v>
      </c>
      <c r="AQ105" t="n">
        <v>11.813054079</v>
      </c>
      <c r="AU105" t="n">
        <v>5.497766282</v>
      </c>
      <c r="AW105" t="n">
        <v>7.561888292</v>
      </c>
      <c r="AX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Q106" t="n">
        <v>8.032030638</v>
      </c>
      <c r="U106" t="n">
        <v>4.647223679</v>
      </c>
      <c r="V106" t="n">
        <v>5.736429605</v>
      </c>
      <c r="W106" t="n">
        <v>6.702127358</v>
      </c>
      <c r="Y106" t="n">
        <v>7.043217492</v>
      </c>
      <c r="Z106" t="n">
        <v>8.950726693</v>
      </c>
      <c r="AC106" t="n">
        <v>5.063198451</v>
      </c>
      <c r="AD106" t="n">
        <v>6.54849837</v>
      </c>
      <c r="AF106" t="n">
        <v>5.826845156</v>
      </c>
      <c r="AG106" t="n">
        <v>9.195429088999999</v>
      </c>
      <c r="AH106" t="n">
        <v>14.074814338</v>
      </c>
      <c r="AI106" t="n">
        <v>8.104062002999999</v>
      </c>
      <c r="AK106" t="n">
        <v>8.808347221</v>
      </c>
      <c r="AL106" t="n">
        <v>4.256390223</v>
      </c>
      <c r="AM106" t="n">
        <v>3.895978212</v>
      </c>
      <c r="AO106" t="n">
        <v>6.622489163</v>
      </c>
      <c r="AQ106" t="n">
        <v>12.001911494</v>
      </c>
      <c r="AU106" t="n">
        <v>5.335992147</v>
      </c>
      <c r="AW106" t="n">
        <v>6.319660016</v>
      </c>
      <c r="AX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Q107" t="n">
        <v>7.455669682</v>
      </c>
      <c r="U107" t="n">
        <v>6.997950474</v>
      </c>
      <c r="V107" t="n">
        <v>5.705915379</v>
      </c>
      <c r="W107" t="n">
        <v>5.504869967</v>
      </c>
      <c r="Y107" t="n">
        <v>5.718609392</v>
      </c>
      <c r="Z107" t="n">
        <v>10.284249248</v>
      </c>
      <c r="AC107" t="n">
        <v>4.361901091</v>
      </c>
      <c r="AD107" t="n">
        <v>7.09479329</v>
      </c>
      <c r="AF107" t="n">
        <v>7.741488901</v>
      </c>
      <c r="AG107" t="n">
        <v>7.225179803</v>
      </c>
      <c r="AH107" t="n">
        <v>17.937618817</v>
      </c>
      <c r="AI107" t="n">
        <v>8.550822404</v>
      </c>
      <c r="AK107" t="n">
        <v>8.344813460999999</v>
      </c>
      <c r="AL107" t="n">
        <v>3.342688489</v>
      </c>
      <c r="AM107" t="n">
        <v>3.997632477</v>
      </c>
      <c r="AO107" t="n">
        <v>5.658162678</v>
      </c>
      <c r="AQ107" t="n">
        <v>9.956853771</v>
      </c>
      <c r="AU107" t="n">
        <v>3.218574002</v>
      </c>
      <c r="AW107" t="n">
        <v>4.771087308</v>
      </c>
      <c r="AX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Q108" t="n">
        <v>7.102054451</v>
      </c>
      <c r="U108" t="n">
        <v>6.8023052</v>
      </c>
      <c r="V108" t="n">
        <v>5.30879932</v>
      </c>
      <c r="W108" t="n">
        <v>4.743040082</v>
      </c>
      <c r="Y108" t="n">
        <v>3.673216772</v>
      </c>
      <c r="Z108" t="n">
        <v>4.866873588</v>
      </c>
      <c r="AC108" t="n">
        <v>3.767364181</v>
      </c>
      <c r="AD108" t="n">
        <v>7.489307722</v>
      </c>
      <c r="AF108" t="n">
        <v>9.851129010999999</v>
      </c>
      <c r="AG108" t="n">
        <v>5.88643622</v>
      </c>
      <c r="AH108" t="n">
        <v>14.765352641</v>
      </c>
      <c r="AI108" t="n">
        <v>8.817274607</v>
      </c>
      <c r="AK108" t="n">
        <v>7.565879121</v>
      </c>
      <c r="AL108" t="n">
        <v>6.057570619</v>
      </c>
      <c r="AM108" t="n">
        <v>4.419165851</v>
      </c>
      <c r="AO108" t="n">
        <v>5.014938381</v>
      </c>
      <c r="AQ108" t="n">
        <v>11.108521497</v>
      </c>
      <c r="AU108" t="n">
        <v>2.874429106</v>
      </c>
      <c r="AW108" t="n">
        <v>4.023756399</v>
      </c>
      <c r="AX108" t="n">
        <v>5.754146053</v>
      </c>
    </row>
    <row r="109">
      <c r="A109" t="inlineStr">
        <is>
          <t>1974-Q1</t>
        </is>
      </c>
      <c r="B109" s="87" t="n">
        <v>27120</v>
      </c>
      <c r="D109" t="n">
        <v>3.746350831</v>
      </c>
      <c r="E109" t="n">
        <v>6.72998585</v>
      </c>
      <c r="F109" t="n">
        <v>5.669970186</v>
      </c>
      <c r="H109" t="n">
        <v>4.112689578</v>
      </c>
      <c r="I109" t="n">
        <v>4.11162927</v>
      </c>
      <c r="M109" t="n">
        <v>2.177398816</v>
      </c>
      <c r="N109" t="n">
        <v>0.535938033</v>
      </c>
      <c r="Q109" t="n">
        <v>6.95237158</v>
      </c>
      <c r="U109" t="n">
        <v>2.516084155</v>
      </c>
      <c r="V109" t="n">
        <v>4.242213872</v>
      </c>
      <c r="W109" t="n">
        <v>1.3082365</v>
      </c>
      <c r="Y109" t="n">
        <v>-3.922518772</v>
      </c>
      <c r="Z109" t="n">
        <v>2.39006943</v>
      </c>
      <c r="AC109" t="n">
        <v>3.469965459</v>
      </c>
      <c r="AD109" t="n">
        <v>7.456262358</v>
      </c>
      <c r="AF109" t="n">
        <v>9.752601475000001</v>
      </c>
      <c r="AG109" t="n">
        <v>-1.060991167</v>
      </c>
      <c r="AH109" t="n">
        <v>15.729428052</v>
      </c>
      <c r="AI109" t="n">
        <v>8.322580733000001</v>
      </c>
      <c r="AK109" t="n">
        <v>6.817828806</v>
      </c>
      <c r="AL109" t="n">
        <v>3.401066581</v>
      </c>
      <c r="AM109" t="n">
        <v>5.153280819</v>
      </c>
      <c r="AO109" t="n">
        <v>2.178806902</v>
      </c>
      <c r="AQ109" t="n">
        <v>7.423312598</v>
      </c>
      <c r="AU109" t="n">
        <v>1.651081784</v>
      </c>
      <c r="AW109" t="n">
        <v>0.638773877</v>
      </c>
      <c r="AX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Q110" t="n">
        <v>6.406806426</v>
      </c>
      <c r="U110" t="n">
        <v>6.107621937</v>
      </c>
      <c r="V110" t="n">
        <v>3.644339898</v>
      </c>
      <c r="W110" t="n">
        <v>0.71017185</v>
      </c>
      <c r="Y110" t="n">
        <v>-2.685842644</v>
      </c>
      <c r="Z110" t="n">
        <v>-6.246949732</v>
      </c>
      <c r="AC110" t="n">
        <v>3.623729712</v>
      </c>
      <c r="AD110" t="n">
        <v>6.817870917</v>
      </c>
      <c r="AF110" t="n">
        <v>7.577067803</v>
      </c>
      <c r="AG110" t="n">
        <v>-1.2513629</v>
      </c>
      <c r="AH110" t="n">
        <v>10.769639573</v>
      </c>
      <c r="AI110" t="n">
        <v>6.64676454</v>
      </c>
      <c r="AK110" t="n">
        <v>6.113170653</v>
      </c>
      <c r="AL110" t="n">
        <v>4.931947787</v>
      </c>
      <c r="AM110" t="n">
        <v>5.458178875</v>
      </c>
      <c r="AO110" t="n">
        <v>1.532548584</v>
      </c>
      <c r="AQ110" t="n">
        <v>3.059633965</v>
      </c>
      <c r="AU110" t="n">
        <v>3.344256693</v>
      </c>
      <c r="AW110" t="n">
        <v>-0.208418196</v>
      </c>
      <c r="AX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Q111" t="n">
        <v>5.416587407</v>
      </c>
      <c r="U111" t="n">
        <v>2.854346181</v>
      </c>
      <c r="V111" t="n">
        <v>3.731282303</v>
      </c>
      <c r="W111" t="n">
        <v>0.523749902</v>
      </c>
      <c r="Y111" t="n">
        <v>-1.12645426</v>
      </c>
      <c r="Z111" t="n">
        <v>-12.868925366</v>
      </c>
      <c r="AC111" t="n">
        <v>4.380450547</v>
      </c>
      <c r="AD111" t="n">
        <v>5.359664145</v>
      </c>
      <c r="AF111" t="n">
        <v>4.43356282</v>
      </c>
      <c r="AG111" t="n">
        <v>-0.278584561</v>
      </c>
      <c r="AH111" t="n">
        <v>7.049420615</v>
      </c>
      <c r="AI111" t="n">
        <v>3.328337049</v>
      </c>
      <c r="AK111" t="n">
        <v>5.765248132</v>
      </c>
      <c r="AL111" t="n">
        <v>6.531924848</v>
      </c>
      <c r="AM111" t="n">
        <v>5.344784575</v>
      </c>
      <c r="AO111" t="n">
        <v>1.181462061</v>
      </c>
      <c r="AQ111" t="n">
        <v>-1.58756096</v>
      </c>
      <c r="AU111" t="n">
        <v>3.987333879</v>
      </c>
      <c r="AW111" t="n">
        <v>-0.629000493</v>
      </c>
      <c r="AX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Q112" t="n">
        <v>3.778734288</v>
      </c>
      <c r="U112" t="n">
        <v>0.98022855</v>
      </c>
      <c r="V112" t="n">
        <v>0.875242259</v>
      </c>
      <c r="W112" t="n">
        <v>-1.292190266</v>
      </c>
      <c r="Y112" t="n">
        <v>-2.183238527</v>
      </c>
      <c r="Z112" t="n">
        <v>-8.673941932</v>
      </c>
      <c r="AC112" t="n">
        <v>5.537773463</v>
      </c>
      <c r="AD112" t="n">
        <v>3.320999794</v>
      </c>
      <c r="AF112" t="n">
        <v>-0.187525713</v>
      </c>
      <c r="AG112" t="n">
        <v>-2.030072027</v>
      </c>
      <c r="AH112" t="n">
        <v>5.162476244</v>
      </c>
      <c r="AI112" t="n">
        <v>-1.104735304</v>
      </c>
      <c r="AK112" t="n">
        <v>5.779068666</v>
      </c>
      <c r="AL112" t="n">
        <v>1.109599027</v>
      </c>
      <c r="AM112" t="n">
        <v>4.828196759</v>
      </c>
      <c r="AO112" t="n">
        <v>-0.56800447</v>
      </c>
      <c r="AQ112" t="n">
        <v>-3.87999106</v>
      </c>
      <c r="AU112" t="n">
        <v>3.982725193</v>
      </c>
      <c r="AW112" t="n">
        <v>-1.945449394</v>
      </c>
      <c r="AX112" t="n">
        <v>3.452454161</v>
      </c>
    </row>
    <row r="113">
      <c r="A113" t="inlineStr">
        <is>
          <t>1975-Q1</t>
        </is>
      </c>
      <c r="B113" s="87" t="n">
        <v>27485</v>
      </c>
      <c r="D113" t="n">
        <v>-0.368720004</v>
      </c>
      <c r="E113" t="n">
        <v>-1.044334184</v>
      </c>
      <c r="F113" t="n">
        <v>-0.581804679</v>
      </c>
      <c r="H113" t="n">
        <v>-0.094838177</v>
      </c>
      <c r="I113" t="n">
        <v>-7.633498276</v>
      </c>
      <c r="M113" t="n">
        <v>-1.907951274</v>
      </c>
      <c r="N113" t="n">
        <v>-2.394189435</v>
      </c>
      <c r="Q113" t="n">
        <v>1.533483615</v>
      </c>
      <c r="U113" t="n">
        <v>3.199966447</v>
      </c>
      <c r="V113" t="n">
        <v>-0.532775695</v>
      </c>
      <c r="W113" t="n">
        <v>-1.231426146</v>
      </c>
      <c r="Y113" t="n">
        <v>0.642068654</v>
      </c>
      <c r="Z113" t="n">
        <v>0.606172687</v>
      </c>
      <c r="AC113" t="n">
        <v>6.501056443</v>
      </c>
      <c r="AD113" t="n">
        <v>1.374701187</v>
      </c>
      <c r="AF113" t="n">
        <v>-2.712864172</v>
      </c>
      <c r="AG113" t="n">
        <v>1.58869303</v>
      </c>
      <c r="AH113" t="n">
        <v>2.375727578</v>
      </c>
      <c r="AI113" t="n">
        <v>-5.222749255</v>
      </c>
      <c r="AK113" t="n">
        <v>5.794445526</v>
      </c>
      <c r="AL113" t="n">
        <v>-1.442402164</v>
      </c>
      <c r="AM113" t="n">
        <v>3.927129577</v>
      </c>
      <c r="AO113" t="n">
        <v>-0.652245807</v>
      </c>
      <c r="AQ113" t="n">
        <v>-6.303166738</v>
      </c>
      <c r="AU113" t="n">
        <v>5.206673055</v>
      </c>
      <c r="AW113" t="n">
        <v>-2.299047595</v>
      </c>
      <c r="AX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Q114" t="n">
        <v>0.183236163</v>
      </c>
      <c r="U114" t="n">
        <v>2.151917847</v>
      </c>
      <c r="V114" t="n">
        <v>-0.778119228</v>
      </c>
      <c r="W114" t="n">
        <v>-1.206867074</v>
      </c>
      <c r="Y114" t="n">
        <v>-2.424538456</v>
      </c>
      <c r="Z114" t="n">
        <v>5.125368732</v>
      </c>
      <c r="AC114" t="n">
        <v>6.733337849</v>
      </c>
      <c r="AD114" t="n">
        <v>0.089497653</v>
      </c>
      <c r="AF114" t="n">
        <v>-3.682962782</v>
      </c>
      <c r="AG114" t="n">
        <v>3.101463212</v>
      </c>
      <c r="AH114" t="n">
        <v>7.478859936</v>
      </c>
      <c r="AI114" t="n">
        <v>-7.857971723</v>
      </c>
      <c r="AK114" t="n">
        <v>5.807360462</v>
      </c>
      <c r="AL114" t="n">
        <v>-1.223998983</v>
      </c>
      <c r="AM114" t="n">
        <v>3.673353337</v>
      </c>
      <c r="AO114" t="n">
        <v>-0.587008567</v>
      </c>
      <c r="AQ114" t="n">
        <v>-5.785300664</v>
      </c>
      <c r="AU114" t="n">
        <v>2.25114989</v>
      </c>
      <c r="AW114" t="n">
        <v>-1.8342624</v>
      </c>
      <c r="AX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Q115" t="n">
        <v>-0.08420925999999999</v>
      </c>
      <c r="U115" t="n">
        <v>-0.018385691</v>
      </c>
      <c r="V115" t="n">
        <v>-1.324733724</v>
      </c>
      <c r="W115" t="n">
        <v>0.108943458</v>
      </c>
      <c r="Y115" t="n">
        <v>-3.375763069</v>
      </c>
      <c r="Z115" t="n">
        <v>10.405549626</v>
      </c>
      <c r="AC115" t="n">
        <v>5.735039783</v>
      </c>
      <c r="AD115" t="n">
        <v>-0.010132152</v>
      </c>
      <c r="AF115" t="n">
        <v>-2.476470864</v>
      </c>
      <c r="AG115" t="n">
        <v>2.957395645</v>
      </c>
      <c r="AH115" t="n">
        <v>8.851621666</v>
      </c>
      <c r="AI115" t="n">
        <v>-7.897842155</v>
      </c>
      <c r="AK115" t="n">
        <v>5.62137158</v>
      </c>
      <c r="AL115" t="n">
        <v>-1.43776782</v>
      </c>
      <c r="AM115" t="n">
        <v>4.040834227</v>
      </c>
      <c r="AO115" t="n">
        <v>0.484998656</v>
      </c>
      <c r="AQ115" t="n">
        <v>-4.095495491</v>
      </c>
      <c r="AU115" t="n">
        <v>1.749971306</v>
      </c>
      <c r="AW115" t="n">
        <v>0.798684869</v>
      </c>
      <c r="AX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Q116" t="n">
        <v>0.551506499</v>
      </c>
      <c r="U116" t="n">
        <v>-1.011039568</v>
      </c>
      <c r="V116" t="n">
        <v>1.541171217</v>
      </c>
      <c r="W116" t="n">
        <v>2.316425726</v>
      </c>
      <c r="Y116" t="n">
        <v>-0.830012991</v>
      </c>
      <c r="Z116" t="n">
        <v>9.978394109</v>
      </c>
      <c r="AC116" t="n">
        <v>3.732117574</v>
      </c>
      <c r="AD116" t="n">
        <v>1.140161252</v>
      </c>
      <c r="AF116" t="n">
        <v>0.721574321</v>
      </c>
      <c r="AG116" t="n">
        <v>4.607339564</v>
      </c>
      <c r="AH116" t="n">
        <v>12.594433252</v>
      </c>
      <c r="AI116" t="n">
        <v>-5.271563677</v>
      </c>
      <c r="AK116" t="n">
        <v>5.231910732</v>
      </c>
      <c r="AL116" t="n">
        <v>3.758282458</v>
      </c>
      <c r="AM116" t="n">
        <v>5.012146626</v>
      </c>
      <c r="AO116" t="n">
        <v>2.490177232</v>
      </c>
      <c r="AQ116" t="n">
        <v>-1.082823198</v>
      </c>
      <c r="AU116" t="n">
        <v>1.665345573</v>
      </c>
      <c r="AW116" t="n">
        <v>2.554017472</v>
      </c>
      <c r="AX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Q117" t="n">
        <v>2.063101297</v>
      </c>
      <c r="U117" t="n">
        <v>-2.209725062</v>
      </c>
      <c r="V117" t="n">
        <v>3.497157817</v>
      </c>
      <c r="W117" t="n">
        <v>4.868592843</v>
      </c>
      <c r="Y117" t="n">
        <v>0.77131913</v>
      </c>
      <c r="Z117" t="n">
        <v>5.226608934</v>
      </c>
      <c r="AC117" t="n">
        <v>1.679887617</v>
      </c>
      <c r="AD117" t="n">
        <v>3.070076298</v>
      </c>
      <c r="AF117" t="n">
        <v>4.310715425</v>
      </c>
      <c r="AG117" t="n">
        <v>5.355842509</v>
      </c>
      <c r="AH117" t="n">
        <v>14.231044506</v>
      </c>
      <c r="AI117" t="n">
        <v>-1.242034388</v>
      </c>
      <c r="AK117" t="n">
        <v>4.856796612</v>
      </c>
      <c r="AL117" t="n">
        <v>6.036234579</v>
      </c>
      <c r="AM117" t="n">
        <v>6.577837946</v>
      </c>
      <c r="AO117" t="n">
        <v>4.717546068</v>
      </c>
      <c r="AQ117" t="n">
        <v>3.349627086</v>
      </c>
      <c r="AU117" t="n">
        <v>-0.663092793</v>
      </c>
      <c r="AW117" t="n">
        <v>6.152389362</v>
      </c>
      <c r="AX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Q118" t="n">
        <v>3.326984703</v>
      </c>
      <c r="U118" t="n">
        <v>-0.984037988</v>
      </c>
      <c r="V118" t="n">
        <v>4.467073387</v>
      </c>
      <c r="W118" t="n">
        <v>5.297178916</v>
      </c>
      <c r="Y118" t="n">
        <v>2.326189232</v>
      </c>
      <c r="Z118" t="n">
        <v>6.845895145</v>
      </c>
      <c r="AC118" t="n">
        <v>0.440981288</v>
      </c>
      <c r="AD118" t="n">
        <v>5.225471005</v>
      </c>
      <c r="AF118" t="n">
        <v>6.250915436</v>
      </c>
      <c r="AG118" t="n">
        <v>3.676519037</v>
      </c>
      <c r="AH118" t="n">
        <v>14.339221259</v>
      </c>
      <c r="AI118" t="n">
        <v>2.598132897</v>
      </c>
      <c r="AK118" t="n">
        <v>4.500615207</v>
      </c>
      <c r="AL118" t="n">
        <v>4.706246212</v>
      </c>
      <c r="AM118" t="n">
        <v>7.287679831</v>
      </c>
      <c r="AO118" t="n">
        <v>5.23384569</v>
      </c>
      <c r="AQ118" t="n">
        <v>7.52532039</v>
      </c>
      <c r="AU118" t="n">
        <v>2.272782084</v>
      </c>
      <c r="AW118" t="n">
        <v>6.172588458</v>
      </c>
      <c r="AX118" t="n">
        <v>0.9131645779999999</v>
      </c>
    </row>
    <row r="119">
      <c r="A119" t="inlineStr">
        <is>
          <t>1976-Q3</t>
        </is>
      </c>
      <c r="B119" s="87" t="n">
        <v>28034</v>
      </c>
      <c r="D119" t="n">
        <v>3.994390231</v>
      </c>
      <c r="E119" t="n">
        <v>6.271508978</v>
      </c>
      <c r="F119" t="n">
        <v>7.279997082</v>
      </c>
      <c r="H119" t="n">
        <v>5.614778399</v>
      </c>
      <c r="I119" t="n">
        <v>1.360296981</v>
      </c>
      <c r="M119" t="n">
        <v>4.440716158</v>
      </c>
      <c r="N119" t="n">
        <v>7.36809117</v>
      </c>
      <c r="Q119" t="n">
        <v>3.875385657</v>
      </c>
      <c r="U119" t="n">
        <v>1.045094982</v>
      </c>
      <c r="V119" t="n">
        <v>4.556114014</v>
      </c>
      <c r="W119" t="n">
        <v>4.857555867</v>
      </c>
      <c r="Y119" t="n">
        <v>4.013889445</v>
      </c>
      <c r="Z119" t="n">
        <v>6.115115473</v>
      </c>
      <c r="AC119" t="n">
        <v>0.768950094</v>
      </c>
      <c r="AD119" t="n">
        <v>7.102798108</v>
      </c>
      <c r="AF119" t="n">
        <v>7.424281855</v>
      </c>
      <c r="AG119" t="n">
        <v>3.951115114</v>
      </c>
      <c r="AH119" t="n">
        <v>13.318980132</v>
      </c>
      <c r="AI119" t="n">
        <v>4.60216931</v>
      </c>
      <c r="AK119" t="n">
        <v>4.065831915</v>
      </c>
      <c r="AL119" t="n">
        <v>7.791267048</v>
      </c>
      <c r="AM119" t="n">
        <v>7.159553529</v>
      </c>
      <c r="AO119" t="n">
        <v>5.014632914</v>
      </c>
      <c r="AQ119" t="n">
        <v>7.910616693</v>
      </c>
      <c r="AU119" t="n">
        <v>0.800237079</v>
      </c>
      <c r="AW119" t="n">
        <v>4.958636996</v>
      </c>
      <c r="AX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Q120" t="n">
        <v>3.942491631</v>
      </c>
      <c r="U120" t="n">
        <v>2.886129089</v>
      </c>
      <c r="V120" t="n">
        <v>4.448313606</v>
      </c>
      <c r="W120" t="n">
        <v>4.500689891</v>
      </c>
      <c r="Y120" t="n">
        <v>5.027913315</v>
      </c>
      <c r="Z120" t="n">
        <v>9.151230856</v>
      </c>
      <c r="AC120" t="n">
        <v>2.689777818</v>
      </c>
      <c r="AD120" t="n">
        <v>8.400060607</v>
      </c>
      <c r="AF120" t="n">
        <v>8.076918196999999</v>
      </c>
      <c r="AG120" t="n">
        <v>2.991759099</v>
      </c>
      <c r="AH120" t="n">
        <v>11.163297055</v>
      </c>
      <c r="AI120" t="n">
        <v>4.293492259</v>
      </c>
      <c r="AK120" t="n">
        <v>3.561167642</v>
      </c>
      <c r="AL120" t="n">
        <v>2.07399742</v>
      </c>
      <c r="AM120" t="n">
        <v>6.229763951</v>
      </c>
      <c r="AO120" t="n">
        <v>4.582017813</v>
      </c>
      <c r="AQ120" t="n">
        <v>8.820955651</v>
      </c>
      <c r="AU120" t="n">
        <v>-0.931264277</v>
      </c>
      <c r="AW120" t="n">
        <v>4.314806638</v>
      </c>
      <c r="AX120" t="n">
        <v>0.91245953</v>
      </c>
    </row>
    <row r="121">
      <c r="A121" t="inlineStr">
        <is>
          <t>1977-Q1</t>
        </is>
      </c>
      <c r="B121" s="87" t="n">
        <v>28216</v>
      </c>
      <c r="D121" t="n">
        <v>1.447981893</v>
      </c>
      <c r="E121" t="n">
        <v>5.799577139</v>
      </c>
      <c r="F121" t="n">
        <v>2.337542678</v>
      </c>
      <c r="H121" t="n">
        <v>4.292545966</v>
      </c>
      <c r="I121" t="n">
        <v>3.263372763</v>
      </c>
      <c r="M121" t="n">
        <v>4.278412874</v>
      </c>
      <c r="N121" t="n">
        <v>2.377721966</v>
      </c>
      <c r="Q121" t="n">
        <v>3.734998594</v>
      </c>
      <c r="U121" t="n">
        <v>1.62067964</v>
      </c>
      <c r="V121" t="n">
        <v>4.075391261</v>
      </c>
      <c r="W121" t="n">
        <v>3.893261848</v>
      </c>
      <c r="Y121" t="n">
        <v>3.279610114</v>
      </c>
      <c r="Z121" t="n">
        <v>5.192158385</v>
      </c>
      <c r="AC121" t="n">
        <v>5.398533313</v>
      </c>
      <c r="AD121" t="n">
        <v>9.081297430999999</v>
      </c>
      <c r="AF121" t="n">
        <v>6.24781825</v>
      </c>
      <c r="AG121" t="n">
        <v>4.360184065</v>
      </c>
      <c r="AH121" t="n">
        <v>9.123660589</v>
      </c>
      <c r="AI121" t="n">
        <v>2.751792826</v>
      </c>
      <c r="AK121" t="n">
        <v>3.082236927</v>
      </c>
      <c r="AL121" t="n">
        <v>3.118296191</v>
      </c>
      <c r="AM121" t="n">
        <v>4.550338998</v>
      </c>
      <c r="AO121" t="n">
        <v>3.823038442</v>
      </c>
      <c r="AQ121" t="n">
        <v>7.245682769</v>
      </c>
      <c r="AU121" t="n">
        <v>-1.30067347</v>
      </c>
      <c r="AW121" t="n">
        <v>3.225964642</v>
      </c>
      <c r="AX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Q122" t="n">
        <v>3.016516231</v>
      </c>
      <c r="U122" t="n">
        <v>0.959149477</v>
      </c>
      <c r="V122" t="n">
        <v>3.296345013</v>
      </c>
      <c r="W122" t="n">
        <v>3.944520751</v>
      </c>
      <c r="Y122" t="n">
        <v>2.636967768</v>
      </c>
      <c r="Z122" t="n">
        <v>0.832287342</v>
      </c>
      <c r="AC122" t="n">
        <v>7.964070236</v>
      </c>
      <c r="AD122" t="n">
        <v>9.214734126</v>
      </c>
      <c r="AF122" t="n">
        <v>3.780384463</v>
      </c>
      <c r="AG122" t="n">
        <v>4.477404983</v>
      </c>
      <c r="AH122" t="n">
        <v>9.400601473</v>
      </c>
      <c r="AI122" t="n">
        <v>1.238973608</v>
      </c>
      <c r="AK122" t="n">
        <v>2.600360199</v>
      </c>
      <c r="AL122" t="n">
        <v>3.029880182</v>
      </c>
      <c r="AM122" t="n">
        <v>3.51414277</v>
      </c>
      <c r="AO122" t="n">
        <v>3.66311821</v>
      </c>
      <c r="AQ122" t="n">
        <v>5.572512458</v>
      </c>
      <c r="AU122" t="n">
        <v>-2.034098144</v>
      </c>
      <c r="AW122" t="n">
        <v>4.466324098</v>
      </c>
      <c r="AX122" t="n">
        <v>1.506490138</v>
      </c>
    </row>
    <row r="123">
      <c r="A123" t="inlineStr">
        <is>
          <t>1977-Q3</t>
        </is>
      </c>
      <c r="B123" s="87" t="n">
        <v>28399</v>
      </c>
      <c r="D123" t="n">
        <v>1.308329391</v>
      </c>
      <c r="E123" t="n">
        <v>3.323848768</v>
      </c>
      <c r="F123" t="n">
        <v>-0.520530811</v>
      </c>
      <c r="H123" t="n">
        <v>2.717564616</v>
      </c>
      <c r="I123" t="n">
        <v>1.844026124</v>
      </c>
      <c r="M123" t="n">
        <v>3.273852452</v>
      </c>
      <c r="N123" t="n">
        <v>2.577650909</v>
      </c>
      <c r="Q123" t="n">
        <v>2.365980875</v>
      </c>
      <c r="U123" t="n">
        <v>0.462857143</v>
      </c>
      <c r="V123" t="n">
        <v>3.281465739</v>
      </c>
      <c r="W123" t="n">
        <v>4.051632074</v>
      </c>
      <c r="Y123" t="n">
        <v>2.040205688</v>
      </c>
      <c r="Z123" t="n">
        <v>3.776461968</v>
      </c>
      <c r="AC123" t="n">
        <v>9.55994718</v>
      </c>
      <c r="AD123" t="n">
        <v>8.871008445999999</v>
      </c>
      <c r="AF123" t="n">
        <v>0.261570378</v>
      </c>
      <c r="AG123" t="n">
        <v>3.731141929</v>
      </c>
      <c r="AH123" t="n">
        <v>13.767454664</v>
      </c>
      <c r="AI123" t="n">
        <v>0.769561074</v>
      </c>
      <c r="AK123" t="n">
        <v>3.185988957</v>
      </c>
      <c r="AL123" t="n">
        <v>0.33538187</v>
      </c>
      <c r="AM123" t="n">
        <v>3.077261624</v>
      </c>
      <c r="AO123" t="n">
        <v>3.701090125</v>
      </c>
      <c r="AQ123" t="n">
        <v>6.140318332</v>
      </c>
      <c r="AU123" t="n">
        <v>-1.359968742</v>
      </c>
      <c r="AW123" t="n">
        <v>5.770897368</v>
      </c>
      <c r="AX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Q124" t="n">
        <v>2.264557872</v>
      </c>
      <c r="U124" t="n">
        <v>-0.600702709</v>
      </c>
      <c r="V124" t="n">
        <v>2.243418531</v>
      </c>
      <c r="W124" t="n">
        <v>3.762771613</v>
      </c>
      <c r="Y124" t="n">
        <v>1.623501641</v>
      </c>
      <c r="Z124" t="n">
        <v>2.049624419</v>
      </c>
      <c r="AC124" t="n">
        <v>9.860412962</v>
      </c>
      <c r="AD124" t="n">
        <v>8.156572062</v>
      </c>
      <c r="AF124" t="n">
        <v>-0.603535217</v>
      </c>
      <c r="AG124" t="n">
        <v>5.013334504</v>
      </c>
      <c r="AH124" t="n">
        <v>16.7414241</v>
      </c>
      <c r="AI124" t="n">
        <v>1.544720763</v>
      </c>
      <c r="AK124" t="n">
        <v>4.878946385</v>
      </c>
      <c r="AL124" t="n">
        <v>3.080803236</v>
      </c>
      <c r="AM124" t="n">
        <v>3.21184464</v>
      </c>
      <c r="AO124" t="n">
        <v>3.559243164</v>
      </c>
      <c r="AQ124" t="n">
        <v>3.56440774</v>
      </c>
      <c r="AU124" t="n">
        <v>-1.487679529</v>
      </c>
      <c r="AW124" t="n">
        <v>5.012028563</v>
      </c>
      <c r="AX124" t="n">
        <v>0.002963558</v>
      </c>
    </row>
    <row r="125">
      <c r="A125" t="inlineStr">
        <is>
          <t>1978-Q1</t>
        </is>
      </c>
      <c r="B125" s="87" t="n">
        <v>28581</v>
      </c>
      <c r="D125" t="n">
        <v>1.375233135</v>
      </c>
      <c r="E125" t="n">
        <v>-0.463073247</v>
      </c>
      <c r="F125" t="n">
        <v>1.912088428</v>
      </c>
      <c r="H125" t="n">
        <v>3.530374962</v>
      </c>
      <c r="I125" t="n">
        <v>0.699460199</v>
      </c>
      <c r="M125" t="n">
        <v>2.689233198</v>
      </c>
      <c r="N125" t="n">
        <v>0.331433003</v>
      </c>
      <c r="Q125" t="n">
        <v>2.094121339</v>
      </c>
      <c r="U125" t="n">
        <v>1.349033954</v>
      </c>
      <c r="V125" t="n">
        <v>2.530302089</v>
      </c>
      <c r="W125" t="n">
        <v>3.474175685</v>
      </c>
      <c r="Y125" t="n">
        <v>2.424727108</v>
      </c>
      <c r="Z125" t="n">
        <v>6.544884214</v>
      </c>
      <c r="AC125" t="n">
        <v>9.178467506</v>
      </c>
      <c r="AD125" t="n">
        <v>7.250965489</v>
      </c>
      <c r="AF125" t="n">
        <v>0.980897016</v>
      </c>
      <c r="AG125" t="n">
        <v>4.70701906</v>
      </c>
      <c r="AH125" t="n">
        <v>14.64883629</v>
      </c>
      <c r="AI125" t="n">
        <v>2.927871291</v>
      </c>
      <c r="AK125" t="n">
        <v>6.536367346</v>
      </c>
      <c r="AL125" t="n">
        <v>2.102771747</v>
      </c>
      <c r="AM125" t="n">
        <v>4.225565892</v>
      </c>
      <c r="AO125" t="n">
        <v>3.448387221</v>
      </c>
      <c r="AQ125" t="n">
        <v>3.112201535</v>
      </c>
      <c r="AU125" t="n">
        <v>2.188154652</v>
      </c>
      <c r="AW125" t="n">
        <v>4.117062342</v>
      </c>
      <c r="AX125" t="n">
        <v>1.869821189</v>
      </c>
    </row>
    <row r="126">
      <c r="A126" t="inlineStr">
        <is>
          <t>1978-Q2</t>
        </is>
      </c>
      <c r="B126" s="87" t="n">
        <v>28672</v>
      </c>
      <c r="D126" t="n">
        <v>0.781407227</v>
      </c>
      <c r="E126" t="n">
        <v>-0.013271792</v>
      </c>
      <c r="F126" t="n">
        <v>3.121929803</v>
      </c>
      <c r="H126" t="n">
        <v>3.683557616</v>
      </c>
      <c r="I126" t="n">
        <v>0.932660872</v>
      </c>
      <c r="M126" t="n">
        <v>2.515066682</v>
      </c>
      <c r="N126" t="n">
        <v>2.588564186</v>
      </c>
      <c r="Q126" t="n">
        <v>1.838992317</v>
      </c>
      <c r="U126" t="n">
        <v>2.186230184</v>
      </c>
      <c r="V126" t="n">
        <v>3.783741131</v>
      </c>
      <c r="W126" t="n">
        <v>4.816344314</v>
      </c>
      <c r="Y126" t="n">
        <v>4.401120316</v>
      </c>
      <c r="Z126" t="n">
        <v>8.828711505999999</v>
      </c>
      <c r="AC126" t="n">
        <v>7.982756921</v>
      </c>
      <c r="AD126" t="n">
        <v>6.346614553</v>
      </c>
      <c r="AF126" t="n">
        <v>3.302878796</v>
      </c>
      <c r="AG126" t="n">
        <v>4.985894642</v>
      </c>
      <c r="AH126" t="n">
        <v>12.476476443</v>
      </c>
      <c r="AI126" t="n">
        <v>4.212193346</v>
      </c>
      <c r="AK126" t="n">
        <v>8.163617638</v>
      </c>
      <c r="AL126" t="n">
        <v>2.276549971</v>
      </c>
      <c r="AM126" t="n">
        <v>5.176801237</v>
      </c>
      <c r="AO126" t="n">
        <v>4.587546701</v>
      </c>
      <c r="AQ126" t="n">
        <v>2.691383137</v>
      </c>
      <c r="AU126" t="n">
        <v>2.741741366</v>
      </c>
      <c r="AW126" t="n">
        <v>6.078147799</v>
      </c>
      <c r="AX126" t="n">
        <v>3.73902868</v>
      </c>
    </row>
    <row r="127">
      <c r="A127" t="inlineStr">
        <is>
          <t>1978-Q3</t>
        </is>
      </c>
      <c r="B127" s="87" t="n">
        <v>28764</v>
      </c>
      <c r="D127" t="n">
        <v>2.752223244</v>
      </c>
      <c r="E127" t="n">
        <v>0.328067382</v>
      </c>
      <c r="F127" t="n">
        <v>3.462551233</v>
      </c>
      <c r="H127" t="n">
        <v>4.122424382</v>
      </c>
      <c r="I127" t="n">
        <v>0.186093298</v>
      </c>
      <c r="M127" t="n">
        <v>3.889417618</v>
      </c>
      <c r="N127" t="n">
        <v>0.9320767</v>
      </c>
      <c r="Q127" t="n">
        <v>1.377153129</v>
      </c>
      <c r="U127" t="n">
        <v>2.002161424</v>
      </c>
      <c r="V127" t="n">
        <v>3.219253297</v>
      </c>
      <c r="W127" t="n">
        <v>4.876880836</v>
      </c>
      <c r="Y127" t="n">
        <v>5.102630697</v>
      </c>
      <c r="Z127" t="n">
        <v>4.990077093</v>
      </c>
      <c r="AC127" t="n">
        <v>6.567177225</v>
      </c>
      <c r="AD127" t="n">
        <v>5.559060552</v>
      </c>
      <c r="AF127" t="n">
        <v>4.826971991</v>
      </c>
      <c r="AG127" t="n">
        <v>5.623636677</v>
      </c>
      <c r="AH127" t="n">
        <v>8.073385808999999</v>
      </c>
      <c r="AI127" t="n">
        <v>4.757326416</v>
      </c>
      <c r="AK127" t="n">
        <v>9.061140082</v>
      </c>
      <c r="AL127" t="n">
        <v>2.387880199</v>
      </c>
      <c r="AM127" t="n">
        <v>5.515741829</v>
      </c>
      <c r="AO127" t="n">
        <v>4.565635105</v>
      </c>
      <c r="AQ127" t="n">
        <v>2.216226293</v>
      </c>
      <c r="AU127" t="n">
        <v>0.479186537</v>
      </c>
      <c r="AW127" t="n">
        <v>5.245773422</v>
      </c>
      <c r="AX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Q128" t="n">
        <v>0.555360281</v>
      </c>
      <c r="U128" t="n">
        <v>4.464082098</v>
      </c>
      <c r="V128" t="n">
        <v>3.860698903</v>
      </c>
      <c r="W128" t="n">
        <v>5.444834324</v>
      </c>
      <c r="Y128" t="n">
        <v>4.253584122</v>
      </c>
      <c r="Z128" t="n">
        <v>8.564743994000001</v>
      </c>
      <c r="AC128" t="n">
        <v>5.175964888</v>
      </c>
      <c r="AD128" t="n">
        <v>4.981397323</v>
      </c>
      <c r="AF128" t="n">
        <v>5.520204454</v>
      </c>
      <c r="AG128" t="n">
        <v>5.713887583</v>
      </c>
      <c r="AH128" t="n">
        <v>9.145261237</v>
      </c>
      <c r="AI128" t="n">
        <v>4.393652312</v>
      </c>
      <c r="AK128" t="n">
        <v>9.181234344</v>
      </c>
      <c r="AL128" t="n">
        <v>3.157530826</v>
      </c>
      <c r="AM128" t="n">
        <v>4.559545403</v>
      </c>
      <c r="AO128" t="n">
        <v>5.083144686</v>
      </c>
      <c r="AQ128" t="n">
        <v>3.245361669</v>
      </c>
      <c r="AU128" t="n">
        <v>2.723852448</v>
      </c>
      <c r="AW128" t="n">
        <v>6.658095883</v>
      </c>
      <c r="AX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Q129" t="n">
        <v>-0.227752239</v>
      </c>
      <c r="U129" t="n">
        <v>5.442752397</v>
      </c>
      <c r="V129" t="n">
        <v>3.31871786</v>
      </c>
      <c r="W129" t="n">
        <v>5.123097512</v>
      </c>
      <c r="Y129" t="n">
        <v>2.944543009</v>
      </c>
      <c r="Z129" t="n">
        <v>4.909771051</v>
      </c>
      <c r="AC129" t="n">
        <v>3.98656435</v>
      </c>
      <c r="AD129" t="n">
        <v>4.663518204</v>
      </c>
      <c r="AF129" t="n">
        <v>5.46380889</v>
      </c>
      <c r="AG129" t="n">
        <v>5.305508259</v>
      </c>
      <c r="AH129" t="n">
        <v>14.972238618</v>
      </c>
      <c r="AI129" t="n">
        <v>3.508400237</v>
      </c>
      <c r="AK129" t="n">
        <v>9.284450731</v>
      </c>
      <c r="AL129" t="n">
        <v>-2.151423426</v>
      </c>
      <c r="AM129" t="n">
        <v>2.456405739</v>
      </c>
      <c r="AO129" t="n">
        <v>4.851552236</v>
      </c>
      <c r="AQ129" t="n">
        <v>3.843736535</v>
      </c>
      <c r="AU129" t="n">
        <v>3.170025801</v>
      </c>
      <c r="AW129" t="n">
        <v>6.509913089</v>
      </c>
      <c r="AX129" t="n">
        <v>3.53490338</v>
      </c>
    </row>
    <row r="130">
      <c r="A130" t="inlineStr">
        <is>
          <t>1979-Q2</t>
        </is>
      </c>
      <c r="B130" s="87" t="n">
        <v>29037</v>
      </c>
      <c r="D130" t="n">
        <v>3.479428473</v>
      </c>
      <c r="E130" t="n">
        <v>5.010548479</v>
      </c>
      <c r="F130" t="n">
        <v>1.733960769</v>
      </c>
      <c r="H130" t="n">
        <v>4.070355699</v>
      </c>
      <c r="I130" t="n">
        <v>1.717514124</v>
      </c>
      <c r="M130" t="n">
        <v>5.809207278</v>
      </c>
      <c r="N130" t="n">
        <v>4.54903364</v>
      </c>
      <c r="Q130" t="n">
        <v>-0.27470229</v>
      </c>
      <c r="U130" t="n">
        <v>7.191262952</v>
      </c>
      <c r="V130" t="n">
        <v>2.600581717</v>
      </c>
      <c r="W130" t="n">
        <v>4.064056524</v>
      </c>
      <c r="Y130" t="n">
        <v>6.250656539</v>
      </c>
      <c r="Z130" t="n">
        <v>5.999014536</v>
      </c>
      <c r="AC130" t="n">
        <v>3.105040959</v>
      </c>
      <c r="AD130" t="n">
        <v>4.610314163</v>
      </c>
      <c r="AF130" t="n">
        <v>4.424342369</v>
      </c>
      <c r="AG130" t="n">
        <v>6.197364223</v>
      </c>
      <c r="AH130" t="n">
        <v>12.377489255</v>
      </c>
      <c r="AI130" t="n">
        <v>2.547963554</v>
      </c>
      <c r="AK130" t="n">
        <v>9.392878676</v>
      </c>
      <c r="AL130" t="n">
        <v>3.357937813</v>
      </c>
      <c r="AM130" t="n">
        <v>3.845827746</v>
      </c>
      <c r="AO130" t="n">
        <v>4.079766851</v>
      </c>
      <c r="AQ130" t="n">
        <v>5.54859592</v>
      </c>
      <c r="AU130" t="n">
        <v>3.218484733</v>
      </c>
      <c r="AW130" t="n">
        <v>2.656855063</v>
      </c>
      <c r="AX130" t="n">
        <v>2.227984745</v>
      </c>
    </row>
    <row r="131">
      <c r="A131" t="inlineStr">
        <is>
          <t>1979-Q3</t>
        </is>
      </c>
      <c r="B131" s="87" t="n">
        <v>29129</v>
      </c>
      <c r="D131" t="n">
        <v>2.879952249</v>
      </c>
      <c r="E131" t="n">
        <v>5.241970225</v>
      </c>
      <c r="F131" t="n">
        <v>2.046962049</v>
      </c>
      <c r="H131" t="n">
        <v>3.799728143</v>
      </c>
      <c r="I131" t="n">
        <v>2.638118427</v>
      </c>
      <c r="M131" t="n">
        <v>4.439655589</v>
      </c>
      <c r="N131" t="n">
        <v>2.193385698</v>
      </c>
      <c r="Q131" t="n">
        <v>0.087956887</v>
      </c>
      <c r="U131" t="n">
        <v>7.639547203</v>
      </c>
      <c r="V131" t="n">
        <v>3.864765295</v>
      </c>
      <c r="W131" t="n">
        <v>3.581713977</v>
      </c>
      <c r="Y131" t="n">
        <v>2.468702795</v>
      </c>
      <c r="Z131" t="n">
        <v>3.607844563</v>
      </c>
      <c r="AC131" t="n">
        <v>2.642082307</v>
      </c>
      <c r="AD131" t="n">
        <v>4.852699152</v>
      </c>
      <c r="AF131" t="n">
        <v>5.67522968</v>
      </c>
      <c r="AG131" t="n">
        <v>5.641055737</v>
      </c>
      <c r="AH131" t="n">
        <v>7.272683028</v>
      </c>
      <c r="AI131" t="n">
        <v>1.850604319</v>
      </c>
      <c r="AK131" t="n">
        <v>9.214405183</v>
      </c>
      <c r="AL131" t="n">
        <v>3.158213819</v>
      </c>
      <c r="AM131" t="n">
        <v>5.29771324</v>
      </c>
      <c r="AO131" t="n">
        <v>3.646766287</v>
      </c>
      <c r="AQ131" t="n">
        <v>6.380889649</v>
      </c>
      <c r="AU131" t="n">
        <v>5.682722854</v>
      </c>
      <c r="AW131" t="n">
        <v>2.389915413</v>
      </c>
      <c r="AX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Q132" t="n">
        <v>0.5886465319999999</v>
      </c>
      <c r="U132" t="n">
        <v>6.609179719</v>
      </c>
      <c r="V132" t="n">
        <v>3.184112137</v>
      </c>
      <c r="W132" t="n">
        <v>2.879873724</v>
      </c>
      <c r="Y132" t="n">
        <v>2.610859818</v>
      </c>
      <c r="Z132" t="n">
        <v>-1.127246204</v>
      </c>
      <c r="AC132" t="n">
        <v>2.585266415</v>
      </c>
      <c r="AD132" t="n">
        <v>5.303513954</v>
      </c>
      <c r="AF132" t="n">
        <v>6.539234287</v>
      </c>
      <c r="AG132" t="n">
        <v>4.590912203</v>
      </c>
      <c r="AH132" t="n">
        <v>0.807386062</v>
      </c>
      <c r="AI132" t="n">
        <v>1.509830774</v>
      </c>
      <c r="AK132" t="n">
        <v>8.749299132999999</v>
      </c>
      <c r="AL132" t="n">
        <v>2.938000372</v>
      </c>
      <c r="AM132" t="n">
        <v>6.107537277</v>
      </c>
      <c r="AO132" t="n">
        <v>2.996774671</v>
      </c>
      <c r="AQ132" t="n">
        <v>6.74494611</v>
      </c>
      <c r="AU132" t="n">
        <v>4.099979004</v>
      </c>
      <c r="AW132" t="n">
        <v>1.284557672</v>
      </c>
      <c r="AX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Q133" t="n">
        <v>1.423891899</v>
      </c>
      <c r="U133" t="n">
        <v>6.236961754</v>
      </c>
      <c r="V133" t="n">
        <v>3.553630932</v>
      </c>
      <c r="W133" t="n">
        <v>2.68151104</v>
      </c>
      <c r="Y133" t="n">
        <v>1.981534796</v>
      </c>
      <c r="Z133" t="n">
        <v>1.81587071</v>
      </c>
      <c r="AC133" t="n">
        <v>2.778646765</v>
      </c>
      <c r="AD133" t="n">
        <v>5.752256199</v>
      </c>
      <c r="AF133" t="n">
        <v>4.689559323</v>
      </c>
      <c r="AG133" t="n">
        <v>3.443939632</v>
      </c>
      <c r="AH133" t="n">
        <v>-2.66574512</v>
      </c>
      <c r="AI133" t="n">
        <v>1.348101552</v>
      </c>
      <c r="AK133" t="n">
        <v>9.274204115</v>
      </c>
      <c r="AL133" t="n">
        <v>8.186000978999999</v>
      </c>
      <c r="AM133" t="n">
        <v>10.678075386</v>
      </c>
      <c r="AO133" t="n">
        <v>2.997579366</v>
      </c>
      <c r="AQ133" t="n">
        <v>7.284454126</v>
      </c>
      <c r="AU133" t="n">
        <v>5.185021438</v>
      </c>
      <c r="AW133" t="n">
        <v>1.420775266</v>
      </c>
      <c r="AX133" t="n">
        <v>5.603966755</v>
      </c>
    </row>
    <row r="134">
      <c r="A134" t="inlineStr">
        <is>
          <t>1980-Q2</t>
        </is>
      </c>
      <c r="B134" s="87" t="n">
        <v>29403</v>
      </c>
      <c r="D134" t="n">
        <v>3.607314444</v>
      </c>
      <c r="E134" t="n">
        <v>2.229748822</v>
      </c>
      <c r="F134" t="n">
        <v>5.695113661</v>
      </c>
      <c r="H134" t="n">
        <v>2.039494392</v>
      </c>
      <c r="I134" t="n">
        <v>4.741436697</v>
      </c>
      <c r="M134" t="n">
        <v>0.76620879</v>
      </c>
      <c r="N134" t="n">
        <v>-1.21976052</v>
      </c>
      <c r="Q134" t="n">
        <v>1.610681873</v>
      </c>
      <c r="U134" t="n">
        <v>3.286483097</v>
      </c>
      <c r="V134" t="n">
        <v>1.78423548</v>
      </c>
      <c r="W134" t="n">
        <v>0.180832358</v>
      </c>
      <c r="Y134" t="n">
        <v>-4.270650731</v>
      </c>
      <c r="Z134" t="n">
        <v>0.433302897</v>
      </c>
      <c r="AC134" t="n">
        <v>3.040938231</v>
      </c>
      <c r="AD134" t="n">
        <v>6.004412324</v>
      </c>
      <c r="AF134" t="n">
        <v>4.740438214</v>
      </c>
      <c r="AG134" t="n">
        <v>1.052248035</v>
      </c>
      <c r="AH134" t="n">
        <v>-3.917118286</v>
      </c>
      <c r="AI134" t="n">
        <v>1.152266108</v>
      </c>
      <c r="AK134" t="n">
        <v>7.60676692</v>
      </c>
      <c r="AL134" t="n">
        <v>0.338575393</v>
      </c>
      <c r="AM134" t="n">
        <v>5.237741007</v>
      </c>
      <c r="AO134" t="n">
        <v>0.65607002</v>
      </c>
      <c r="AQ134" t="n">
        <v>5.022777987</v>
      </c>
      <c r="AU134" t="n">
        <v>-1.412399589</v>
      </c>
      <c r="AW134" t="n">
        <v>-0.775062713</v>
      </c>
      <c r="AX134" t="n">
        <v>6.920808722</v>
      </c>
    </row>
    <row r="135">
      <c r="A135" t="inlineStr">
        <is>
          <t>1980-Q3</t>
        </is>
      </c>
      <c r="B135" s="87" t="n">
        <v>29495</v>
      </c>
      <c r="D135" t="n">
        <v>3.198201465</v>
      </c>
      <c r="E135" t="n">
        <v>1.866624677</v>
      </c>
      <c r="F135" t="n">
        <v>3.671015497</v>
      </c>
      <c r="H135" t="n">
        <v>1.221901043</v>
      </c>
      <c r="I135" t="n">
        <v>4.294241759</v>
      </c>
      <c r="M135" t="n">
        <v>0.366439143</v>
      </c>
      <c r="N135" t="n">
        <v>-1.876250217</v>
      </c>
      <c r="Q135" t="n">
        <v>0.964948963</v>
      </c>
      <c r="U135" t="n">
        <v>7.516966275</v>
      </c>
      <c r="V135" t="n">
        <v>0.783983435</v>
      </c>
      <c r="W135" t="n">
        <v>-0.083343272</v>
      </c>
      <c r="Y135" t="n">
        <v>-2.194130574</v>
      </c>
      <c r="Z135" t="n">
        <v>0.556101326</v>
      </c>
      <c r="AC135" t="n">
        <v>3.220023578</v>
      </c>
      <c r="AD135" t="n">
        <v>5.868468226</v>
      </c>
      <c r="AF135" t="n">
        <v>3.044983074</v>
      </c>
      <c r="AG135" t="n">
        <v>2.533761582</v>
      </c>
      <c r="AH135" t="n">
        <v>0.688488071</v>
      </c>
      <c r="AI135" t="n">
        <v>0.741006783</v>
      </c>
      <c r="AK135" t="n">
        <v>7.699434116</v>
      </c>
      <c r="AL135" t="n">
        <v>-1.067033976</v>
      </c>
      <c r="AM135" t="n">
        <v>0.690114449</v>
      </c>
      <c r="AO135" t="n">
        <v>0.473022984</v>
      </c>
      <c r="AQ135" t="n">
        <v>3.290390703</v>
      </c>
      <c r="AU135" t="n">
        <v>2.04903702</v>
      </c>
      <c r="AW135" t="n">
        <v>-1.623797431</v>
      </c>
      <c r="AX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Q136" t="n">
        <v>1.194843181</v>
      </c>
      <c r="U136" t="n">
        <v>3.358247159</v>
      </c>
      <c r="V136" t="n">
        <v>0.419310188</v>
      </c>
      <c r="W136" t="n">
        <v>0.493592201</v>
      </c>
      <c r="Y136" t="n">
        <v>-4.300388074</v>
      </c>
      <c r="Z136" t="n">
        <v>-0.114009791</v>
      </c>
      <c r="AC136" t="n">
        <v>3.272443636</v>
      </c>
      <c r="AD136" t="n">
        <v>5.375815118</v>
      </c>
      <c r="AF136" t="n">
        <v>1.533254334</v>
      </c>
      <c r="AG136" t="n">
        <v>4.259939594</v>
      </c>
      <c r="AH136" t="n">
        <v>-0.58646568</v>
      </c>
      <c r="AI136" t="n">
        <v>0.129266312</v>
      </c>
      <c r="AK136" t="n">
        <v>8.732685103</v>
      </c>
      <c r="AL136" t="n">
        <v>-0.305672117</v>
      </c>
      <c r="AM136" t="n">
        <v>1.95925543</v>
      </c>
      <c r="AO136" t="n">
        <v>0.946968305</v>
      </c>
      <c r="AQ136" t="n">
        <v>2.891256401</v>
      </c>
      <c r="AU136" t="n">
        <v>-0.054837886</v>
      </c>
      <c r="AW136" t="n">
        <v>-0.039131615</v>
      </c>
      <c r="AX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Q137" t="n">
        <v>-0.047428331</v>
      </c>
      <c r="U137" t="n">
        <v>1.465183022</v>
      </c>
      <c r="V137" t="n">
        <v>-0.473429308</v>
      </c>
      <c r="W137" t="n">
        <v>1.327123365</v>
      </c>
      <c r="Y137" t="n">
        <v>-3.394661527</v>
      </c>
      <c r="Z137" t="n">
        <v>-5.30505699</v>
      </c>
      <c r="AC137" t="n">
        <v>3.264339435</v>
      </c>
      <c r="AD137" t="n">
        <v>4.763864728</v>
      </c>
      <c r="AF137" t="n">
        <v>1.139704129</v>
      </c>
      <c r="AG137" t="n">
        <v>4.499370078</v>
      </c>
      <c r="AH137" t="n">
        <v>2.595365468</v>
      </c>
      <c r="AI137" t="n">
        <v>-0.459210064</v>
      </c>
      <c r="AK137" t="n">
        <v>8.165443786999999</v>
      </c>
      <c r="AL137" t="n">
        <v>-1.208918488</v>
      </c>
      <c r="AM137" t="n">
        <v>-0.023640529</v>
      </c>
      <c r="AO137" t="n">
        <v>1.414771755</v>
      </c>
      <c r="AQ137" t="n">
        <v>1.749246704</v>
      </c>
      <c r="AU137" t="n">
        <v>-2.490940076</v>
      </c>
      <c r="AW137" t="n">
        <v>1.599979772</v>
      </c>
      <c r="AX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Q138" t="n">
        <v>-0.496310496</v>
      </c>
      <c r="U138" t="n">
        <v>3.136382032</v>
      </c>
      <c r="V138" t="n">
        <v>0.976447533</v>
      </c>
      <c r="W138" t="n">
        <v>2.545364714</v>
      </c>
      <c r="Y138" t="n">
        <v>-1.285402185</v>
      </c>
      <c r="Z138" t="n">
        <v>-5.593758265</v>
      </c>
      <c r="AC138" t="n">
        <v>3.262883526</v>
      </c>
      <c r="AD138" t="n">
        <v>4.24977325</v>
      </c>
      <c r="AF138" t="n">
        <v>0.556555755</v>
      </c>
      <c r="AG138" t="n">
        <v>6.338764794</v>
      </c>
      <c r="AH138" t="n">
        <v>5.643580267</v>
      </c>
      <c r="AI138" t="n">
        <v>-0.811655451</v>
      </c>
      <c r="AK138" t="n">
        <v>10.248938249</v>
      </c>
      <c r="AL138" t="n">
        <v>0.628768462</v>
      </c>
      <c r="AM138" t="n">
        <v>2.501027249</v>
      </c>
      <c r="AO138" t="n">
        <v>2.729312181</v>
      </c>
      <c r="AQ138" t="n">
        <v>1.857852665</v>
      </c>
      <c r="AU138" t="n">
        <v>2.326810765</v>
      </c>
      <c r="AW138" t="n">
        <v>2.968700707</v>
      </c>
      <c r="AX138" t="n">
        <v>5.460639508</v>
      </c>
    </row>
    <row r="139">
      <c r="A139" t="inlineStr">
        <is>
          <t>1981-Q3</t>
        </is>
      </c>
      <c r="B139" s="87" t="n">
        <v>29860</v>
      </c>
      <c r="D139" t="n">
        <v>5.785472433</v>
      </c>
      <c r="E139" t="n">
        <v>0.292267152</v>
      </c>
      <c r="F139" t="n">
        <v>0.838777975</v>
      </c>
      <c r="H139" t="n">
        <v>3.838463089</v>
      </c>
      <c r="I139" t="n">
        <v>2.040889241</v>
      </c>
      <c r="M139" t="n">
        <v>1.068809572</v>
      </c>
      <c r="N139" t="n">
        <v>0.665803992</v>
      </c>
      <c r="Q139" t="n">
        <v>0.344054838</v>
      </c>
      <c r="U139" t="n">
        <v>-1.276862292</v>
      </c>
      <c r="V139" t="n">
        <v>1.512056891</v>
      </c>
      <c r="W139" t="n">
        <v>2.915693864</v>
      </c>
      <c r="Y139" t="n">
        <v>-0.102205572</v>
      </c>
      <c r="Z139" t="n">
        <v>2.477277089</v>
      </c>
      <c r="AC139" t="n">
        <v>3.339522435</v>
      </c>
      <c r="AD139" t="n">
        <v>4.033520581</v>
      </c>
      <c r="AF139" t="n">
        <v>0.519012229</v>
      </c>
      <c r="AG139" t="n">
        <v>3.77769997</v>
      </c>
      <c r="AH139" t="n">
        <v>7.996962979</v>
      </c>
      <c r="AI139" t="n">
        <v>-0.725291694</v>
      </c>
      <c r="AK139" t="n">
        <v>8.483372977</v>
      </c>
      <c r="AL139" t="n">
        <v>0.382409178</v>
      </c>
      <c r="AM139" t="n">
        <v>3.084230303</v>
      </c>
      <c r="AO139" t="n">
        <v>3.082687532</v>
      </c>
      <c r="AQ139" t="n">
        <v>2.032554575</v>
      </c>
      <c r="AU139" t="n">
        <v>-0.659633112</v>
      </c>
      <c r="AW139" t="n">
        <v>4.325765021</v>
      </c>
      <c r="AX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Q140" t="n">
        <v>-0.334207077</v>
      </c>
      <c r="U140" t="n">
        <v>1.882119861</v>
      </c>
      <c r="V140" t="n">
        <v>2.254555423</v>
      </c>
      <c r="W140" t="n">
        <v>1.469095465</v>
      </c>
      <c r="Y140" t="n">
        <v>1.116367762</v>
      </c>
      <c r="Z140" t="n">
        <v>2.544648852</v>
      </c>
      <c r="AC140" t="n">
        <v>3.431785831</v>
      </c>
      <c r="AD140" t="n">
        <v>4.028297519</v>
      </c>
      <c r="AF140" t="n">
        <v>0.478490283</v>
      </c>
      <c r="AG140" t="n">
        <v>2.359574253</v>
      </c>
      <c r="AH140" t="n">
        <v>12.811298021</v>
      </c>
      <c r="AI140" t="n">
        <v>-0.206537816</v>
      </c>
      <c r="AK140" t="n">
        <v>7.31911819</v>
      </c>
      <c r="AL140" t="n">
        <v>-1.816070683</v>
      </c>
      <c r="AM140" t="n">
        <v>0.864994916</v>
      </c>
      <c r="AO140" t="n">
        <v>1.840115494</v>
      </c>
      <c r="AQ140" t="n">
        <v>0.8444154820000001</v>
      </c>
      <c r="AU140" t="n">
        <v>0.18589722</v>
      </c>
      <c r="AW140" t="n">
        <v>1.299901157</v>
      </c>
      <c r="AX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Q141" t="n">
        <v>0.645858597</v>
      </c>
      <c r="U141" t="n">
        <v>2.709408495</v>
      </c>
      <c r="V141" t="n">
        <v>2.793398632</v>
      </c>
      <c r="W141" t="n">
        <v>-0.045472769</v>
      </c>
      <c r="Y141" t="n">
        <v>1.326497297</v>
      </c>
      <c r="Z141" t="n">
        <v>2.581970722</v>
      </c>
      <c r="AC141" t="n">
        <v>3.352210381</v>
      </c>
      <c r="AD141" t="n">
        <v>3.87020604</v>
      </c>
      <c r="AF141" t="n">
        <v>1.015064378</v>
      </c>
      <c r="AG141" t="n">
        <v>3.294956071</v>
      </c>
      <c r="AH141" t="n">
        <v>9.087773178000001</v>
      </c>
      <c r="AI141" t="n">
        <v>0.49845716</v>
      </c>
      <c r="AK141" t="n">
        <v>2.952408048</v>
      </c>
      <c r="AL141" t="n">
        <v>0.06961236899999999</v>
      </c>
      <c r="AM141" t="n">
        <v>-0.206903541</v>
      </c>
      <c r="AO141" t="n">
        <v>0.4854631</v>
      </c>
      <c r="AQ141" t="n">
        <v>2.831411312</v>
      </c>
      <c r="AU141" t="n">
        <v>-0.142823336</v>
      </c>
      <c r="AW141" t="n">
        <v>-2.190348982</v>
      </c>
      <c r="AX141" t="n">
        <v>3.351452457</v>
      </c>
    </row>
    <row r="142">
      <c r="A142" t="inlineStr">
        <is>
          <t>1982-Q2</t>
        </is>
      </c>
      <c r="B142" s="87" t="n">
        <v>30133</v>
      </c>
      <c r="D142" t="n">
        <v>1.678352701</v>
      </c>
      <c r="E142" t="n">
        <v>1.610946582</v>
      </c>
      <c r="F142" t="n">
        <v>0.240429213</v>
      </c>
      <c r="H142" t="n">
        <v>-3.640056899</v>
      </c>
      <c r="I142" t="n">
        <v>-1.36723863</v>
      </c>
      <c r="M142" t="n">
        <v>-0.059283061</v>
      </c>
      <c r="N142" t="n">
        <v>3.33666144</v>
      </c>
      <c r="Q142" t="n">
        <v>1.140082339</v>
      </c>
      <c r="U142" t="n">
        <v>2.521090838</v>
      </c>
      <c r="V142" t="n">
        <v>2.817738859</v>
      </c>
      <c r="W142" t="n">
        <v>0.275574354</v>
      </c>
      <c r="Y142" t="n">
        <v>2.182975607</v>
      </c>
      <c r="Z142" t="n">
        <v>0.590068637</v>
      </c>
      <c r="AC142" t="n">
        <v>2.948930184</v>
      </c>
      <c r="AD142" t="n">
        <v>3.237227685</v>
      </c>
      <c r="AF142" t="n">
        <v>0.531971372</v>
      </c>
      <c r="AG142" t="n">
        <v>2.746764067</v>
      </c>
      <c r="AH142" t="n">
        <v>9.016197517</v>
      </c>
      <c r="AI142" t="n">
        <v>1.122658544</v>
      </c>
      <c r="AK142" t="n">
        <v>0.505059441</v>
      </c>
      <c r="AL142" t="n">
        <v>-2.339942097</v>
      </c>
      <c r="AM142" t="n">
        <v>-0.611682519</v>
      </c>
      <c r="AO142" t="n">
        <v>0.522532378</v>
      </c>
      <c r="AQ142" t="n">
        <v>1.36695612</v>
      </c>
      <c r="AU142" t="n">
        <v>2.02975177</v>
      </c>
      <c r="AW142" t="n">
        <v>-1.010568147</v>
      </c>
      <c r="AX142" t="n">
        <v>0.298692939</v>
      </c>
    </row>
    <row r="143">
      <c r="A143" t="inlineStr">
        <is>
          <t>1982-Q3</t>
        </is>
      </c>
      <c r="B143" s="87" t="n">
        <v>30225</v>
      </c>
      <c r="D143" t="n">
        <v>-0.99404539</v>
      </c>
      <c r="E143" t="n">
        <v>1.612748872</v>
      </c>
      <c r="F143" t="n">
        <v>0.785574479</v>
      </c>
      <c r="H143" t="n">
        <v>-3.619406541</v>
      </c>
      <c r="I143" t="n">
        <v>-2.227518842</v>
      </c>
      <c r="M143" t="n">
        <v>-1.307091516</v>
      </c>
      <c r="N143" t="n">
        <v>3.76960473</v>
      </c>
      <c r="Q143" t="n">
        <v>1.370186939</v>
      </c>
      <c r="U143" t="n">
        <v>3.123627312</v>
      </c>
      <c r="V143" t="n">
        <v>2.087832826</v>
      </c>
      <c r="W143" t="n">
        <v>-0.573727311</v>
      </c>
      <c r="Y143" t="n">
        <v>1.328041338</v>
      </c>
      <c r="Z143" t="n">
        <v>-3.200490288</v>
      </c>
      <c r="AC143" t="n">
        <v>2.05463539</v>
      </c>
      <c r="AD143" t="n">
        <v>1.80260906</v>
      </c>
      <c r="AF143" t="n">
        <v>0.431689076</v>
      </c>
      <c r="AG143" t="n">
        <v>3.425808121</v>
      </c>
      <c r="AH143" t="n">
        <v>6.830068155</v>
      </c>
      <c r="AI143" t="n">
        <v>1.43532509</v>
      </c>
      <c r="AK143" t="n">
        <v>-0.736684843</v>
      </c>
      <c r="AL143" t="n">
        <v>-0.345815996</v>
      </c>
      <c r="AM143" t="n">
        <v>0.621442462</v>
      </c>
      <c r="AO143" t="n">
        <v>-0.275792558</v>
      </c>
      <c r="AQ143" t="n">
        <v>2.00699983</v>
      </c>
      <c r="AU143" t="n">
        <v>-0.004190578</v>
      </c>
      <c r="AW143" t="n">
        <v>-2.555921433</v>
      </c>
      <c r="AX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Q144" t="n">
        <v>1.829180091</v>
      </c>
      <c r="U144" t="n">
        <v>4.020418085</v>
      </c>
      <c r="V144" t="n">
        <v>2.141952867</v>
      </c>
      <c r="W144" t="n">
        <v>0.010573416</v>
      </c>
      <c r="Y144" t="n">
        <v>1.918845907</v>
      </c>
      <c r="Z144" t="n">
        <v>-4.296798271</v>
      </c>
      <c r="AC144" t="n">
        <v>0.81496269</v>
      </c>
      <c r="AD144" t="n">
        <v>-0.222357353</v>
      </c>
      <c r="AF144" t="n">
        <v>-0.666571911</v>
      </c>
      <c r="AG144" t="n">
        <v>4.10312509</v>
      </c>
      <c r="AH144" t="n">
        <v>8.489928544</v>
      </c>
      <c r="AI144" t="n">
        <v>1.468967163</v>
      </c>
      <c r="AK144" t="n">
        <v>-4.623492747</v>
      </c>
      <c r="AL144" t="n">
        <v>-2.516722717</v>
      </c>
      <c r="AM144" t="n">
        <v>0.9708793</v>
      </c>
      <c r="AO144" t="n">
        <v>-0.012056707</v>
      </c>
      <c r="AQ144" t="n">
        <v>2.335787302</v>
      </c>
      <c r="AU144" t="n">
        <v>3.101433116</v>
      </c>
      <c r="AW144" t="n">
        <v>-1.443156179</v>
      </c>
      <c r="AX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Q145" t="n">
        <v>1.782393462</v>
      </c>
      <c r="U145" t="n">
        <v>3.497922505</v>
      </c>
      <c r="V145" t="n">
        <v>1.683565309</v>
      </c>
      <c r="W145" t="n">
        <v>1.322826064</v>
      </c>
      <c r="Y145" t="n">
        <v>3.712189922</v>
      </c>
      <c r="Z145" t="n">
        <v>-3.583529451</v>
      </c>
      <c r="AC145" t="n">
        <v>-0.303196618</v>
      </c>
      <c r="AD145" t="n">
        <v>-2.081205123</v>
      </c>
      <c r="AF145" t="n">
        <v>-0.349283248</v>
      </c>
      <c r="AG145" t="n">
        <v>2.596482338</v>
      </c>
      <c r="AH145" t="n">
        <v>12.532870913</v>
      </c>
      <c r="AI145" t="n">
        <v>1.563836604</v>
      </c>
      <c r="AK145" t="n">
        <v>-3.468731128</v>
      </c>
      <c r="AL145" t="n">
        <v>-2.619631677</v>
      </c>
      <c r="AM145" t="n">
        <v>2.47191138</v>
      </c>
      <c r="AO145" t="n">
        <v>1.091298782</v>
      </c>
      <c r="AQ145" t="n">
        <v>0.83359598</v>
      </c>
      <c r="AU145" t="n">
        <v>1.646215938</v>
      </c>
      <c r="AW145" t="n">
        <v>1.431455577</v>
      </c>
      <c r="AX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Q146" t="n">
        <v>2.023536165</v>
      </c>
      <c r="U146" t="n">
        <v>3.564252225</v>
      </c>
      <c r="V146" t="n">
        <v>0.98416805</v>
      </c>
      <c r="W146" t="n">
        <v>2.386357287</v>
      </c>
      <c r="Y146" t="n">
        <v>3.32796459</v>
      </c>
      <c r="Z146" t="n">
        <v>-2.590123414</v>
      </c>
      <c r="AC146" t="n">
        <v>-0.887906019</v>
      </c>
      <c r="AD146" t="n">
        <v>-3.109203814</v>
      </c>
      <c r="AF146" t="n">
        <v>-0.185625127</v>
      </c>
      <c r="AG146" t="n">
        <v>2.66311157</v>
      </c>
      <c r="AH146" t="n">
        <v>13.345797969</v>
      </c>
      <c r="AI146" t="n">
        <v>2.057655532</v>
      </c>
      <c r="AK146" t="n">
        <v>-5.553618924</v>
      </c>
      <c r="AL146" t="n">
        <v>2.519841642</v>
      </c>
      <c r="AM146" t="n">
        <v>3.595937259</v>
      </c>
      <c r="AO146" t="n">
        <v>1.943273063</v>
      </c>
      <c r="AQ146" t="n">
        <v>1.293490896</v>
      </c>
      <c r="AU146" t="n">
        <v>0.328368334</v>
      </c>
      <c r="AW146" t="n">
        <v>3.268532884</v>
      </c>
      <c r="AX146" t="n">
        <v>-3.249435611</v>
      </c>
    </row>
    <row r="147">
      <c r="A147" t="inlineStr">
        <is>
          <t>1983-Q3</t>
        </is>
      </c>
      <c r="B147" s="87" t="n">
        <v>30590</v>
      </c>
      <c r="D147" t="n">
        <v>-0.031718922</v>
      </c>
      <c r="E147" t="n">
        <v>3.217143003</v>
      </c>
      <c r="F147" t="n">
        <v>0.261423772</v>
      </c>
      <c r="H147" t="n">
        <v>3.863388063</v>
      </c>
      <c r="I147" t="n">
        <v>1.132892468</v>
      </c>
      <c r="M147" t="n">
        <v>1.999914709</v>
      </c>
      <c r="N147" t="n">
        <v>0.865698671</v>
      </c>
      <c r="Q147" t="n">
        <v>1.490332279</v>
      </c>
      <c r="U147" t="n">
        <v>3.393440295</v>
      </c>
      <c r="V147" t="n">
        <v>1.1683907</v>
      </c>
      <c r="W147" t="n">
        <v>4.042766043</v>
      </c>
      <c r="Y147" t="n">
        <v>4.159382084</v>
      </c>
      <c r="Z147" t="n">
        <v>0.735126009</v>
      </c>
      <c r="AC147" t="n">
        <v>-0.535380313</v>
      </c>
      <c r="AD147" t="n">
        <v>-2.658711581</v>
      </c>
      <c r="AF147" t="n">
        <v>1.727558523</v>
      </c>
      <c r="AG147" t="n">
        <v>3.745838338</v>
      </c>
      <c r="AH147" t="n">
        <v>15.166445026</v>
      </c>
      <c r="AI147" t="n">
        <v>3.275449908</v>
      </c>
      <c r="AK147" t="n">
        <v>-4.079716111</v>
      </c>
      <c r="AL147" t="n">
        <v>2.89118171</v>
      </c>
      <c r="AM147" t="n">
        <v>5.064412556</v>
      </c>
      <c r="AO147" t="n">
        <v>3.450598254</v>
      </c>
      <c r="AQ147" t="n">
        <v>-0.682358487</v>
      </c>
      <c r="AU147" t="n">
        <v>2.734841712</v>
      </c>
      <c r="AW147" t="n">
        <v>5.737169685</v>
      </c>
      <c r="AX147" t="n">
        <v>-2.109084591</v>
      </c>
    </row>
    <row r="148">
      <c r="A148" t="inlineStr">
        <is>
          <t>1983-Q4</t>
        </is>
      </c>
      <c r="B148" s="87" t="n">
        <v>30682</v>
      </c>
      <c r="D148" t="n">
        <v>3.276513978</v>
      </c>
      <c r="E148" t="n">
        <v>4.446017386</v>
      </c>
      <c r="F148" t="n">
        <v>2.02778772</v>
      </c>
      <c r="H148" t="n">
        <v>6.151657594</v>
      </c>
      <c r="I148" t="n">
        <v>1.884189692</v>
      </c>
      <c r="M148" t="n">
        <v>3.16368421</v>
      </c>
      <c r="N148" t="n">
        <v>3.204697437</v>
      </c>
      <c r="Q148" t="n">
        <v>1.787282401</v>
      </c>
      <c r="U148" t="n">
        <v>1.850726737</v>
      </c>
      <c r="V148" t="n">
        <v>1.149793637</v>
      </c>
      <c r="W148" t="n">
        <v>5.318101489</v>
      </c>
      <c r="Y148" t="n">
        <v>4.256515154</v>
      </c>
      <c r="Z148" t="n">
        <v>1.210939504</v>
      </c>
      <c r="AC148" t="n">
        <v>0.752352581</v>
      </c>
      <c r="AD148" t="n">
        <v>-0.738434772</v>
      </c>
      <c r="AF148" t="n">
        <v>4.285885422</v>
      </c>
      <c r="AG148" t="n">
        <v>3.176430465</v>
      </c>
      <c r="AH148" t="n">
        <v>12.452149351</v>
      </c>
      <c r="AI148" t="n">
        <v>5.03940664</v>
      </c>
      <c r="AK148" t="n">
        <v>-0.7995198</v>
      </c>
      <c r="AL148" t="n">
        <v>4.361589203</v>
      </c>
      <c r="AM148" t="n">
        <v>4.766940215</v>
      </c>
      <c r="AO148" t="n">
        <v>4.720806698</v>
      </c>
      <c r="AQ148" t="n">
        <v>-2.12369048</v>
      </c>
      <c r="AU148" t="n">
        <v>2.801680378</v>
      </c>
      <c r="AW148" t="n">
        <v>7.899974981</v>
      </c>
      <c r="AX148" t="n">
        <v>2.541563112</v>
      </c>
    </row>
    <row r="149">
      <c r="A149" t="inlineStr">
        <is>
          <t>1984-Q1</t>
        </is>
      </c>
      <c r="B149" s="87" t="n">
        <v>30773</v>
      </c>
      <c r="D149" t="n">
        <v>6.912266425</v>
      </c>
      <c r="E149" t="n">
        <v>1.833783074</v>
      </c>
      <c r="F149" t="n">
        <v>2.422061448</v>
      </c>
      <c r="H149" t="n">
        <v>6.20124233</v>
      </c>
      <c r="I149" t="n">
        <v>2.066973401</v>
      </c>
      <c r="M149" t="n">
        <v>3.589300546</v>
      </c>
      <c r="N149" t="n">
        <v>4.00999926</v>
      </c>
      <c r="Q149" t="n">
        <v>2.255561703</v>
      </c>
      <c r="U149" t="n">
        <v>3.337690225</v>
      </c>
      <c r="V149" t="n">
        <v>1.143855519</v>
      </c>
      <c r="W149" t="n">
        <v>5.7208658</v>
      </c>
      <c r="Y149" t="n">
        <v>3.084918687</v>
      </c>
      <c r="Z149" t="n">
        <v>1.779593533</v>
      </c>
      <c r="AC149" t="n">
        <v>2.494814195</v>
      </c>
      <c r="AD149" t="n">
        <v>1.844814931</v>
      </c>
      <c r="AF149" t="n">
        <v>3.790992921</v>
      </c>
      <c r="AG149" t="n">
        <v>4.29891577</v>
      </c>
      <c r="AH149" t="n">
        <v>12.399203782</v>
      </c>
      <c r="AI149" t="n">
        <v>6.615597506</v>
      </c>
      <c r="AK149" t="n">
        <v>2.697849923</v>
      </c>
      <c r="AL149" t="n">
        <v>5.23545446</v>
      </c>
      <c r="AM149" t="n">
        <v>5.144164331</v>
      </c>
      <c r="AO149" t="n">
        <v>5.376407085</v>
      </c>
      <c r="AQ149" t="n">
        <v>-3.765904581</v>
      </c>
      <c r="AU149" t="n">
        <v>6.32476122</v>
      </c>
      <c r="AW149" t="n">
        <v>8.578275462000001</v>
      </c>
      <c r="AX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Q150" t="n">
        <v>1.314594816</v>
      </c>
      <c r="U150" t="n">
        <v>2.402180441</v>
      </c>
      <c r="V150" t="n">
        <v>1.618628219</v>
      </c>
      <c r="W150" t="n">
        <v>5.24196038</v>
      </c>
      <c r="Y150" t="n">
        <v>1.413544724</v>
      </c>
      <c r="Z150" t="n">
        <v>2.342702954</v>
      </c>
      <c r="AC150" t="n">
        <v>4.159408842</v>
      </c>
      <c r="AD150" t="n">
        <v>4.168490104</v>
      </c>
      <c r="AF150" t="n">
        <v>4.250690105</v>
      </c>
      <c r="AG150" t="n">
        <v>5.088232497</v>
      </c>
      <c r="AH150" t="n">
        <v>11.765440349</v>
      </c>
      <c r="AI150" t="n">
        <v>7.310072978</v>
      </c>
      <c r="AK150" t="n">
        <v>3.262564712</v>
      </c>
      <c r="AL150" t="n">
        <v>2.392020498</v>
      </c>
      <c r="AM150" t="n">
        <v>4.641589162</v>
      </c>
      <c r="AO150" t="n">
        <v>4.933801332</v>
      </c>
      <c r="AQ150" t="n">
        <v>-3.901506084</v>
      </c>
      <c r="AU150" t="n">
        <v>3.896350307</v>
      </c>
      <c r="AW150" t="n">
        <v>7.996696675</v>
      </c>
      <c r="AX150" t="n">
        <v>7.66954987</v>
      </c>
    </row>
    <row r="151">
      <c r="A151" t="inlineStr">
        <is>
          <t>1984-Q3</t>
        </is>
      </c>
      <c r="B151" s="87" t="n">
        <v>30956</v>
      </c>
      <c r="D151" t="n">
        <v>6.350678512</v>
      </c>
      <c r="E151" t="n">
        <v>-0.110557619</v>
      </c>
      <c r="F151" t="n">
        <v>1.97317014</v>
      </c>
      <c r="H151" t="n">
        <v>5.45844766</v>
      </c>
      <c r="I151" t="n">
        <v>3.630188314</v>
      </c>
      <c r="M151" t="n">
        <v>3.859431868</v>
      </c>
      <c r="N151" t="n">
        <v>5.93981063</v>
      </c>
      <c r="Q151" t="n">
        <v>2.046888168</v>
      </c>
      <c r="U151" t="n">
        <v>2.375720956</v>
      </c>
      <c r="V151" t="n">
        <v>2.129186839</v>
      </c>
      <c r="W151" t="n">
        <v>5.00879836</v>
      </c>
      <c r="Y151" t="n">
        <v>1.004450815</v>
      </c>
      <c r="Z151" t="n">
        <v>3.027287488</v>
      </c>
      <c r="AC151" t="n">
        <v>5.242493631</v>
      </c>
      <c r="AD151" t="n">
        <v>5.343745355</v>
      </c>
      <c r="AF151" t="n">
        <v>3.549872537</v>
      </c>
      <c r="AG151" t="n">
        <v>4.804342973</v>
      </c>
      <c r="AH151" t="n">
        <v>9.232616145</v>
      </c>
      <c r="AI151" t="n">
        <v>6.475143051</v>
      </c>
      <c r="AK151" t="n">
        <v>4.892367869</v>
      </c>
      <c r="AL151" t="n">
        <v>2.007358511</v>
      </c>
      <c r="AM151" t="n">
        <v>6.21321002</v>
      </c>
      <c r="AO151" t="n">
        <v>4.835119826</v>
      </c>
      <c r="AQ151" t="n">
        <v>-0.092261707</v>
      </c>
      <c r="AU151" t="n">
        <v>4.096404689</v>
      </c>
      <c r="AW151" t="n">
        <v>6.900837083</v>
      </c>
      <c r="AX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Q152" t="n">
        <v>1.521187516</v>
      </c>
      <c r="U152" t="n">
        <v>3.836094159</v>
      </c>
      <c r="V152" t="n">
        <v>1.447188956</v>
      </c>
      <c r="W152" t="n">
        <v>4.127872722</v>
      </c>
      <c r="Y152" t="n">
        <v>2.118498105</v>
      </c>
      <c r="Z152" t="n">
        <v>0.922686946</v>
      </c>
      <c r="AC152" t="n">
        <v>5.505337006</v>
      </c>
      <c r="AD152" t="n">
        <v>5.16377382</v>
      </c>
      <c r="AF152" t="n">
        <v>1.32041593</v>
      </c>
      <c r="AG152" t="n">
        <v>4.117804445</v>
      </c>
      <c r="AH152" t="n">
        <v>8.983314225000001</v>
      </c>
      <c r="AI152" t="n">
        <v>4.409970937</v>
      </c>
      <c r="AK152" t="n">
        <v>2.78553242</v>
      </c>
      <c r="AL152" t="n">
        <v>2.916976951</v>
      </c>
      <c r="AM152" t="n">
        <v>8.389526581</v>
      </c>
      <c r="AO152" t="n">
        <v>3.993297251</v>
      </c>
      <c r="AQ152" t="n">
        <v>0.330954512</v>
      </c>
      <c r="AU152" t="n">
        <v>2.989388197</v>
      </c>
      <c r="AW152" t="n">
        <v>5.575799462</v>
      </c>
      <c r="AX152" t="n">
        <v>2.246739252</v>
      </c>
    </row>
    <row r="153">
      <c r="A153" t="inlineStr">
        <is>
          <t>1985-Q1</t>
        </is>
      </c>
      <c r="B153" s="87" t="n">
        <v>31138</v>
      </c>
      <c r="D153" t="n">
        <v>4.207580202</v>
      </c>
      <c r="E153" t="n">
        <v>1.645621109</v>
      </c>
      <c r="F153" t="n">
        <v>1.519554599</v>
      </c>
      <c r="H153" t="n">
        <v>5.587233</v>
      </c>
      <c r="I153" t="n">
        <v>4.35367598</v>
      </c>
      <c r="M153" t="n">
        <v>1.400567503</v>
      </c>
      <c r="N153" t="n">
        <v>2.993008196</v>
      </c>
      <c r="Q153" t="n">
        <v>1.811958929</v>
      </c>
      <c r="U153" t="n">
        <v>2.927225911</v>
      </c>
      <c r="V153" t="n">
        <v>1.342397746</v>
      </c>
      <c r="W153" t="n">
        <v>3.735955329</v>
      </c>
      <c r="Y153" t="n">
        <v>2.13385027</v>
      </c>
      <c r="Z153" t="n">
        <v>-1.149777188</v>
      </c>
      <c r="AC153" t="n">
        <v>5.02956314</v>
      </c>
      <c r="AD153" t="n">
        <v>4.232172456</v>
      </c>
      <c r="AF153" t="n">
        <v>2.099923785</v>
      </c>
      <c r="AG153" t="n">
        <v>5.454787039</v>
      </c>
      <c r="AH153" t="n">
        <v>7.343674144</v>
      </c>
      <c r="AI153" t="n">
        <v>2.327789245</v>
      </c>
      <c r="AK153" t="n">
        <v>1.854300225</v>
      </c>
      <c r="AL153" t="n">
        <v>1.593426224</v>
      </c>
      <c r="AM153" t="n">
        <v>7.454320296</v>
      </c>
      <c r="AO153" t="n">
        <v>3.523813151</v>
      </c>
      <c r="AQ153" t="n">
        <v>2.211011185</v>
      </c>
      <c r="AU153" t="n">
        <v>0.856210814</v>
      </c>
      <c r="AW153" t="n">
        <v>4.555093389</v>
      </c>
      <c r="AX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Q154" t="n">
        <v>2.030873313</v>
      </c>
      <c r="U154" t="n">
        <v>3.947309063</v>
      </c>
      <c r="V154" t="n">
        <v>1.746608869</v>
      </c>
      <c r="W154" t="n">
        <v>4.0417843</v>
      </c>
      <c r="Y154" t="n">
        <v>5.24240978</v>
      </c>
      <c r="Z154" t="n">
        <v>1.634306467</v>
      </c>
      <c r="AC154" t="n">
        <v>3.9947819</v>
      </c>
      <c r="AD154" t="n">
        <v>3.234803814</v>
      </c>
      <c r="AF154" t="n">
        <v>3.116545647</v>
      </c>
      <c r="AG154" t="n">
        <v>5.985127831</v>
      </c>
      <c r="AH154" t="n">
        <v>7.241524177</v>
      </c>
      <c r="AI154" t="n">
        <v>1.304820568</v>
      </c>
      <c r="AK154" t="n">
        <v>3.286314794</v>
      </c>
      <c r="AL154" t="n">
        <v>3.658819955</v>
      </c>
      <c r="AM154" t="n">
        <v>5.30941676</v>
      </c>
      <c r="AO154" t="n">
        <v>3.941623827</v>
      </c>
      <c r="AQ154" t="n">
        <v>4.2851239</v>
      </c>
      <c r="AU154" t="n">
        <v>3.488603765</v>
      </c>
      <c r="AW154" t="n">
        <v>3.684217505</v>
      </c>
      <c r="AX154" t="n">
        <v>-2.804155293</v>
      </c>
    </row>
    <row r="155">
      <c r="A155" t="inlineStr">
        <is>
          <t>1985-Q3</t>
        </is>
      </c>
      <c r="B155" s="87" t="n">
        <v>31321</v>
      </c>
      <c r="D155" t="n">
        <v>5.747693579</v>
      </c>
      <c r="E155" t="n">
        <v>3.101201726</v>
      </c>
      <c r="F155" t="n">
        <v>2.13081223</v>
      </c>
      <c r="H155" t="n">
        <v>4.769223574</v>
      </c>
      <c r="I155" t="n">
        <v>3.008086334</v>
      </c>
      <c r="M155" t="n">
        <v>2.616635647</v>
      </c>
      <c r="N155" t="n">
        <v>4.639387197</v>
      </c>
      <c r="Q155" t="n">
        <v>2.198530976</v>
      </c>
      <c r="U155" t="n">
        <v>3.541247485</v>
      </c>
      <c r="V155" t="n">
        <v>1.62233035</v>
      </c>
      <c r="W155" t="n">
        <v>4.096171444</v>
      </c>
      <c r="Y155" t="n">
        <v>4.65638222</v>
      </c>
      <c r="Z155" t="n">
        <v>3.372138342</v>
      </c>
      <c r="AC155" t="n">
        <v>2.522861955</v>
      </c>
      <c r="AD155" t="n">
        <v>2.742371835</v>
      </c>
      <c r="AF155" t="n">
        <v>2.732879256</v>
      </c>
      <c r="AG155" t="n">
        <v>6.07568983</v>
      </c>
      <c r="AH155" t="n">
        <v>7.0028733</v>
      </c>
      <c r="AI155" t="n">
        <v>2.309861309</v>
      </c>
      <c r="AK155" t="n">
        <v>1.474999436</v>
      </c>
      <c r="AL155" t="n">
        <v>1.538216729</v>
      </c>
      <c r="AM155" t="n">
        <v>5.330184744</v>
      </c>
      <c r="AO155" t="n">
        <v>3.860283167</v>
      </c>
      <c r="AQ155" t="n">
        <v>1.456021465</v>
      </c>
      <c r="AU155" t="n">
        <v>3.265336819</v>
      </c>
      <c r="AW155" t="n">
        <v>4.262444927</v>
      </c>
      <c r="AX155" t="n">
        <v>-1.426912484</v>
      </c>
    </row>
    <row r="156">
      <c r="A156" t="inlineStr">
        <is>
          <t>1985-Q4</t>
        </is>
      </c>
      <c r="B156" s="87" t="n">
        <v>31413</v>
      </c>
      <c r="D156" t="n">
        <v>4.752486534</v>
      </c>
      <c r="E156" t="n">
        <v>1.705435455</v>
      </c>
      <c r="F156" t="n">
        <v>2.002577486</v>
      </c>
      <c r="H156" t="n">
        <v>4.717962995</v>
      </c>
      <c r="I156" t="n">
        <v>3.027296134</v>
      </c>
      <c r="M156" t="n">
        <v>2.370542268</v>
      </c>
      <c r="N156" t="n">
        <v>6.135595919</v>
      </c>
      <c r="Q156" t="n">
        <v>3.240480386</v>
      </c>
      <c r="U156" t="n">
        <v>2.505634363</v>
      </c>
      <c r="V156" t="n">
        <v>2.17190227</v>
      </c>
      <c r="W156" t="n">
        <v>4.192518275</v>
      </c>
      <c r="Y156" t="n">
        <v>2.910528207</v>
      </c>
      <c r="Z156" t="n">
        <v>6.113427438</v>
      </c>
      <c r="AC156" t="n">
        <v>0.888903716</v>
      </c>
      <c r="AD156" t="n">
        <v>2.989207382</v>
      </c>
      <c r="AF156" t="n">
        <v>3.401307869</v>
      </c>
      <c r="AG156" t="n">
        <v>7.29962598</v>
      </c>
      <c r="AH156" t="n">
        <v>9.731701212999999</v>
      </c>
      <c r="AI156" t="n">
        <v>5.201996711</v>
      </c>
      <c r="AK156" t="n">
        <v>2.099227801</v>
      </c>
      <c r="AL156" t="n">
        <v>3.831424386</v>
      </c>
      <c r="AM156" t="n">
        <v>4.179782405</v>
      </c>
      <c r="AO156" t="n">
        <v>4.073054281</v>
      </c>
      <c r="AQ156" t="n">
        <v>3.305567204</v>
      </c>
      <c r="AU156" t="n">
        <v>1.285841368</v>
      </c>
      <c r="AW156" t="n">
        <v>4.182268594</v>
      </c>
      <c r="AX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Q157" t="n">
        <v>2.389015226</v>
      </c>
      <c r="U157" t="n">
        <v>1.865262234</v>
      </c>
      <c r="V157" t="n">
        <v>2.227691765</v>
      </c>
      <c r="W157" t="n">
        <v>3.785044487</v>
      </c>
      <c r="Y157" t="n">
        <v>3.170150602</v>
      </c>
      <c r="Z157" t="n">
        <v>2.087133074</v>
      </c>
      <c r="AC157" t="n">
        <v>-0.454834467</v>
      </c>
      <c r="AD157" t="n">
        <v>3.883000913</v>
      </c>
      <c r="AF157" t="n">
        <v>3.454207795</v>
      </c>
      <c r="AG157" t="n">
        <v>5.149536188</v>
      </c>
      <c r="AH157" t="n">
        <v>8.786628481999999</v>
      </c>
      <c r="AI157" t="n">
        <v>8.599253941000001</v>
      </c>
      <c r="AK157" t="n">
        <v>-1.668089743</v>
      </c>
      <c r="AL157" t="n">
        <v>3.632719088</v>
      </c>
      <c r="AM157" t="n">
        <v>4.291648901</v>
      </c>
      <c r="AO157" t="n">
        <v>3.513240766</v>
      </c>
      <c r="AQ157" t="n">
        <v>3.542920579</v>
      </c>
      <c r="AU157" t="n">
        <v>3.192026819</v>
      </c>
      <c r="AW157" t="n">
        <v>4.145589749</v>
      </c>
      <c r="AX157" t="n">
        <v>-1.122663504</v>
      </c>
    </row>
    <row r="158">
      <c r="A158" t="inlineStr">
        <is>
          <t>1986-Q2</t>
        </is>
      </c>
      <c r="B158" s="87" t="n">
        <v>31594</v>
      </c>
      <c r="D158" t="n">
        <v>1.520124469</v>
      </c>
      <c r="E158" t="n">
        <v>3.199522231</v>
      </c>
      <c r="F158" t="n">
        <v>1.960227312</v>
      </c>
      <c r="H158" t="n">
        <v>3.376397808</v>
      </c>
      <c r="I158" t="n">
        <v>2.160637331</v>
      </c>
      <c r="M158" t="n">
        <v>2.493179711</v>
      </c>
      <c r="N158" t="n">
        <v>4.711821745</v>
      </c>
      <c r="Q158" t="n">
        <v>4.926023059</v>
      </c>
      <c r="U158" t="n">
        <v>1.167433383</v>
      </c>
      <c r="V158" t="n">
        <v>2.425954657</v>
      </c>
      <c r="W158" t="n">
        <v>3.065148433</v>
      </c>
      <c r="Y158" t="n">
        <v>1.640427211</v>
      </c>
      <c r="Z158" t="n">
        <v>4.657435404</v>
      </c>
      <c r="AC158" t="n">
        <v>-1.129990553</v>
      </c>
      <c r="AD158" t="n">
        <v>5.267960305</v>
      </c>
      <c r="AF158" t="n">
        <v>2.765944695</v>
      </c>
      <c r="AG158" t="n">
        <v>2.809357399</v>
      </c>
      <c r="AH158" t="n">
        <v>10.367594628</v>
      </c>
      <c r="AI158" t="n">
        <v>11.053626404</v>
      </c>
      <c r="AK158" t="n">
        <v>-1.950427578</v>
      </c>
      <c r="AL158" t="n">
        <v>3.388281546</v>
      </c>
      <c r="AM158" t="n">
        <v>4.30891778</v>
      </c>
      <c r="AO158" t="n">
        <v>3.054538348</v>
      </c>
      <c r="AQ158" t="n">
        <v>3.70130734</v>
      </c>
      <c r="AU158" t="n">
        <v>2.623817202</v>
      </c>
      <c r="AW158" t="n">
        <v>3.701580387</v>
      </c>
      <c r="AX158" t="n">
        <v>0.289240695</v>
      </c>
    </row>
    <row r="159">
      <c r="A159" t="inlineStr">
        <is>
          <t>1986-Q3</t>
        </is>
      </c>
      <c r="B159" s="87" t="n">
        <v>31686</v>
      </c>
      <c r="D159" t="n">
        <v>0.472563126</v>
      </c>
      <c r="E159" t="n">
        <v>1.77282273</v>
      </c>
      <c r="F159" t="n">
        <v>2.521071836</v>
      </c>
      <c r="H159" t="n">
        <v>2.210135185</v>
      </c>
      <c r="I159" t="n">
        <v>2.020419299</v>
      </c>
      <c r="M159" t="n">
        <v>1.922379197</v>
      </c>
      <c r="N159" t="n">
        <v>2.438169692</v>
      </c>
      <c r="Q159" t="n">
        <v>3.117271102</v>
      </c>
      <c r="U159" t="n">
        <v>5.052467936</v>
      </c>
      <c r="V159" t="n">
        <v>2.397583808</v>
      </c>
      <c r="W159" t="n">
        <v>2.615594031</v>
      </c>
      <c r="Y159" t="n">
        <v>2.030672395</v>
      </c>
      <c r="Z159" t="n">
        <v>-1.596642788</v>
      </c>
      <c r="AC159" t="n">
        <v>-0.758763209</v>
      </c>
      <c r="AD159" t="n">
        <v>7.040207376</v>
      </c>
      <c r="AF159" t="n">
        <v>2.966893659</v>
      </c>
      <c r="AG159" t="n">
        <v>2.075878236</v>
      </c>
      <c r="AH159" t="n">
        <v>13.837259908</v>
      </c>
      <c r="AI159" t="n">
        <v>11.21240173</v>
      </c>
      <c r="AK159" t="n">
        <v>-4.409440916</v>
      </c>
      <c r="AL159" t="n">
        <v>4.670114402</v>
      </c>
      <c r="AM159" t="n">
        <v>4.008132443</v>
      </c>
      <c r="AO159" t="n">
        <v>2.585699739</v>
      </c>
      <c r="AQ159" t="n">
        <v>4.647721737</v>
      </c>
      <c r="AU159" t="n">
        <v>2.000153459</v>
      </c>
      <c r="AW159" t="n">
        <v>3.119241274</v>
      </c>
      <c r="AX159" t="n">
        <v>0.780967301</v>
      </c>
    </row>
    <row r="160">
      <c r="A160" t="inlineStr">
        <is>
          <t>1986-Q4</t>
        </is>
      </c>
      <c r="B160" s="87" t="n">
        <v>31778</v>
      </c>
      <c r="D160" t="n">
        <v>2.428951535</v>
      </c>
      <c r="E160" t="n">
        <v>2.273967783</v>
      </c>
      <c r="F160" t="n">
        <v>0.81353946</v>
      </c>
      <c r="H160" t="n">
        <v>-0.061759828</v>
      </c>
      <c r="I160" t="n">
        <v>1.068064773</v>
      </c>
      <c r="M160" t="n">
        <v>2.32473051</v>
      </c>
      <c r="N160" t="n">
        <v>0.8961032370000001</v>
      </c>
      <c r="Q160" t="n">
        <v>2.597685566</v>
      </c>
      <c r="U160" t="n">
        <v>2.90998448</v>
      </c>
      <c r="V160" t="n">
        <v>2.048732873</v>
      </c>
      <c r="W160" t="n">
        <v>2.442166445</v>
      </c>
      <c r="Y160" t="n">
        <v>3.468817695</v>
      </c>
      <c r="Z160" t="n">
        <v>-2.699930569</v>
      </c>
      <c r="AC160" t="n">
        <v>0.63470516</v>
      </c>
      <c r="AD160" t="n">
        <v>8.825601820999999</v>
      </c>
      <c r="AF160" t="n">
        <v>2.704833912</v>
      </c>
      <c r="AG160" t="n">
        <v>1.532191884</v>
      </c>
      <c r="AH160" t="n">
        <v>12.192557033</v>
      </c>
      <c r="AI160" t="n">
        <v>9.083482899</v>
      </c>
      <c r="AK160" t="n">
        <v>-4.410904065</v>
      </c>
      <c r="AL160" t="n">
        <v>0.8685453990000001</v>
      </c>
      <c r="AM160" t="n">
        <v>3.575622721</v>
      </c>
      <c r="AO160" t="n">
        <v>2.346525509</v>
      </c>
      <c r="AQ160" t="n">
        <v>4.661705392</v>
      </c>
      <c r="AU160" t="n">
        <v>3.348451862</v>
      </c>
      <c r="AW160" t="n">
        <v>2.908033321</v>
      </c>
      <c r="AX160" t="n">
        <v>0.133362615</v>
      </c>
    </row>
    <row r="161">
      <c r="A161" t="inlineStr">
        <is>
          <t>1987-Q1</t>
        </is>
      </c>
      <c r="B161" s="87" t="n">
        <v>31868</v>
      </c>
      <c r="D161" t="n">
        <v>2.752987854</v>
      </c>
      <c r="E161" t="n">
        <v>0.502854125</v>
      </c>
      <c r="F161" t="n">
        <v>0.9724263319999999</v>
      </c>
      <c r="H161" t="n">
        <v>2.274754318</v>
      </c>
      <c r="I161" t="n">
        <v>0.696666472</v>
      </c>
      <c r="M161" t="n">
        <v>0.330519523</v>
      </c>
      <c r="N161" t="n">
        <v>-1.538901736</v>
      </c>
      <c r="Q161" t="n">
        <v>4.404611021</v>
      </c>
      <c r="U161" t="n">
        <v>3.636363636</v>
      </c>
      <c r="V161" t="n">
        <v>1.819116553</v>
      </c>
      <c r="W161" t="n">
        <v>2.122078296</v>
      </c>
      <c r="Y161" t="n">
        <v>3.505649718</v>
      </c>
      <c r="Z161" t="n">
        <v>-0.527548836</v>
      </c>
      <c r="AC161" t="n">
        <v>2.53733077</v>
      </c>
      <c r="AD161" t="n">
        <v>9.990465812</v>
      </c>
      <c r="AF161" t="n">
        <v>2.4868606</v>
      </c>
      <c r="AG161" t="n">
        <v>1.05751571</v>
      </c>
      <c r="AH161" t="n">
        <v>13.608199864</v>
      </c>
      <c r="AI161" t="n">
        <v>6.110381526</v>
      </c>
      <c r="AK161" t="n">
        <v>-1.9491274</v>
      </c>
      <c r="AL161" t="n">
        <v>0.9314873259999999</v>
      </c>
      <c r="AM161" t="n">
        <v>1.405946654</v>
      </c>
      <c r="AO161" t="n">
        <v>2.236070341</v>
      </c>
      <c r="AQ161" t="n">
        <v>5.162007525</v>
      </c>
      <c r="AU161" t="n">
        <v>1.76089021</v>
      </c>
      <c r="AW161" t="n">
        <v>2.715840619</v>
      </c>
      <c r="AX161" t="n">
        <v>2.077765132</v>
      </c>
    </row>
    <row r="162">
      <c r="A162" t="inlineStr">
        <is>
          <t>1987-Q2</t>
        </is>
      </c>
      <c r="B162" s="87" t="n">
        <v>31959</v>
      </c>
      <c r="D162" t="n">
        <v>4.576027034</v>
      </c>
      <c r="E162" t="n">
        <v>1.053910812</v>
      </c>
      <c r="F162" t="n">
        <v>1.887003395</v>
      </c>
      <c r="H162" t="n">
        <v>3.010131747</v>
      </c>
      <c r="I162" t="n">
        <v>0.769049347</v>
      </c>
      <c r="M162" t="n">
        <v>1.415955776</v>
      </c>
      <c r="N162" t="n">
        <v>1.74129434</v>
      </c>
      <c r="Q162" t="n">
        <v>3.501615223</v>
      </c>
      <c r="U162" t="n">
        <v>4.984771138</v>
      </c>
      <c r="V162" t="n">
        <v>2.245355667</v>
      </c>
      <c r="W162" t="n">
        <v>3.140299907</v>
      </c>
      <c r="Y162" t="n">
        <v>4.504238643</v>
      </c>
      <c r="Z162" t="n">
        <v>-4.955760928</v>
      </c>
      <c r="AC162" t="n">
        <v>4.374759986</v>
      </c>
      <c r="AD162" t="n">
        <v>10.055096805</v>
      </c>
      <c r="AF162" t="n">
        <v>3.370290813</v>
      </c>
      <c r="AG162" t="n">
        <v>3.42938621</v>
      </c>
      <c r="AH162" t="n">
        <v>14.762944214</v>
      </c>
      <c r="AI162" t="n">
        <v>3.643126695</v>
      </c>
      <c r="AK162" t="n">
        <v>1.111442286</v>
      </c>
      <c r="AL162" t="n">
        <v>0.842242199</v>
      </c>
      <c r="AM162" t="n">
        <v>5.090695482</v>
      </c>
      <c r="AO162" t="n">
        <v>3.279448962</v>
      </c>
      <c r="AQ162" t="n">
        <v>5.653281801</v>
      </c>
      <c r="AU162" t="n">
        <v>3.493861017</v>
      </c>
      <c r="AW162" t="n">
        <v>3.35847938</v>
      </c>
      <c r="AX162" t="n">
        <v>1.739358961</v>
      </c>
    </row>
    <row r="163">
      <c r="A163" t="inlineStr">
        <is>
          <t>1987-Q3</t>
        </is>
      </c>
      <c r="B163" s="87" t="n">
        <v>32051</v>
      </c>
      <c r="D163" t="n">
        <v>6.16950617</v>
      </c>
      <c r="E163" t="n">
        <v>2.198412717</v>
      </c>
      <c r="F163" t="n">
        <v>2.054659181</v>
      </c>
      <c r="H163" t="n">
        <v>4.446173489</v>
      </c>
      <c r="I163" t="n">
        <v>1.902321317</v>
      </c>
      <c r="M163" t="n">
        <v>1.369526997</v>
      </c>
      <c r="N163" t="n">
        <v>0.374906745</v>
      </c>
      <c r="Q163" t="n">
        <v>6.389218713</v>
      </c>
      <c r="U163" t="n">
        <v>0.990668804</v>
      </c>
      <c r="V163" t="n">
        <v>2.416462997</v>
      </c>
      <c r="W163" t="n">
        <v>3.51091352</v>
      </c>
      <c r="Y163" t="n">
        <v>6.508989554</v>
      </c>
      <c r="Z163" t="n">
        <v>-3.258425095</v>
      </c>
      <c r="AC163" t="n">
        <v>5.630274589</v>
      </c>
      <c r="AD163" t="n">
        <v>8.552482828</v>
      </c>
      <c r="AF163" t="n">
        <v>2.644146034</v>
      </c>
      <c r="AG163" t="n">
        <v>4.883864176</v>
      </c>
      <c r="AH163" t="n">
        <v>11.086869809</v>
      </c>
      <c r="AI163" t="n">
        <v>2.688450187</v>
      </c>
      <c r="AK163" t="n">
        <v>3.178231352</v>
      </c>
      <c r="AL163" t="n">
        <v>1.740114122</v>
      </c>
      <c r="AM163" t="n">
        <v>-0.297714522</v>
      </c>
      <c r="AO163" t="n">
        <v>3.704400735</v>
      </c>
      <c r="AQ163" t="n">
        <v>6.71693715</v>
      </c>
      <c r="AU163" t="n">
        <v>4.16073923</v>
      </c>
      <c r="AW163" t="n">
        <v>3.266926152</v>
      </c>
      <c r="AX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Q164" t="n">
        <v>7.876542627</v>
      </c>
      <c r="U164" t="n">
        <v>4.947425747</v>
      </c>
      <c r="V164" t="n">
        <v>3.800797168</v>
      </c>
      <c r="W164" t="n">
        <v>4.659643751</v>
      </c>
      <c r="Y164" t="n">
        <v>6.272554475</v>
      </c>
      <c r="Z164" t="n">
        <v>-0.278944552</v>
      </c>
      <c r="AC164" t="n">
        <v>6.092158674</v>
      </c>
      <c r="AD164" t="n">
        <v>5.758943473</v>
      </c>
      <c r="AF164" t="n">
        <v>3.324352557</v>
      </c>
      <c r="AG164" t="n">
        <v>6.742512382</v>
      </c>
      <c r="AH164" t="n">
        <v>11.606978165</v>
      </c>
      <c r="AI164" t="n">
        <v>3.458746093</v>
      </c>
      <c r="AK164" t="n">
        <v>4.710846071</v>
      </c>
      <c r="AL164" t="n">
        <v>3.892493049</v>
      </c>
      <c r="AM164" t="n">
        <v>0.967649388</v>
      </c>
      <c r="AO164" t="n">
        <v>4.977962642</v>
      </c>
      <c r="AQ164" t="n">
        <v>6.29341783</v>
      </c>
      <c r="AU164" t="n">
        <v>4.168421266</v>
      </c>
      <c r="AW164" t="n">
        <v>4.479019138</v>
      </c>
      <c r="AX164" t="n">
        <v>2.700870283</v>
      </c>
    </row>
    <row r="165">
      <c r="A165" t="inlineStr">
        <is>
          <t>1988-Q1</t>
        </is>
      </c>
      <c r="B165" s="87" t="n">
        <v>32234</v>
      </c>
      <c r="D165" t="n">
        <v>5.968688845</v>
      </c>
      <c r="E165" t="n">
        <v>2.786001601</v>
      </c>
      <c r="F165" t="n">
        <v>4.875906512</v>
      </c>
      <c r="H165" t="n">
        <v>5.680408989</v>
      </c>
      <c r="I165" t="n">
        <v>3.213085167</v>
      </c>
      <c r="M165" t="n">
        <v>3.651100816</v>
      </c>
      <c r="N165" t="n">
        <v>3.208773044</v>
      </c>
      <c r="Q165" t="n">
        <v>6.051286794</v>
      </c>
      <c r="U165" t="n">
        <v>5.475180843</v>
      </c>
      <c r="V165" t="n">
        <v>4.955200792</v>
      </c>
      <c r="W165" t="n">
        <v>5.375114176</v>
      </c>
      <c r="Y165" t="n">
        <v>6.887093693</v>
      </c>
      <c r="Z165" t="n">
        <v>6.586126267</v>
      </c>
      <c r="AC165" t="n">
        <v>5.951979969</v>
      </c>
      <c r="AD165" t="n">
        <v>2.64340468</v>
      </c>
      <c r="AF165" t="n">
        <v>4.417268316</v>
      </c>
      <c r="AG165" t="n">
        <v>9.369128905</v>
      </c>
      <c r="AH165" t="n">
        <v>16.464061799</v>
      </c>
      <c r="AI165" t="n">
        <v>5.347330224</v>
      </c>
      <c r="AK165" t="n">
        <v>3.385812321</v>
      </c>
      <c r="AL165" t="n">
        <v>3.780580994</v>
      </c>
      <c r="AM165" t="n">
        <v>1.257438539</v>
      </c>
      <c r="AO165" t="n">
        <v>5.505703598</v>
      </c>
      <c r="AQ165" t="n">
        <v>9.165939659999999</v>
      </c>
      <c r="AU165" t="n">
        <v>4.191448102</v>
      </c>
      <c r="AW165" t="n">
        <v>4.242189569</v>
      </c>
      <c r="AX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Q166" t="n">
        <v>5.76616394</v>
      </c>
      <c r="U166" t="n">
        <v>4.502921587</v>
      </c>
      <c r="V166" t="n">
        <v>4.278942393</v>
      </c>
      <c r="W166" t="n">
        <v>4.786651227</v>
      </c>
      <c r="Y166" t="n">
        <v>5.557983487</v>
      </c>
      <c r="Z166" t="n">
        <v>4.611398964</v>
      </c>
      <c r="AC166" t="n">
        <v>5.50206168</v>
      </c>
      <c r="AD166" t="n">
        <v>0.03901716</v>
      </c>
      <c r="AF166" t="n">
        <v>3.513017407</v>
      </c>
      <c r="AG166" t="n">
        <v>6.967840508</v>
      </c>
      <c r="AH166" t="n">
        <v>8.569882969</v>
      </c>
      <c r="AI166" t="n">
        <v>7.638606256</v>
      </c>
      <c r="AK166" t="n">
        <v>0.309399098</v>
      </c>
      <c r="AL166" t="n">
        <v>2.88155478</v>
      </c>
      <c r="AM166" t="n">
        <v>-2.464196685</v>
      </c>
      <c r="AN166" t="n">
        <v>0.139395239</v>
      </c>
      <c r="AO166" t="n">
        <v>4.509236769</v>
      </c>
      <c r="AQ166" t="n">
        <v>7.934806632</v>
      </c>
      <c r="AU166" t="n">
        <v>2.133731283</v>
      </c>
      <c r="AW166" t="n">
        <v>4.484604217</v>
      </c>
      <c r="AX166" t="n">
        <v>3.856222801</v>
      </c>
    </row>
    <row r="167">
      <c r="A167" t="inlineStr">
        <is>
          <t>1988-Q3</t>
        </is>
      </c>
      <c r="B167" s="87" t="n">
        <v>32417</v>
      </c>
      <c r="D167" t="n">
        <v>3.372666701</v>
      </c>
      <c r="E167" t="n">
        <v>3.310557721</v>
      </c>
      <c r="F167" t="n">
        <v>4.516047035</v>
      </c>
      <c r="H167" t="n">
        <v>3.688273091</v>
      </c>
      <c r="I167" t="n">
        <v>2.893190522</v>
      </c>
      <c r="M167" t="n">
        <v>3.664990184</v>
      </c>
      <c r="N167" t="n">
        <v>-0.29460659</v>
      </c>
      <c r="Q167" t="n">
        <v>5.494358322</v>
      </c>
      <c r="U167" t="n">
        <v>5.380983393</v>
      </c>
      <c r="V167" t="n">
        <v>4.906207703</v>
      </c>
      <c r="W167" t="n">
        <v>4.732910674</v>
      </c>
      <c r="Y167" t="n">
        <v>4.487859336</v>
      </c>
      <c r="Z167" t="n">
        <v>5.071203485</v>
      </c>
      <c r="AC167" t="n">
        <v>4.94254166</v>
      </c>
      <c r="AD167" t="n">
        <v>-1.399778938</v>
      </c>
      <c r="AF167" t="n">
        <v>4.57130703</v>
      </c>
      <c r="AG167" t="n">
        <v>7.209744309</v>
      </c>
      <c r="AH167" t="n">
        <v>10.903037965</v>
      </c>
      <c r="AI167" t="n">
        <v>9.700733411</v>
      </c>
      <c r="AK167" t="n">
        <v>0.325793806</v>
      </c>
      <c r="AL167" t="n">
        <v>2.581953022</v>
      </c>
      <c r="AM167" t="n">
        <v>1.019881438</v>
      </c>
      <c r="AN167" t="n">
        <v>-0.174191255</v>
      </c>
      <c r="AO167" t="n">
        <v>4.456265805</v>
      </c>
      <c r="AQ167" t="n">
        <v>7.100694309</v>
      </c>
      <c r="AU167" t="n">
        <v>1.152942</v>
      </c>
      <c r="AW167" t="n">
        <v>4.192866323</v>
      </c>
      <c r="AX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Q168" t="n">
        <v>3.14762561</v>
      </c>
      <c r="U168" t="n">
        <v>5.257065304</v>
      </c>
      <c r="V168" t="n">
        <v>4.237789357</v>
      </c>
      <c r="W168" t="n">
        <v>4.12764835</v>
      </c>
      <c r="Y168" t="n">
        <v>3.884338224</v>
      </c>
      <c r="Z168" t="n">
        <v>1.037583958</v>
      </c>
      <c r="AC168" t="n">
        <v>4.509967793</v>
      </c>
      <c r="AD168" t="n">
        <v>-1.55846025</v>
      </c>
      <c r="AF168" t="n">
        <v>4.693286119</v>
      </c>
      <c r="AG168" t="n">
        <v>5.620041986</v>
      </c>
      <c r="AH168" t="n">
        <v>12.228313418</v>
      </c>
      <c r="AI168" t="n">
        <v>11.07315199</v>
      </c>
      <c r="AK168" t="n">
        <v>1.102862183</v>
      </c>
      <c r="AL168" t="n">
        <v>2.700020261</v>
      </c>
      <c r="AM168" t="n">
        <v>-0.651495416</v>
      </c>
      <c r="AN168" t="n">
        <v>-1.500353857</v>
      </c>
      <c r="AO168" t="n">
        <v>3.772962573</v>
      </c>
      <c r="AQ168" t="n">
        <v>7.229492154</v>
      </c>
      <c r="AU168" t="n">
        <v>2.973773091</v>
      </c>
      <c r="AW168" t="n">
        <v>3.798971044</v>
      </c>
      <c r="AX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Q169" t="n">
        <v>5.241583813</v>
      </c>
      <c r="U169" t="n">
        <v>5.175200032</v>
      </c>
      <c r="V169" t="n">
        <v>4.169602183</v>
      </c>
      <c r="W169" t="n">
        <v>4.466837297</v>
      </c>
      <c r="Y169" t="n">
        <v>2.853987667</v>
      </c>
      <c r="Z169" t="n">
        <v>2.212860663</v>
      </c>
      <c r="AC169" t="n">
        <v>4.443703701</v>
      </c>
      <c r="AD169" t="n">
        <v>-0.89417832</v>
      </c>
      <c r="AF169" t="n">
        <v>3.815778636</v>
      </c>
      <c r="AG169" t="n">
        <v>5.94068347</v>
      </c>
      <c r="AH169" t="n">
        <v>4.246523863</v>
      </c>
      <c r="AI169" t="n">
        <v>11.535655063</v>
      </c>
      <c r="AK169" t="n">
        <v>3.697688495</v>
      </c>
      <c r="AL169" t="n">
        <v>4.122016592</v>
      </c>
      <c r="AM169" t="n">
        <v>-1.191313152</v>
      </c>
      <c r="AN169" t="n">
        <v>0.145648313</v>
      </c>
      <c r="AO169" t="n">
        <v>4.188289584</v>
      </c>
      <c r="AQ169" t="n">
        <v>6.418678551</v>
      </c>
      <c r="AU169" t="n">
        <v>2.652224474</v>
      </c>
      <c r="AW169" t="n">
        <v>4.315239935</v>
      </c>
      <c r="AX169" t="n">
        <v>3.660927358</v>
      </c>
    </row>
    <row r="170">
      <c r="A170" t="inlineStr">
        <is>
          <t>1989-Q2</t>
        </is>
      </c>
      <c r="B170" s="87" t="n">
        <v>32690</v>
      </c>
      <c r="D170" t="n">
        <v>5.660508404</v>
      </c>
      <c r="E170" t="n">
        <v>4.2042384</v>
      </c>
      <c r="F170" t="n">
        <v>3.987843472</v>
      </c>
      <c r="H170" t="n">
        <v>2.244657331</v>
      </c>
      <c r="I170" t="n">
        <v>5.115900009</v>
      </c>
      <c r="M170" t="n">
        <v>3.809604476</v>
      </c>
      <c r="N170" t="n">
        <v>-0.386322936</v>
      </c>
      <c r="Q170" t="n">
        <v>4.992999461</v>
      </c>
      <c r="U170" t="n">
        <v>6.170087977</v>
      </c>
      <c r="V170" t="n">
        <v>4.556481516</v>
      </c>
      <c r="W170" t="n">
        <v>3.849331885</v>
      </c>
      <c r="Y170" t="n">
        <v>3.048436769</v>
      </c>
      <c r="Z170" t="n">
        <v>4.976060756</v>
      </c>
      <c r="AC170" t="n">
        <v>4.90335579</v>
      </c>
      <c r="AD170" t="n">
        <v>0.040658853</v>
      </c>
      <c r="AF170" t="n">
        <v>3.606494031</v>
      </c>
      <c r="AG170" t="n">
        <v>4.710256463</v>
      </c>
      <c r="AH170" t="n">
        <v>8.104999568</v>
      </c>
      <c r="AI170" t="n">
        <v>11.022618378</v>
      </c>
      <c r="AK170" t="n">
        <v>4.071222174</v>
      </c>
      <c r="AL170" t="n">
        <v>4.622084615</v>
      </c>
      <c r="AM170" t="n">
        <v>1.545266106</v>
      </c>
      <c r="AN170" t="n">
        <v>1.202841132</v>
      </c>
      <c r="AO170" t="n">
        <v>3.884876803</v>
      </c>
      <c r="AQ170" t="n">
        <v>4.438584578</v>
      </c>
      <c r="AU170" t="n">
        <v>3.146058595</v>
      </c>
      <c r="AW170" t="n">
        <v>3.748292875</v>
      </c>
      <c r="AX170" t="n">
        <v>3.376636664</v>
      </c>
    </row>
    <row r="171">
      <c r="A171" t="inlineStr">
        <is>
          <t>1989-Q3</t>
        </is>
      </c>
      <c r="B171" s="87" t="n">
        <v>32782</v>
      </c>
      <c r="D171" t="n">
        <v>5.651910786</v>
      </c>
      <c r="E171" t="n">
        <v>3.351256043</v>
      </c>
      <c r="F171" t="n">
        <v>3.1070159</v>
      </c>
      <c r="H171" t="n">
        <v>2.601145768</v>
      </c>
      <c r="I171" t="n">
        <v>4.621746256</v>
      </c>
      <c r="M171" t="n">
        <v>3.583956124</v>
      </c>
      <c r="N171" t="n">
        <v>0.034985423</v>
      </c>
      <c r="Q171" t="n">
        <v>4.515255385</v>
      </c>
      <c r="U171" t="n">
        <v>6.114329857</v>
      </c>
      <c r="V171" t="n">
        <v>4.384567293</v>
      </c>
      <c r="W171" t="n">
        <v>3.680806255</v>
      </c>
      <c r="Y171" t="n">
        <v>1.671469378</v>
      </c>
      <c r="Z171" t="n">
        <v>2.772952244</v>
      </c>
      <c r="AC171" t="n">
        <v>6.094030437</v>
      </c>
      <c r="AD171" t="n">
        <v>0.779869726</v>
      </c>
      <c r="AF171" t="n">
        <v>3.328820854</v>
      </c>
      <c r="AG171" t="n">
        <v>4.217315472</v>
      </c>
      <c r="AH171" t="n">
        <v>7.495779648</v>
      </c>
      <c r="AI171" t="n">
        <v>9.493279654</v>
      </c>
      <c r="AK171" t="n">
        <v>5.88055836</v>
      </c>
      <c r="AL171" t="n">
        <v>4.649153544</v>
      </c>
      <c r="AM171" t="n">
        <v>1.674774356</v>
      </c>
      <c r="AN171" t="n">
        <v>-0.16381183</v>
      </c>
      <c r="AO171" t="n">
        <v>3.813391393</v>
      </c>
      <c r="AQ171" t="n">
        <v>5.693081157</v>
      </c>
      <c r="AU171" t="n">
        <v>3.007538776</v>
      </c>
      <c r="AW171" t="n">
        <v>3.908113053</v>
      </c>
      <c r="AX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Q172" t="n">
        <v>4.576299941</v>
      </c>
      <c r="U172" t="n">
        <v>4.236034738</v>
      </c>
      <c r="V172" t="n">
        <v>5.011181891</v>
      </c>
      <c r="W172" t="n">
        <v>3.48141689</v>
      </c>
      <c r="Y172" t="n">
        <v>1.10008359</v>
      </c>
      <c r="Z172" t="n">
        <v>5.265021649</v>
      </c>
      <c r="AC172" t="n">
        <v>7.75672743</v>
      </c>
      <c r="AD172" t="n">
        <v>1.120847997</v>
      </c>
      <c r="AF172" t="n">
        <v>3.160587389</v>
      </c>
      <c r="AG172" t="n">
        <v>6.325744829</v>
      </c>
      <c r="AH172" t="n">
        <v>8.406865101999999</v>
      </c>
      <c r="AI172" t="n">
        <v>7.338609004</v>
      </c>
      <c r="AK172" t="n">
        <v>2.896988348</v>
      </c>
      <c r="AL172" t="n">
        <v>4.519489558</v>
      </c>
      <c r="AM172" t="n">
        <v>2.242789644</v>
      </c>
      <c r="AN172" t="n">
        <v>0.5209081759999999</v>
      </c>
      <c r="AO172" t="n">
        <v>3.619542028</v>
      </c>
      <c r="AQ172" t="n">
        <v>5.185499043</v>
      </c>
      <c r="AU172" t="n">
        <v>2.190930368</v>
      </c>
      <c r="AW172" t="n">
        <v>2.743803255</v>
      </c>
      <c r="AX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Q173" t="n">
        <v>3.062070109</v>
      </c>
      <c r="U173" t="n">
        <v>4.400316586</v>
      </c>
      <c r="V173" t="n">
        <v>4.097928298</v>
      </c>
      <c r="W173" t="n">
        <v>2.995003481</v>
      </c>
      <c r="Y173" t="n">
        <v>1.439219507</v>
      </c>
      <c r="Z173" t="n">
        <v>2.671975364</v>
      </c>
      <c r="AC173" t="n">
        <v>9.160839038000001</v>
      </c>
      <c r="AD173" t="n">
        <v>1.184591164</v>
      </c>
      <c r="AF173" t="n">
        <v>2.93238281</v>
      </c>
      <c r="AG173" t="n">
        <v>3.039829423</v>
      </c>
      <c r="AH173" t="n">
        <v>9.463670592</v>
      </c>
      <c r="AI173" t="n">
        <v>5.393606418</v>
      </c>
      <c r="AK173" t="n">
        <v>3.200574501</v>
      </c>
      <c r="AL173" t="n">
        <v>4.247379879</v>
      </c>
      <c r="AM173" t="n">
        <v>2.490564821</v>
      </c>
      <c r="AN173" t="n">
        <v>-0.915185698</v>
      </c>
      <c r="AO173" t="n">
        <v>3.34732493</v>
      </c>
      <c r="AQ173" t="n">
        <v>2.399309825</v>
      </c>
      <c r="AU173" t="n">
        <v>2.239539715</v>
      </c>
      <c r="AW173" t="n">
        <v>2.821303844</v>
      </c>
      <c r="AX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Q174" t="n">
        <v>3.792339413</v>
      </c>
      <c r="U174" t="n">
        <v>1.185019647</v>
      </c>
      <c r="V174" t="n">
        <v>3.398487933</v>
      </c>
      <c r="W174" t="n">
        <v>3.531558578</v>
      </c>
      <c r="Y174" t="n">
        <v>1.383939747</v>
      </c>
      <c r="Z174" t="n">
        <v>0.93262456</v>
      </c>
      <c r="AC174" t="n">
        <v>9.674086712999999</v>
      </c>
      <c r="AD174" t="n">
        <v>1.148239867</v>
      </c>
      <c r="AF174" t="n">
        <v>2.801593689</v>
      </c>
      <c r="AG174" t="n">
        <v>7.69589421</v>
      </c>
      <c r="AH174" t="n">
        <v>10.294445662</v>
      </c>
      <c r="AI174" t="n">
        <v>4.365387289</v>
      </c>
      <c r="AK174" t="n">
        <v>5.399554526</v>
      </c>
      <c r="AL174" t="n">
        <v>3.826369066</v>
      </c>
      <c r="AM174" t="n">
        <v>2.389469947</v>
      </c>
      <c r="AN174" t="n">
        <v>-1.49890668</v>
      </c>
      <c r="AO174" t="n">
        <v>3.871263494</v>
      </c>
      <c r="AQ174" t="n">
        <v>5.810788625</v>
      </c>
      <c r="AU174" t="n">
        <v>1.243784388</v>
      </c>
      <c r="AW174" t="n">
        <v>2.412772955</v>
      </c>
      <c r="AX174" t="n">
        <v>-0.541507137</v>
      </c>
    </row>
    <row r="175">
      <c r="A175" t="inlineStr">
        <is>
          <t>1990-Q3</t>
        </is>
      </c>
      <c r="B175" s="87" t="n">
        <v>33147</v>
      </c>
      <c r="D175" t="n">
        <v>0.100126672</v>
      </c>
      <c r="E175" t="n">
        <v>4.510960189</v>
      </c>
      <c r="F175" t="n">
        <v>2.654473433</v>
      </c>
      <c r="H175" t="n">
        <v>-0.399573277</v>
      </c>
      <c r="I175" t="n">
        <v>3.273564547</v>
      </c>
      <c r="M175" t="n">
        <v>5.951496332</v>
      </c>
      <c r="N175" t="n">
        <v>3.664113923</v>
      </c>
      <c r="Q175" t="n">
        <v>2.114543688</v>
      </c>
      <c r="U175" t="n">
        <v>-2.136296465</v>
      </c>
      <c r="V175" t="n">
        <v>2.866075865</v>
      </c>
      <c r="W175" t="n">
        <v>3.11018594</v>
      </c>
      <c r="Y175" t="n">
        <v>0.166284439</v>
      </c>
      <c r="Z175" t="n">
        <v>-4.669111784</v>
      </c>
      <c r="AC175" t="n">
        <v>8.700467367</v>
      </c>
      <c r="AD175" t="n">
        <v>1.153988033</v>
      </c>
      <c r="AF175" t="n">
        <v>1.904143966</v>
      </c>
      <c r="AG175" t="n">
        <v>7.618695204</v>
      </c>
      <c r="AH175" t="n">
        <v>11.01337652</v>
      </c>
      <c r="AI175" t="n">
        <v>4.848888376</v>
      </c>
      <c r="AK175" t="n">
        <v>4.88221389</v>
      </c>
      <c r="AL175" t="n">
        <v>4.325178435</v>
      </c>
      <c r="AM175" t="n">
        <v>0.395288985</v>
      </c>
      <c r="AN175" t="n">
        <v>0.531478509</v>
      </c>
      <c r="AO175" t="n">
        <v>3.239316399</v>
      </c>
      <c r="AQ175" t="n">
        <v>4.488480181</v>
      </c>
      <c r="AU175" t="n">
        <v>0.410089558</v>
      </c>
      <c r="AW175" t="n">
        <v>1.727216637</v>
      </c>
      <c r="AX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Q176" t="n">
        <v>6.15241108</v>
      </c>
      <c r="U176" t="n">
        <v>-2.743375299</v>
      </c>
      <c r="V176" t="n">
        <v>1.252195902</v>
      </c>
      <c r="W176" t="n">
        <v>1.771274053</v>
      </c>
      <c r="Y176" t="n">
        <v>-0.430679431</v>
      </c>
      <c r="Z176" t="n">
        <v>0.944983027</v>
      </c>
      <c r="AC176" t="n">
        <v>6.434302819</v>
      </c>
      <c r="AD176" t="n">
        <v>1.190631334</v>
      </c>
      <c r="AF176" t="n">
        <v>0.210880579</v>
      </c>
      <c r="AG176" t="n">
        <v>4.186287584</v>
      </c>
      <c r="AH176" t="n">
        <v>8.778275358</v>
      </c>
      <c r="AI176" t="n">
        <v>6.648692965</v>
      </c>
      <c r="AK176" t="n">
        <v>7.160126077</v>
      </c>
      <c r="AL176" t="n">
        <v>4.312199772</v>
      </c>
      <c r="AM176" t="n">
        <v>2.377099992</v>
      </c>
      <c r="AN176" t="n">
        <v>1.904864015</v>
      </c>
      <c r="AO176" t="n">
        <v>2.476687254</v>
      </c>
      <c r="AQ176" t="n">
        <v>6.38106635</v>
      </c>
      <c r="AU176" t="n">
        <v>0.240339254</v>
      </c>
      <c r="AW176" t="n">
        <v>0.602858696</v>
      </c>
      <c r="AX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Q177" t="n">
        <v>3.208298155</v>
      </c>
      <c r="U177" t="n">
        <v>-5.913918701</v>
      </c>
      <c r="V177" t="n">
        <v>1.180251415</v>
      </c>
      <c r="W177" t="n">
        <v>1.267873247</v>
      </c>
      <c r="Y177" t="n">
        <v>-1.753462875</v>
      </c>
      <c r="Z177" t="n">
        <v>0.427175642</v>
      </c>
      <c r="AC177" t="n">
        <v>3.83849981</v>
      </c>
      <c r="AD177" t="n">
        <v>1.07672549</v>
      </c>
      <c r="AF177" t="n">
        <v>0.81116065</v>
      </c>
      <c r="AG177" t="n">
        <v>5.596470651</v>
      </c>
      <c r="AH177" t="n">
        <v>11.71973054</v>
      </c>
      <c r="AI177" t="n">
        <v>8.68001327</v>
      </c>
      <c r="AK177" t="n">
        <v>5.16884013</v>
      </c>
      <c r="AL177" t="n">
        <v>2.602306005</v>
      </c>
      <c r="AM177" t="n">
        <v>3.638099732</v>
      </c>
      <c r="AN177" t="n">
        <v>-0.393799449</v>
      </c>
      <c r="AO177" t="n">
        <v>1.574372273</v>
      </c>
      <c r="AQ177" t="n">
        <v>2.855283649</v>
      </c>
      <c r="AU177" t="n">
        <v>-0.283530703</v>
      </c>
      <c r="AW177" t="n">
        <v>-0.950240697</v>
      </c>
      <c r="AX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Q178" t="n">
        <v>2.720812785</v>
      </c>
      <c r="U178" t="n">
        <v>-5.742719405</v>
      </c>
      <c r="V178" t="n">
        <v>0.971072771</v>
      </c>
      <c r="W178" t="n">
        <v>0.967348159</v>
      </c>
      <c r="Y178" t="n">
        <v>-2.465805205</v>
      </c>
      <c r="Z178" t="n">
        <v>1.528585007</v>
      </c>
      <c r="AC178" t="n">
        <v>1.766355814</v>
      </c>
      <c r="AD178" t="n">
        <v>0.646355751</v>
      </c>
      <c r="AF178" t="n">
        <v>1.049743026</v>
      </c>
      <c r="AG178" t="n">
        <v>3.582323611</v>
      </c>
      <c r="AH178" t="n">
        <v>11.097758274</v>
      </c>
      <c r="AI178" t="n">
        <v>9.863636637000001</v>
      </c>
      <c r="AK178" t="n">
        <v>4.510489789</v>
      </c>
      <c r="AL178" t="n">
        <v>2.943268628</v>
      </c>
      <c r="AM178" t="n">
        <v>3.063823545</v>
      </c>
      <c r="AN178" t="n">
        <v>-1.056249776</v>
      </c>
      <c r="AO178" t="n">
        <v>1.292769483</v>
      </c>
      <c r="AQ178" t="n">
        <v>2.948468552</v>
      </c>
      <c r="AU178" t="n">
        <v>-1.125792977</v>
      </c>
      <c r="AW178" t="n">
        <v>-0.5388879600000001</v>
      </c>
      <c r="AX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Q179" t="n">
        <v>3.806465043</v>
      </c>
      <c r="U179" t="n">
        <v>-5.661029645</v>
      </c>
      <c r="V179" t="n">
        <v>0.739927738</v>
      </c>
      <c r="W179" t="n">
        <v>0.677970564</v>
      </c>
      <c r="Y179" t="n">
        <v>-1.559182918</v>
      </c>
      <c r="Z179" t="n">
        <v>11.008330267</v>
      </c>
      <c r="AC179" t="n">
        <v>0.89215626</v>
      </c>
      <c r="AD179" t="n">
        <v>-0.275966429</v>
      </c>
      <c r="AF179" t="n">
        <v>1.547836091</v>
      </c>
      <c r="AG179" t="n">
        <v>1.648629178</v>
      </c>
      <c r="AH179" t="n">
        <v>9.927266329</v>
      </c>
      <c r="AI179" t="n">
        <v>9.229549875</v>
      </c>
      <c r="AK179" t="n">
        <v>3.295725258</v>
      </c>
      <c r="AL179" t="n">
        <v>1.974937366</v>
      </c>
      <c r="AM179" t="n">
        <v>3.837209302</v>
      </c>
      <c r="AN179" t="n">
        <v>-1.639227931</v>
      </c>
      <c r="AO179" t="n">
        <v>1.254799427</v>
      </c>
      <c r="AQ179" t="n">
        <v>3.331830515</v>
      </c>
      <c r="AU179" t="n">
        <v>-0.8198265219999999</v>
      </c>
      <c r="AW179" t="n">
        <v>-0.10271685</v>
      </c>
      <c r="AX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Q180" t="n">
        <v>0.521509895</v>
      </c>
      <c r="U180" t="n">
        <v>-6.2297172</v>
      </c>
      <c r="V180" t="n">
        <v>1.468904284</v>
      </c>
      <c r="W180" t="n">
        <v>1.581578533</v>
      </c>
      <c r="Y180" t="n">
        <v>-0.952770471</v>
      </c>
      <c r="Z180" t="n">
        <v>0.145419292</v>
      </c>
      <c r="AC180" t="n">
        <v>1.28419913</v>
      </c>
      <c r="AD180" t="n">
        <v>-1.570614396</v>
      </c>
      <c r="AF180" t="n">
        <v>2.724016921</v>
      </c>
      <c r="AG180" t="n">
        <v>2.557379748</v>
      </c>
      <c r="AH180" t="n">
        <v>10.433958193</v>
      </c>
      <c r="AI180" t="n">
        <v>6.874367974</v>
      </c>
      <c r="AK180" t="n">
        <v>3.841641702</v>
      </c>
      <c r="AL180" t="n">
        <v>2.29525432</v>
      </c>
      <c r="AM180" t="n">
        <v>1.861328309</v>
      </c>
      <c r="AN180" t="n">
        <v>-2.14982114</v>
      </c>
      <c r="AO180" t="n">
        <v>1.640031836</v>
      </c>
      <c r="AQ180" t="n">
        <v>0.679243402</v>
      </c>
      <c r="AU180" t="n">
        <v>-2.085742868</v>
      </c>
      <c r="AW180" t="n">
        <v>1.166503342</v>
      </c>
      <c r="AX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Q181" t="n">
        <v>3.513692493</v>
      </c>
      <c r="U181" t="n">
        <v>-4.057448506</v>
      </c>
      <c r="V181" t="n">
        <v>2.066635501</v>
      </c>
      <c r="W181" t="n">
        <v>2.100815842</v>
      </c>
      <c r="Y181" t="n">
        <v>-0.5103311699999999</v>
      </c>
      <c r="Z181" t="n">
        <v>1.932214127</v>
      </c>
      <c r="AC181" t="n">
        <v>2.351543337</v>
      </c>
      <c r="AD181" t="n">
        <v>-2.806978294</v>
      </c>
      <c r="AF181" t="n">
        <v>2.161639798</v>
      </c>
      <c r="AG181" t="n">
        <v>1.703118948</v>
      </c>
      <c r="AH181" t="n">
        <v>8.337277341</v>
      </c>
      <c r="AI181" t="n">
        <v>3.977650213</v>
      </c>
      <c r="AK181" t="n">
        <v>3.547179937</v>
      </c>
      <c r="AL181" t="n">
        <v>3.439488803</v>
      </c>
      <c r="AM181" t="n">
        <v>3.149442431</v>
      </c>
      <c r="AN181" t="n">
        <v>0.578657945</v>
      </c>
      <c r="AO181" t="n">
        <v>2.456358313</v>
      </c>
      <c r="AQ181" t="n">
        <v>4.905103333</v>
      </c>
      <c r="AU181" t="n">
        <v>-0.878677114</v>
      </c>
      <c r="AW181" t="n">
        <v>2.858869105</v>
      </c>
      <c r="AX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Q182" t="n">
        <v>0.933266626</v>
      </c>
      <c r="U182" t="n">
        <v>-3.986959383</v>
      </c>
      <c r="V182" t="n">
        <v>1.87071305</v>
      </c>
      <c r="W182" t="n">
        <v>1.952531893</v>
      </c>
      <c r="Y182" t="n">
        <v>-0.461623088</v>
      </c>
      <c r="Z182" t="n">
        <v>0.534086375</v>
      </c>
      <c r="AC182" t="n">
        <v>3.42391621</v>
      </c>
      <c r="AD182" t="n">
        <v>-3.588762779</v>
      </c>
      <c r="AF182" t="n">
        <v>1.175693009</v>
      </c>
      <c r="AG182" t="n">
        <v>0.862591393</v>
      </c>
      <c r="AH182" t="n">
        <v>7.314468251</v>
      </c>
      <c r="AI182" t="n">
        <v>1.618965795</v>
      </c>
      <c r="AK182" t="n">
        <v>3.658957609</v>
      </c>
      <c r="AL182" t="n">
        <v>1.301651842</v>
      </c>
      <c r="AM182" t="n">
        <v>3.147636577</v>
      </c>
      <c r="AN182" t="n">
        <v>1.273793153</v>
      </c>
      <c r="AO182" t="n">
        <v>2.097644959</v>
      </c>
      <c r="AQ182" t="n">
        <v>1.939972161</v>
      </c>
      <c r="AU182" t="n">
        <v>-0.243414417</v>
      </c>
      <c r="AW182" t="n">
        <v>3.169755821</v>
      </c>
      <c r="AX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Q183" t="n">
        <v>0.240639413</v>
      </c>
      <c r="U183" t="n">
        <v>-2.769803946</v>
      </c>
      <c r="V183" t="n">
        <v>1.350644236</v>
      </c>
      <c r="W183" t="n">
        <v>2.193794665</v>
      </c>
      <c r="Y183" t="n">
        <v>0.380218602</v>
      </c>
      <c r="Z183" t="n">
        <v>0.236577611</v>
      </c>
      <c r="AC183" t="n">
        <v>3.913096149</v>
      </c>
      <c r="AD183" t="n">
        <v>-3.518446069</v>
      </c>
      <c r="AF183" t="n">
        <v>0.088766173</v>
      </c>
      <c r="AG183" t="n">
        <v>1.205318749</v>
      </c>
      <c r="AH183" t="n">
        <v>5.131652405</v>
      </c>
      <c r="AI183" t="n">
        <v>0.628249131</v>
      </c>
      <c r="AK183" t="n">
        <v>4.42733631</v>
      </c>
      <c r="AL183" t="n">
        <v>1.196066069</v>
      </c>
      <c r="AM183" t="n">
        <v>4.763562154</v>
      </c>
      <c r="AN183" t="n">
        <v>0.176754924</v>
      </c>
      <c r="AO183" t="n">
        <v>2.253975632</v>
      </c>
      <c r="AQ183" t="n">
        <v>0.508253299</v>
      </c>
      <c r="AU183" t="n">
        <v>-1.207304618</v>
      </c>
      <c r="AW183" t="n">
        <v>3.665322879</v>
      </c>
      <c r="AX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Q184" t="n">
        <v>-0.905532012</v>
      </c>
      <c r="U184" t="n">
        <v>-2.311352821</v>
      </c>
      <c r="V184" t="n">
        <v>0.670950034</v>
      </c>
      <c r="W184" t="n">
        <v>1.983295382</v>
      </c>
      <c r="Y184" t="n">
        <v>0.7169938810000001</v>
      </c>
      <c r="Z184" t="n">
        <v>0.081679574</v>
      </c>
      <c r="AC184" t="n">
        <v>3.677969485</v>
      </c>
      <c r="AD184" t="n">
        <v>-2.523949926</v>
      </c>
      <c r="AF184" t="n">
        <v>-0.808565574</v>
      </c>
      <c r="AG184" t="n">
        <v>-0.141208408</v>
      </c>
      <c r="AH184" t="n">
        <v>4.164583234</v>
      </c>
      <c r="AI184" t="n">
        <v>1.12939752</v>
      </c>
      <c r="AK184" t="n">
        <v>2.660116445</v>
      </c>
      <c r="AL184" t="n">
        <v>0.462805529</v>
      </c>
      <c r="AM184" t="n">
        <v>3.248609394</v>
      </c>
      <c r="AN184" t="n">
        <v>0.788502204</v>
      </c>
      <c r="AO184" t="n">
        <v>1.927649633</v>
      </c>
      <c r="AQ184" t="n">
        <v>0.324157029</v>
      </c>
      <c r="AU184" t="n">
        <v>-2.411837217</v>
      </c>
      <c r="AW184" t="n">
        <v>4.382587644</v>
      </c>
      <c r="AX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Q185" t="n">
        <v>-2.799834418</v>
      </c>
      <c r="U185" t="n">
        <v>-2.396353108</v>
      </c>
      <c r="V185" t="n">
        <v>-0.762866478</v>
      </c>
      <c r="W185" t="n">
        <v>1.384771469</v>
      </c>
      <c r="Y185" t="n">
        <v>1.435255457</v>
      </c>
      <c r="Z185" t="n">
        <v>-4.687916186</v>
      </c>
      <c r="AC185" t="n">
        <v>3.084815891</v>
      </c>
      <c r="AD185" t="n">
        <v>-0.907474984</v>
      </c>
      <c r="AF185" t="n">
        <v>-1.458343886</v>
      </c>
      <c r="AG185" t="n">
        <v>0.952661935</v>
      </c>
      <c r="AH185" t="n">
        <v>4.379773892</v>
      </c>
      <c r="AI185" t="n">
        <v>2.498563073</v>
      </c>
      <c r="AK185" t="n">
        <v>2.630967613</v>
      </c>
      <c r="AL185" t="n">
        <v>0.371243051</v>
      </c>
      <c r="AM185" t="n">
        <v>0.466356743</v>
      </c>
      <c r="AN185" t="n">
        <v>2.144082333</v>
      </c>
      <c r="AO185" t="n">
        <v>1.251134109</v>
      </c>
      <c r="AQ185" t="n">
        <v>-2.719594084</v>
      </c>
      <c r="AU185" t="n">
        <v>-4.923342834</v>
      </c>
      <c r="AW185" t="n">
        <v>3.319981753</v>
      </c>
      <c r="AX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Q186" t="n">
        <v>-1.522315216</v>
      </c>
      <c r="U186" t="n">
        <v>-1.476589514</v>
      </c>
      <c r="V186" t="n">
        <v>-0.968493406</v>
      </c>
      <c r="W186" t="n">
        <v>1.168981387</v>
      </c>
      <c r="Y186" t="n">
        <v>2.170616144</v>
      </c>
      <c r="Z186" t="n">
        <v>0.007632889</v>
      </c>
      <c r="AC186" t="n">
        <v>2.534236627</v>
      </c>
      <c r="AD186" t="n">
        <v>0.949243311</v>
      </c>
      <c r="AF186" t="n">
        <v>-1.201656887</v>
      </c>
      <c r="AG186" t="n">
        <v>-0.036541775</v>
      </c>
      <c r="AH186" t="n">
        <v>6.311478978</v>
      </c>
      <c r="AI186" t="n">
        <v>4.002173962</v>
      </c>
      <c r="AK186" t="n">
        <v>1.243785385</v>
      </c>
      <c r="AL186" t="n">
        <v>1.55532364</v>
      </c>
      <c r="AM186" t="n">
        <v>1.686566634</v>
      </c>
      <c r="AN186" t="n">
        <v>4.39505467</v>
      </c>
      <c r="AO186" t="n">
        <v>1.396312201</v>
      </c>
      <c r="AQ186" t="n">
        <v>-1.76772333</v>
      </c>
      <c r="AU186" t="n">
        <v>-3.161827214</v>
      </c>
      <c r="AW186" t="n">
        <v>2.80666739</v>
      </c>
      <c r="AX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Q187" t="n">
        <v>-0.40105551</v>
      </c>
      <c r="U187" t="n">
        <v>-0.09736486699999999</v>
      </c>
      <c r="V187" t="n">
        <v>-0.727943182</v>
      </c>
      <c r="W187" t="n">
        <v>0.954115535</v>
      </c>
      <c r="Y187" t="n">
        <v>2.380402198</v>
      </c>
      <c r="Z187" t="n">
        <v>-1.181599519</v>
      </c>
      <c r="AC187" t="n">
        <v>2.38251617</v>
      </c>
      <c r="AD187" t="n">
        <v>2.704534213</v>
      </c>
      <c r="AF187" t="n">
        <v>-1.014446155</v>
      </c>
      <c r="AG187" t="n">
        <v>-0.870782185</v>
      </c>
      <c r="AH187" t="n">
        <v>8.198357868</v>
      </c>
      <c r="AI187" t="n">
        <v>5.017032622</v>
      </c>
      <c r="AK187" t="n">
        <v>1.338480963</v>
      </c>
      <c r="AL187" t="n">
        <v>2.074771726</v>
      </c>
      <c r="AM187" t="n">
        <v>2.374285249</v>
      </c>
      <c r="AN187" t="n">
        <v>7.334989737</v>
      </c>
      <c r="AO187" t="n">
        <v>1.296267747</v>
      </c>
      <c r="AQ187" t="n">
        <v>-0.741093157</v>
      </c>
      <c r="AU187" t="n">
        <v>-0.954977853</v>
      </c>
      <c r="AW187" t="n">
        <v>2.286515761</v>
      </c>
      <c r="AX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Q188" t="n">
        <v>0.629980151</v>
      </c>
      <c r="U188" t="n">
        <v>1.372809515</v>
      </c>
      <c r="V188" t="n">
        <v>-0.27411905</v>
      </c>
      <c r="W188" t="n">
        <v>1.479448977</v>
      </c>
      <c r="Y188" t="n">
        <v>2.43166853</v>
      </c>
      <c r="Z188" t="n">
        <v>-0.454916422</v>
      </c>
      <c r="AC188" t="n">
        <v>2.774481921</v>
      </c>
      <c r="AD188" t="n">
        <v>4.046309321</v>
      </c>
      <c r="AF188" t="n">
        <v>0.123290758</v>
      </c>
      <c r="AG188" t="n">
        <v>0.393745975</v>
      </c>
      <c r="AH188" t="n">
        <v>8.574414268</v>
      </c>
      <c r="AI188" t="n">
        <v>5.269472286</v>
      </c>
      <c r="AK188" t="n">
        <v>2.59487205</v>
      </c>
      <c r="AL188" t="n">
        <v>1.060811989</v>
      </c>
      <c r="AM188" t="n">
        <v>6.802640495</v>
      </c>
      <c r="AN188" t="n">
        <v>6.987660467</v>
      </c>
      <c r="AO188" t="n">
        <v>1.895902734</v>
      </c>
      <c r="AQ188" t="n">
        <v>-0.24897242</v>
      </c>
      <c r="AU188" t="n">
        <v>0.713440243</v>
      </c>
      <c r="AW188" t="n">
        <v>2.607615494</v>
      </c>
      <c r="AX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Q189" t="n">
        <v>2.417824925</v>
      </c>
      <c r="U189" t="n">
        <v>1.808255491</v>
      </c>
      <c r="V189" t="n">
        <v>1.063188664</v>
      </c>
      <c r="W189" t="n">
        <v>2.266994253</v>
      </c>
      <c r="Y189" t="n">
        <v>2.825575189</v>
      </c>
      <c r="Z189" t="n">
        <v>1.448532837</v>
      </c>
      <c r="AC189" t="n">
        <v>3.643862215</v>
      </c>
      <c r="AD189" t="n">
        <v>4.741343372</v>
      </c>
      <c r="AF189" t="n">
        <v>0.916012261</v>
      </c>
      <c r="AG189" t="n">
        <v>0.162149992</v>
      </c>
      <c r="AH189" t="n">
        <v>9.560400571000001</v>
      </c>
      <c r="AI189" t="n">
        <v>4.929208046</v>
      </c>
      <c r="AK189" t="n">
        <v>3.678517689</v>
      </c>
      <c r="AL189" t="n">
        <v>1.945324969</v>
      </c>
      <c r="AM189" t="n">
        <v>6.317738241</v>
      </c>
      <c r="AN189" t="n">
        <v>6.849986006</v>
      </c>
      <c r="AO189" t="n">
        <v>2.630217553</v>
      </c>
      <c r="AQ189" t="n">
        <v>1.426321021</v>
      </c>
      <c r="AS189" t="n">
        <v>5.973834269</v>
      </c>
      <c r="AU189" t="n">
        <v>3.617424671</v>
      </c>
      <c r="AW189" t="n">
        <v>3.430523014</v>
      </c>
      <c r="AX189" t="n">
        <v>2.795771186</v>
      </c>
    </row>
    <row r="190">
      <c r="A190" t="inlineStr">
        <is>
          <t>1994-Q2</t>
        </is>
      </c>
      <c r="B190" s="87" t="n">
        <v>34516</v>
      </c>
      <c r="C190" t="n">
        <v>6.450531759</v>
      </c>
      <c r="D190" t="n">
        <v>4.86897822</v>
      </c>
      <c r="E190" t="n">
        <v>2.232272424</v>
      </c>
      <c r="F190" t="n">
        <v>3.157014963</v>
      </c>
      <c r="H190" t="n">
        <v>4.386336064</v>
      </c>
      <c r="I190" t="n">
        <v>0.401847883</v>
      </c>
      <c r="K190" t="n">
        <v>13.3</v>
      </c>
      <c r="M190" t="n">
        <v>2.1573938</v>
      </c>
      <c r="N190" t="n">
        <v>6.643431971</v>
      </c>
      <c r="Q190" t="n">
        <v>2.649333553</v>
      </c>
      <c r="U190" t="n">
        <v>2.889935814</v>
      </c>
      <c r="V190" t="n">
        <v>2.151825452</v>
      </c>
      <c r="W190" t="n">
        <v>2.901355945</v>
      </c>
      <c r="Y190" t="n">
        <v>3.506210932</v>
      </c>
      <c r="Z190" t="n">
        <v>0.958617637</v>
      </c>
      <c r="AC190" t="n">
        <v>4.879714864</v>
      </c>
      <c r="AD190" t="n">
        <v>4.687855556</v>
      </c>
      <c r="AF190" t="n">
        <v>1.928126212</v>
      </c>
      <c r="AG190" t="n">
        <v>0.24817706</v>
      </c>
      <c r="AH190" t="n">
        <v>8.562978922999999</v>
      </c>
      <c r="AI190" t="n">
        <v>4.26791433</v>
      </c>
      <c r="AK190" t="n">
        <v>5.576131603</v>
      </c>
      <c r="AL190" t="n">
        <v>2.861042796</v>
      </c>
      <c r="AM190" t="n">
        <v>6.939075941</v>
      </c>
      <c r="AN190" t="n">
        <v>5.233433735</v>
      </c>
      <c r="AO190" t="n">
        <v>2.766284742</v>
      </c>
      <c r="AQ190" t="n">
        <v>2.68916016</v>
      </c>
      <c r="AS190" t="n">
        <v>5.793638036</v>
      </c>
      <c r="AU190" t="n">
        <v>3.296687975</v>
      </c>
      <c r="AW190" t="n">
        <v>4.225399702</v>
      </c>
      <c r="AX190" t="n">
        <v>3.094816274</v>
      </c>
    </row>
    <row r="191">
      <c r="A191" t="inlineStr">
        <is>
          <t>1994-Q3</t>
        </is>
      </c>
      <c r="B191" s="87" t="n">
        <v>34608</v>
      </c>
      <c r="C191" t="n">
        <v>4.616171108</v>
      </c>
      <c r="D191" t="n">
        <v>5.550152484</v>
      </c>
      <c r="E191" t="n">
        <v>2.118102574</v>
      </c>
      <c r="F191" t="n">
        <v>3.119258394</v>
      </c>
      <c r="H191" t="n">
        <v>4.722762201</v>
      </c>
      <c r="I191" t="n">
        <v>1.073758999</v>
      </c>
      <c r="K191" t="n">
        <v>13.1</v>
      </c>
      <c r="M191" t="n">
        <v>2.252194791</v>
      </c>
      <c r="N191" t="n">
        <v>5.967772709</v>
      </c>
      <c r="Q191" t="n">
        <v>2.234294896</v>
      </c>
      <c r="U191" t="n">
        <v>4.640342052</v>
      </c>
      <c r="V191" t="n">
        <v>2.965055574</v>
      </c>
      <c r="W191" t="n">
        <v>3.48463203</v>
      </c>
      <c r="Y191" t="n">
        <v>3.839408533</v>
      </c>
      <c r="Z191" t="n">
        <v>3.314875103</v>
      </c>
      <c r="AC191" t="n">
        <v>6.4162312</v>
      </c>
      <c r="AD191" t="n">
        <v>3.752436615</v>
      </c>
      <c r="AF191" t="n">
        <v>3.026659909</v>
      </c>
      <c r="AG191" t="n">
        <v>2.133567483</v>
      </c>
      <c r="AH191" t="n">
        <v>8.390840533</v>
      </c>
      <c r="AI191" t="n">
        <v>3.465969401</v>
      </c>
      <c r="AK191" t="n">
        <v>5.314462949</v>
      </c>
      <c r="AL191" t="n">
        <v>2.800754845</v>
      </c>
      <c r="AM191" t="n">
        <v>3.409290185</v>
      </c>
      <c r="AN191" t="n">
        <v>4.908078368</v>
      </c>
      <c r="AO191" t="n">
        <v>3.318916111</v>
      </c>
      <c r="AQ191" t="n">
        <v>2.441003251</v>
      </c>
      <c r="AS191" t="n">
        <v>6.567374548</v>
      </c>
      <c r="AU191" t="n">
        <v>3.344297487</v>
      </c>
      <c r="AW191" t="n">
        <v>4.33678486</v>
      </c>
      <c r="AX191" t="n">
        <v>2.934120028</v>
      </c>
    </row>
    <row r="192">
      <c r="A192" t="inlineStr">
        <is>
          <t>1994-Q4</t>
        </is>
      </c>
      <c r="B192" s="87" t="n">
        <v>34700</v>
      </c>
      <c r="C192" t="n">
        <v>5.068113186</v>
      </c>
      <c r="D192" t="n">
        <v>4.738220348</v>
      </c>
      <c r="E192" t="n">
        <v>2.77457537</v>
      </c>
      <c r="F192" t="n">
        <v>3.864636253</v>
      </c>
      <c r="H192" t="n">
        <v>5.03345689</v>
      </c>
      <c r="I192" t="n">
        <v>1.228486651</v>
      </c>
      <c r="K192" t="n">
        <v>12</v>
      </c>
      <c r="M192" t="n">
        <v>3.549735932</v>
      </c>
      <c r="N192" t="n">
        <v>6.300305866</v>
      </c>
      <c r="Q192" t="n">
        <v>2.231623883</v>
      </c>
      <c r="U192" t="n">
        <v>6.471542686</v>
      </c>
      <c r="V192" t="n">
        <v>3.518421217</v>
      </c>
      <c r="W192" t="n">
        <v>3.412159176</v>
      </c>
      <c r="Y192" t="n">
        <v>3.73420581</v>
      </c>
      <c r="Z192" t="n">
        <v>2.262202991</v>
      </c>
      <c r="AC192" t="n">
        <v>8.028488321999999</v>
      </c>
      <c r="AD192" t="n">
        <v>2.192229077</v>
      </c>
      <c r="AF192" t="n">
        <v>3.240360175</v>
      </c>
      <c r="AG192" t="n">
        <v>1.0855581</v>
      </c>
      <c r="AH192" t="n">
        <v>10.5357919</v>
      </c>
      <c r="AI192" t="n">
        <v>2.669510252</v>
      </c>
      <c r="AK192" t="n">
        <v>5.149075837</v>
      </c>
      <c r="AL192" t="n">
        <v>4.421993497</v>
      </c>
      <c r="AM192" t="n">
        <v>3.803047965</v>
      </c>
      <c r="AN192" t="n">
        <v>5.321411952</v>
      </c>
      <c r="AO192" t="n">
        <v>3.418573083</v>
      </c>
      <c r="AQ192" t="n">
        <v>3.325675959</v>
      </c>
      <c r="AS192" t="n">
        <v>6.472727923</v>
      </c>
      <c r="AU192" t="n">
        <v>4.895373022</v>
      </c>
      <c r="AW192" t="n">
        <v>4.115926516</v>
      </c>
      <c r="AX192" t="n">
        <v>3.959652538</v>
      </c>
    </row>
    <row r="193">
      <c r="A193" t="inlineStr">
        <is>
          <t>1995-Q1</t>
        </is>
      </c>
      <c r="B193" s="87" t="n">
        <v>34790</v>
      </c>
      <c r="C193" t="n">
        <v>1.997060055</v>
      </c>
      <c r="D193" t="n">
        <v>3.065888325</v>
      </c>
      <c r="E193" t="n">
        <v>3.301824119</v>
      </c>
      <c r="F193" t="n">
        <v>3.081870011</v>
      </c>
      <c r="H193" t="n">
        <v>4.470288197</v>
      </c>
      <c r="I193" t="n">
        <v>0.107490605</v>
      </c>
      <c r="K193" t="n">
        <v>11.9</v>
      </c>
      <c r="L193" t="n">
        <v>6.363014593</v>
      </c>
      <c r="M193" t="n">
        <v>1.797362513</v>
      </c>
      <c r="N193" t="n">
        <v>5.556548886</v>
      </c>
      <c r="Q193" t="n">
        <v>2.54877695</v>
      </c>
      <c r="U193" t="n">
        <v>4.894454605</v>
      </c>
      <c r="V193" t="n">
        <v>3.111655401</v>
      </c>
      <c r="W193" t="n">
        <v>2.887920508</v>
      </c>
      <c r="Y193" t="n">
        <v>2.908461333</v>
      </c>
      <c r="Z193" t="n">
        <v>3.03725171</v>
      </c>
      <c r="AC193" t="n">
        <v>12.064830442</v>
      </c>
      <c r="AD193" t="n">
        <v>-1.916858646</v>
      </c>
      <c r="AF193" t="n">
        <v>3.701040218</v>
      </c>
      <c r="AG193" t="n">
        <v>1.303726742</v>
      </c>
      <c r="AH193" t="n">
        <v>9.648249708</v>
      </c>
      <c r="AI193" t="n">
        <v>2.899199813</v>
      </c>
      <c r="AK193" t="n">
        <v>-1.903990616</v>
      </c>
      <c r="AL193" t="n">
        <v>3.58223825</v>
      </c>
      <c r="AM193" t="n">
        <v>4.189195571</v>
      </c>
      <c r="AN193" t="n">
        <v>5.009495121</v>
      </c>
      <c r="AO193" t="n">
        <v>2.819155074</v>
      </c>
      <c r="AQ193" t="n">
        <v>3.156940472</v>
      </c>
      <c r="AS193" t="n">
        <v>6.191169282</v>
      </c>
      <c r="AU193" t="n">
        <v>5.050250263</v>
      </c>
      <c r="AW193" t="n">
        <v>3.481130297</v>
      </c>
      <c r="AX193" t="n">
        <v>4.268641734</v>
      </c>
    </row>
    <row r="194">
      <c r="A194" t="inlineStr">
        <is>
          <t>1995-Q2</t>
        </is>
      </c>
      <c r="B194" s="87" t="n">
        <v>34881</v>
      </c>
      <c r="C194" t="n">
        <v>-3.857416767</v>
      </c>
      <c r="D194" t="n">
        <v>2.282801884</v>
      </c>
      <c r="E194" t="n">
        <v>3.561503331</v>
      </c>
      <c r="F194" t="n">
        <v>2.338763397</v>
      </c>
      <c r="H194" t="n">
        <v>3.007197067</v>
      </c>
      <c r="I194" t="n">
        <v>1.29303188</v>
      </c>
      <c r="K194" t="n">
        <v>11</v>
      </c>
      <c r="L194" t="n">
        <v>5.760987897</v>
      </c>
      <c r="M194" t="n">
        <v>2.297782135</v>
      </c>
      <c r="N194" t="n">
        <v>2.259548312</v>
      </c>
      <c r="Q194" t="n">
        <v>2.965465241</v>
      </c>
      <c r="U194" t="n">
        <v>6.785286254</v>
      </c>
      <c r="V194" t="n">
        <v>2.724523754</v>
      </c>
      <c r="W194" t="n">
        <v>2.514469455</v>
      </c>
      <c r="Y194" t="n">
        <v>2.014827659</v>
      </c>
      <c r="Z194" t="n">
        <v>2.76173387</v>
      </c>
      <c r="AC194" t="n">
        <v>12.518934692</v>
      </c>
      <c r="AD194" t="n">
        <v>-0.42434887</v>
      </c>
      <c r="AF194" t="n">
        <v>2.838301792</v>
      </c>
      <c r="AG194" t="n">
        <v>2.822365691</v>
      </c>
      <c r="AH194" t="n">
        <v>10.069263579</v>
      </c>
      <c r="AI194" t="n">
        <v>3.201401948</v>
      </c>
      <c r="AK194" t="n">
        <v>-8.622642003999999</v>
      </c>
      <c r="AL194" t="n">
        <v>3.207608445</v>
      </c>
      <c r="AM194" t="n">
        <v>2.700307233</v>
      </c>
      <c r="AN194" t="n">
        <v>5.646446577</v>
      </c>
      <c r="AO194" t="n">
        <v>2.624815474</v>
      </c>
      <c r="AQ194" t="n">
        <v>3.038099685</v>
      </c>
      <c r="AS194" t="n">
        <v>6.66263369</v>
      </c>
      <c r="AU194" t="n">
        <v>4.422848504</v>
      </c>
      <c r="AW194" t="n">
        <v>2.402168869</v>
      </c>
      <c r="AX194" t="n">
        <v>3.558021252</v>
      </c>
    </row>
    <row r="195">
      <c r="A195" t="inlineStr">
        <is>
          <t>1995-Q3</t>
        </is>
      </c>
      <c r="B195" s="87" t="n">
        <v>34973</v>
      </c>
      <c r="C195" t="n">
        <v>-4.469924006</v>
      </c>
      <c r="D195" t="n">
        <v>3.787799824</v>
      </c>
      <c r="E195" t="n">
        <v>2.863686279</v>
      </c>
      <c r="F195" t="n">
        <v>2.665165111</v>
      </c>
      <c r="H195" t="n">
        <v>1.841001315</v>
      </c>
      <c r="I195" t="n">
        <v>0.785125948</v>
      </c>
      <c r="K195" t="n">
        <v>10.4</v>
      </c>
      <c r="L195" t="n">
        <v>7.38865553</v>
      </c>
      <c r="M195" t="n">
        <v>1.754149544</v>
      </c>
      <c r="N195" t="n">
        <v>3.169757063</v>
      </c>
      <c r="Q195" t="n">
        <v>2.567870961</v>
      </c>
      <c r="U195" t="n">
        <v>3.929816128</v>
      </c>
      <c r="V195" t="n">
        <v>1.984449258</v>
      </c>
      <c r="W195" t="n">
        <v>2.458546038</v>
      </c>
      <c r="Y195" t="n">
        <v>1.932730408</v>
      </c>
      <c r="Z195" t="n">
        <v>0.615703809</v>
      </c>
      <c r="AC195" t="n">
        <v>11.271803072</v>
      </c>
      <c r="AD195" t="n">
        <v>-1.615514245</v>
      </c>
      <c r="AF195" t="n">
        <v>2.672677661</v>
      </c>
      <c r="AG195" t="n">
        <v>2.845314759</v>
      </c>
      <c r="AH195" t="n">
        <v>10.495409042</v>
      </c>
      <c r="AI195" t="n">
        <v>3.696643045</v>
      </c>
      <c r="AK195" t="n">
        <v>-7.60366793</v>
      </c>
      <c r="AL195" t="n">
        <v>3.235805613</v>
      </c>
      <c r="AM195" t="n">
        <v>6.586957073</v>
      </c>
      <c r="AN195" t="n">
        <v>4.828755077</v>
      </c>
      <c r="AO195" t="n">
        <v>2.566961877</v>
      </c>
      <c r="AQ195" t="n">
        <v>3.019269921</v>
      </c>
      <c r="AS195" t="n">
        <v>5.272766239</v>
      </c>
      <c r="AU195" t="n">
        <v>3.869823594</v>
      </c>
      <c r="AW195" t="n">
        <v>2.673106856</v>
      </c>
      <c r="AX195" t="n">
        <v>3.085873972</v>
      </c>
    </row>
    <row r="196">
      <c r="A196" t="inlineStr">
        <is>
          <t>1995-Q4</t>
        </is>
      </c>
      <c r="B196" s="87" t="n">
        <v>35065</v>
      </c>
      <c r="C196" t="n">
        <v>-4.917327789</v>
      </c>
      <c r="D196" t="n">
        <v>2.684203795</v>
      </c>
      <c r="E196" t="n">
        <v>1.843370445</v>
      </c>
      <c r="F196" t="n">
        <v>1.174873872</v>
      </c>
      <c r="H196" t="n">
        <v>1.517638141</v>
      </c>
      <c r="I196" t="n">
        <v>0.079804181</v>
      </c>
      <c r="K196" t="n">
        <v>10.8</v>
      </c>
      <c r="L196" t="n">
        <v>4.281259436</v>
      </c>
      <c r="M196" t="n">
        <v>0.612610122</v>
      </c>
      <c r="N196" t="n">
        <v>1.381050318</v>
      </c>
      <c r="Q196" t="n">
        <v>2.949569361</v>
      </c>
      <c r="U196" t="n">
        <v>1.427231698</v>
      </c>
      <c r="V196" t="n">
        <v>1.054716044</v>
      </c>
      <c r="W196" t="n">
        <v>2.106219763</v>
      </c>
      <c r="Y196" t="n">
        <v>1.621436756</v>
      </c>
      <c r="Z196" t="n">
        <v>2.036812447</v>
      </c>
      <c r="AC196" t="n">
        <v>10.153575969</v>
      </c>
      <c r="AD196" t="n">
        <v>-1.378394015</v>
      </c>
      <c r="AF196" t="n">
        <v>2.41316458</v>
      </c>
      <c r="AG196" t="n">
        <v>3.506278017</v>
      </c>
      <c r="AH196" t="n">
        <v>8.305406400000001</v>
      </c>
      <c r="AI196" t="n">
        <v>4.406117705</v>
      </c>
      <c r="AK196" t="n">
        <v>-6.916618758</v>
      </c>
      <c r="AL196" t="n">
        <v>2.995966325</v>
      </c>
      <c r="AM196" t="n">
        <v>3.788576153</v>
      </c>
      <c r="AN196" t="n">
        <v>4.146810995</v>
      </c>
      <c r="AO196" t="n">
        <v>2.130752506</v>
      </c>
      <c r="AQ196" t="n">
        <v>2.485423689</v>
      </c>
      <c r="AS196" t="n">
        <v>5.783610761</v>
      </c>
      <c r="AU196" t="n">
        <v>3.269756201</v>
      </c>
      <c r="AW196" t="n">
        <v>2.199579909</v>
      </c>
      <c r="AX196" t="n">
        <v>1.545603231</v>
      </c>
    </row>
    <row r="197">
      <c r="A197" t="inlineStr">
        <is>
          <t>1996-Q1</t>
        </is>
      </c>
      <c r="B197" s="87" t="n">
        <v>35156</v>
      </c>
      <c r="C197" t="n">
        <v>-0.771663571</v>
      </c>
      <c r="D197" t="n">
        <v>4.362820322</v>
      </c>
      <c r="E197" t="n">
        <v>1.777846358</v>
      </c>
      <c r="F197" t="n">
        <v>1.026925133</v>
      </c>
      <c r="H197" t="n">
        <v>0.651940818</v>
      </c>
      <c r="I197" t="n">
        <v>1.007503225</v>
      </c>
      <c r="J197" t="n">
        <v>8.39844639</v>
      </c>
      <c r="K197" t="n">
        <v>10.9</v>
      </c>
      <c r="L197" t="n">
        <v>4.980595243</v>
      </c>
      <c r="M197" t="n">
        <v>0.130783017</v>
      </c>
      <c r="N197" t="n">
        <v>0.877556676</v>
      </c>
      <c r="O197" t="n">
        <v>1.424332136</v>
      </c>
      <c r="P197" t="n">
        <v>1.440461962</v>
      </c>
      <c r="Q197" t="n">
        <v>2.396042839</v>
      </c>
      <c r="R197" t="n">
        <v>0.7296276390000001</v>
      </c>
      <c r="S197" t="n">
        <v>1.650916593</v>
      </c>
      <c r="U197" t="n">
        <v>4.11643026</v>
      </c>
      <c r="V197" t="n">
        <v>1.475938867</v>
      </c>
      <c r="W197" t="n">
        <v>2.134069343</v>
      </c>
      <c r="Y197" t="n">
        <v>1.77687324</v>
      </c>
      <c r="Z197" t="n">
        <v>2.632531586</v>
      </c>
      <c r="AA197" t="n">
        <v>0.152290883</v>
      </c>
      <c r="AC197" t="n">
        <v>7.84796507</v>
      </c>
      <c r="AD197" t="n">
        <v>6.101340328</v>
      </c>
      <c r="AE197" t="n">
        <v>6.229561536</v>
      </c>
      <c r="AF197" t="n">
        <v>1.641321608</v>
      </c>
      <c r="AG197" t="n">
        <v>3.211730692</v>
      </c>
      <c r="AH197" t="n">
        <v>8.111951084999999</v>
      </c>
      <c r="AI197" t="n">
        <v>4.417586377</v>
      </c>
      <c r="AJ197" t="n">
        <v>-0.441491663</v>
      </c>
      <c r="AK197" t="n">
        <v>1.429454893</v>
      </c>
      <c r="AL197" t="n">
        <v>2.720293521</v>
      </c>
      <c r="AM197" t="n">
        <v>6.069190051</v>
      </c>
      <c r="AN197" t="n">
        <v>4.343352457</v>
      </c>
      <c r="AO197" t="n">
        <v>2.517110488</v>
      </c>
      <c r="AP197" t="n">
        <v>8.280804414</v>
      </c>
      <c r="AQ197" t="n">
        <v>3.114674906</v>
      </c>
      <c r="AS197" t="n">
        <v>5.964491585</v>
      </c>
      <c r="AT197" t="n">
        <v>1.305019617</v>
      </c>
      <c r="AU197" t="n">
        <v>2.64695919</v>
      </c>
      <c r="AW197" t="n">
        <v>2.601103993</v>
      </c>
      <c r="AX197" t="n">
        <v>3.168866593</v>
      </c>
    </row>
    <row r="198">
      <c r="A198" t="inlineStr">
        <is>
          <t>1996-Q2</t>
        </is>
      </c>
      <c r="B198" s="87" t="n">
        <v>35247</v>
      </c>
      <c r="C198" t="n">
        <v>5.436258599</v>
      </c>
      <c r="D198" t="n">
        <v>4.588177299</v>
      </c>
      <c r="E198" t="n">
        <v>2.107046299</v>
      </c>
      <c r="F198" t="n">
        <v>1.309798977</v>
      </c>
      <c r="H198" t="n">
        <v>1.311865775</v>
      </c>
      <c r="I198" t="n">
        <v>0.455870649</v>
      </c>
      <c r="J198" t="n">
        <v>6.739028068</v>
      </c>
      <c r="K198" t="n">
        <v>9.4</v>
      </c>
      <c r="L198" t="n">
        <v>5.261256967</v>
      </c>
      <c r="M198" t="n">
        <v>0.740064669</v>
      </c>
      <c r="N198" t="n">
        <v>3.90660937</v>
      </c>
      <c r="O198" t="n">
        <v>1.539958047</v>
      </c>
      <c r="P198" t="n">
        <v>1.55432068</v>
      </c>
      <c r="Q198" t="n">
        <v>2.516054263</v>
      </c>
      <c r="R198" t="n">
        <v>3.467306879</v>
      </c>
      <c r="S198" t="n">
        <v>1.756035796</v>
      </c>
      <c r="U198" t="n">
        <v>2.19286886</v>
      </c>
      <c r="V198" t="n">
        <v>0.970801337</v>
      </c>
      <c r="W198" t="n">
        <v>2.865689411</v>
      </c>
      <c r="Y198" t="n">
        <v>1.631600546</v>
      </c>
      <c r="Z198" t="n">
        <v>2.252642313</v>
      </c>
      <c r="AA198" t="n">
        <v>-0.413089156</v>
      </c>
      <c r="AC198" t="n">
        <v>7.962693537</v>
      </c>
      <c r="AD198" t="n">
        <v>3.906722725</v>
      </c>
      <c r="AE198" t="n">
        <v>5.167551834</v>
      </c>
      <c r="AF198" t="n">
        <v>1.515923752</v>
      </c>
      <c r="AG198" t="n">
        <v>3.550164641</v>
      </c>
      <c r="AH198" t="n">
        <v>8.11017914</v>
      </c>
      <c r="AI198" t="n">
        <v>-3.918184172</v>
      </c>
      <c r="AJ198" t="n">
        <v>-1.095971691</v>
      </c>
      <c r="AK198" t="n">
        <v>8.039319746</v>
      </c>
      <c r="AL198" t="n">
        <v>3.057056759</v>
      </c>
      <c r="AM198" t="n">
        <v>5.002143508</v>
      </c>
      <c r="AN198" t="n">
        <v>3.943844093</v>
      </c>
      <c r="AO198" t="n">
        <v>3.2938022</v>
      </c>
      <c r="AP198" t="n">
        <v>8.440550166</v>
      </c>
      <c r="AQ198" t="n">
        <v>3.135435389</v>
      </c>
      <c r="AS198" t="n">
        <v>5.448157925</v>
      </c>
      <c r="AT198" t="n">
        <v>2.277214958</v>
      </c>
      <c r="AU198" t="n">
        <v>1.348933882</v>
      </c>
      <c r="AW198" t="n">
        <v>4.002127064</v>
      </c>
      <c r="AX198" t="n">
        <v>4.098710883</v>
      </c>
    </row>
    <row r="199">
      <c r="A199" t="inlineStr">
        <is>
          <t>1996-Q3</t>
        </is>
      </c>
      <c r="B199" s="87" t="n">
        <v>35339</v>
      </c>
      <c r="C199" t="n">
        <v>8.276059804000001</v>
      </c>
      <c r="D199" t="n">
        <v>3.093189359</v>
      </c>
      <c r="E199" t="n">
        <v>2.212335897</v>
      </c>
      <c r="F199" t="n">
        <v>1.16970465</v>
      </c>
      <c r="H199" t="n">
        <v>2.052683265</v>
      </c>
      <c r="I199" t="n">
        <v>-0.102788772</v>
      </c>
      <c r="J199" t="n">
        <v>7.463833953</v>
      </c>
      <c r="K199" t="n">
        <v>9.199999999999999</v>
      </c>
      <c r="L199" t="n">
        <v>2.810025742</v>
      </c>
      <c r="M199" t="n">
        <v>0.907324264</v>
      </c>
      <c r="N199" t="n">
        <v>3.767712314</v>
      </c>
      <c r="O199" t="n">
        <v>1.706398785</v>
      </c>
      <c r="P199" t="n">
        <v>1.720357907</v>
      </c>
      <c r="Q199" t="n">
        <v>2.978766115</v>
      </c>
      <c r="R199" t="n">
        <v>7.119854462</v>
      </c>
      <c r="S199" t="n">
        <v>1.83627372</v>
      </c>
      <c r="U199" t="n">
        <v>3.25219704</v>
      </c>
      <c r="V199" t="n">
        <v>1.247603507</v>
      </c>
      <c r="W199" t="n">
        <v>2.73163916</v>
      </c>
      <c r="Y199" t="n">
        <v>1.693796808</v>
      </c>
      <c r="Z199" t="n">
        <v>3.088905697</v>
      </c>
      <c r="AA199" t="n">
        <v>-0.5489531</v>
      </c>
      <c r="AC199" t="n">
        <v>6.201622364</v>
      </c>
      <c r="AD199" t="n">
        <v>3.02506785</v>
      </c>
      <c r="AE199" t="n">
        <v>5.190696746</v>
      </c>
      <c r="AF199" t="n">
        <v>0.960490806</v>
      </c>
      <c r="AG199" t="n">
        <v>2.481803838</v>
      </c>
      <c r="AH199" t="n">
        <v>7.77450115</v>
      </c>
      <c r="AI199" t="n">
        <v>2.470185329</v>
      </c>
      <c r="AJ199" t="n">
        <v>3.467976146</v>
      </c>
      <c r="AK199" t="n">
        <v>7.816922925</v>
      </c>
      <c r="AL199" t="n">
        <v>3.685279605</v>
      </c>
      <c r="AM199" t="n">
        <v>6.009085223</v>
      </c>
      <c r="AN199" t="n">
        <v>3.666758183</v>
      </c>
      <c r="AO199" t="n">
        <v>3.153338177</v>
      </c>
      <c r="AP199" t="n">
        <v>6.589712002</v>
      </c>
      <c r="AQ199" t="n">
        <v>4.083239602</v>
      </c>
      <c r="AS199" t="n">
        <v>7.481484236</v>
      </c>
      <c r="AT199" t="n">
        <v>3.387849994</v>
      </c>
      <c r="AU199" t="n">
        <v>1.379931525</v>
      </c>
      <c r="AW199" t="n">
        <v>4.04992139</v>
      </c>
      <c r="AX199" t="n">
        <v>4.644751385</v>
      </c>
    </row>
    <row r="200">
      <c r="A200" t="inlineStr">
        <is>
          <t>1996-Q4</t>
        </is>
      </c>
      <c r="B200" s="87" t="n">
        <v>35431</v>
      </c>
      <c r="C200" t="n">
        <v>9.410196998</v>
      </c>
      <c r="D200" t="n">
        <v>4.073334485</v>
      </c>
      <c r="E200" t="n">
        <v>2.04097251</v>
      </c>
      <c r="F200" t="n">
        <v>1.757896638</v>
      </c>
      <c r="H200" t="n">
        <v>2.454708574</v>
      </c>
      <c r="I200" t="n">
        <v>0.5228128990000001</v>
      </c>
      <c r="J200" t="n">
        <v>6.919503629</v>
      </c>
      <c r="K200" t="n">
        <v>10.3</v>
      </c>
      <c r="L200" t="n">
        <v>3.646240037</v>
      </c>
      <c r="M200" t="n">
        <v>1.619382048</v>
      </c>
      <c r="N200" t="n">
        <v>3.049006173</v>
      </c>
      <c r="O200" t="n">
        <v>1.820855258</v>
      </c>
      <c r="P200" t="n">
        <v>1.830187022</v>
      </c>
      <c r="Q200" t="n">
        <v>2.747444334</v>
      </c>
      <c r="R200" t="n">
        <v>8.032594934</v>
      </c>
      <c r="S200" t="n">
        <v>1.833198</v>
      </c>
      <c r="U200" t="n">
        <v>5.134502586</v>
      </c>
      <c r="V200" t="n">
        <v>1.621650711</v>
      </c>
      <c r="W200" t="n">
        <v>3.165490862</v>
      </c>
      <c r="Y200" t="n">
        <v>2.523220126</v>
      </c>
      <c r="Z200" t="n">
        <v>3.581131972</v>
      </c>
      <c r="AA200" t="n">
        <v>1.123236533</v>
      </c>
      <c r="AC200" t="n">
        <v>5.976191688</v>
      </c>
      <c r="AD200" t="n">
        <v>5.263185277</v>
      </c>
      <c r="AE200" t="n">
        <v>6.091271774</v>
      </c>
      <c r="AF200" t="n">
        <v>-0.074189911</v>
      </c>
      <c r="AG200" t="n">
        <v>3.372053351</v>
      </c>
      <c r="AH200" t="n">
        <v>7.58515559</v>
      </c>
      <c r="AI200" t="n">
        <v>2.751238896</v>
      </c>
      <c r="AJ200" t="n">
        <v>8.581836876000001</v>
      </c>
      <c r="AK200" t="n">
        <v>8.984163574</v>
      </c>
      <c r="AL200" t="n">
        <v>3.683802394</v>
      </c>
      <c r="AM200" t="n">
        <v>3.022754655</v>
      </c>
      <c r="AN200" t="n">
        <v>4.324111391</v>
      </c>
      <c r="AO200" t="n">
        <v>3.577674918</v>
      </c>
      <c r="AP200" t="n">
        <v>1.654626869</v>
      </c>
      <c r="AQ200" t="n">
        <v>3.674688619</v>
      </c>
      <c r="AS200" t="n">
        <v>7.546690419</v>
      </c>
      <c r="AT200" t="n">
        <v>4.942129923</v>
      </c>
      <c r="AU200" t="n">
        <v>0.992724856</v>
      </c>
      <c r="AW200" t="n">
        <v>4.421314452</v>
      </c>
      <c r="AX200" t="n">
        <v>5.272397341</v>
      </c>
    </row>
    <row r="201">
      <c r="A201" t="inlineStr">
        <is>
          <t>1997-Q1</t>
        </is>
      </c>
      <c r="B201" s="87" t="n">
        <v>35521</v>
      </c>
      <c r="C201" t="n">
        <v>8.718642749000001</v>
      </c>
      <c r="D201" t="n">
        <v>3.030973801</v>
      </c>
      <c r="E201" t="n">
        <v>1.87324467</v>
      </c>
      <c r="F201" t="n">
        <v>2.985407152</v>
      </c>
      <c r="G201" t="n">
        <v>5.037130201</v>
      </c>
      <c r="H201" t="n">
        <v>3.734889509</v>
      </c>
      <c r="I201" t="n">
        <v>1.109813387</v>
      </c>
      <c r="J201" t="n">
        <v>5.809965161</v>
      </c>
      <c r="K201" t="n">
        <v>10.1</v>
      </c>
      <c r="L201" t="n">
        <v>0.769904237</v>
      </c>
      <c r="M201" t="n">
        <v>1.920072869</v>
      </c>
      <c r="N201" t="n">
        <v>4.326700118</v>
      </c>
      <c r="O201" t="n">
        <v>1.949896528</v>
      </c>
      <c r="P201" t="n">
        <v>1.962517452</v>
      </c>
      <c r="Q201" t="n">
        <v>3.180672777</v>
      </c>
      <c r="R201" t="n">
        <v>10.951753038</v>
      </c>
      <c r="S201" t="n">
        <v>2.001535539</v>
      </c>
      <c r="U201" t="n">
        <v>4.490108705</v>
      </c>
      <c r="V201" t="n">
        <v>1.228063398</v>
      </c>
      <c r="W201" t="n">
        <v>3.16504642</v>
      </c>
      <c r="Y201" t="n">
        <v>3.675341492</v>
      </c>
      <c r="Z201" t="n">
        <v>3.609920456</v>
      </c>
      <c r="AA201" t="n">
        <v>1.311529534</v>
      </c>
      <c r="AC201" t="n">
        <v>7.313900621</v>
      </c>
      <c r="AD201" t="n">
        <v>4.921929192</v>
      </c>
      <c r="AE201" t="n">
        <v>5.18774168</v>
      </c>
      <c r="AF201" t="n">
        <v>0.013923152</v>
      </c>
      <c r="AG201" t="n">
        <v>2.796859151</v>
      </c>
      <c r="AH201" t="n">
        <v>6.064861869</v>
      </c>
      <c r="AI201" t="n">
        <v>2.187184112</v>
      </c>
      <c r="AJ201" t="n">
        <v>7.98959834</v>
      </c>
      <c r="AK201" t="n">
        <v>6.313852553</v>
      </c>
      <c r="AL201" t="n">
        <v>4.386117665</v>
      </c>
      <c r="AM201" t="n">
        <v>4.279241185</v>
      </c>
      <c r="AN201" t="n">
        <v>2.489167787</v>
      </c>
      <c r="AO201" t="n">
        <v>3.46149668</v>
      </c>
      <c r="AP201" t="n">
        <v>5.800707986</v>
      </c>
      <c r="AQ201" t="n">
        <v>4.553999969</v>
      </c>
      <c r="AS201" t="n">
        <v>6.797812326</v>
      </c>
      <c r="AT201" t="n">
        <v>4.785111025</v>
      </c>
      <c r="AU201" t="n">
        <v>1.190851007</v>
      </c>
      <c r="AW201" t="n">
        <v>4.314134541</v>
      </c>
      <c r="AX201" t="n">
        <v>3.837501516</v>
      </c>
    </row>
    <row r="202">
      <c r="A202" t="inlineStr">
        <is>
          <t>1997-Q2</t>
        </is>
      </c>
      <c r="B202" s="87" t="n">
        <v>35612</v>
      </c>
      <c r="C202" t="n">
        <v>7.93033306</v>
      </c>
      <c r="D202" t="n">
        <v>5.434821032</v>
      </c>
      <c r="E202" t="n">
        <v>1.403185811</v>
      </c>
      <c r="F202" t="n">
        <v>3.849557522</v>
      </c>
      <c r="G202" t="n">
        <v>4.326736805</v>
      </c>
      <c r="H202" t="n">
        <v>4.181304643</v>
      </c>
      <c r="I202" t="n">
        <v>1.756470079</v>
      </c>
      <c r="J202" t="n">
        <v>6.948052477</v>
      </c>
      <c r="K202" t="n">
        <v>10</v>
      </c>
      <c r="L202" t="n">
        <v>-0.121897447</v>
      </c>
      <c r="M202" t="n">
        <v>1.868803931</v>
      </c>
      <c r="N202" t="n">
        <v>3.320563274</v>
      </c>
      <c r="O202" t="n">
        <v>2.483135034</v>
      </c>
      <c r="P202" t="n">
        <v>2.498675592</v>
      </c>
      <c r="Q202" t="n">
        <v>3.353230625</v>
      </c>
      <c r="R202" t="n">
        <v>13.679317685</v>
      </c>
      <c r="S202" t="n">
        <v>2.511116491</v>
      </c>
      <c r="U202" t="n">
        <v>5.246261722</v>
      </c>
      <c r="V202" t="n">
        <v>2.136608138</v>
      </c>
      <c r="W202" t="n">
        <v>3.064840913</v>
      </c>
      <c r="Y202" t="n">
        <v>4.733744756</v>
      </c>
      <c r="Z202" t="n">
        <v>4.784821359</v>
      </c>
      <c r="AA202" t="n">
        <v>3.188639183</v>
      </c>
      <c r="AB202" t="n">
        <v>3.27187</v>
      </c>
      <c r="AC202" t="n">
        <v>9.728566424</v>
      </c>
      <c r="AD202" t="n">
        <v>5.329373889</v>
      </c>
      <c r="AE202" t="n">
        <v>4.4369428</v>
      </c>
      <c r="AF202" t="n">
        <v>1.493716162</v>
      </c>
      <c r="AG202" t="n">
        <v>0.744861421</v>
      </c>
      <c r="AH202" t="n">
        <v>7.655936708</v>
      </c>
      <c r="AI202" t="n">
        <v>11.23012665</v>
      </c>
      <c r="AJ202" t="n">
        <v>12.524475631</v>
      </c>
      <c r="AK202" t="n">
        <v>7.343974806</v>
      </c>
      <c r="AL202" t="n">
        <v>4.309994557</v>
      </c>
      <c r="AM202" t="n">
        <v>6.955005518</v>
      </c>
      <c r="AN202" t="n">
        <v>3.580948996</v>
      </c>
      <c r="AO202" t="n">
        <v>3.625299346</v>
      </c>
      <c r="AP202" t="n">
        <v>5.143113293</v>
      </c>
      <c r="AQ202" t="n">
        <v>4.25348435</v>
      </c>
      <c r="AS202" t="n">
        <v>7.130834051</v>
      </c>
      <c r="AT202" t="n">
        <v>5.943240972</v>
      </c>
      <c r="AU202" t="n">
        <v>3.26521138</v>
      </c>
      <c r="AW202" t="n">
        <v>4.308074979</v>
      </c>
      <c r="AX202" t="n">
        <v>3.258806281</v>
      </c>
    </row>
    <row r="203">
      <c r="A203" t="inlineStr">
        <is>
          <t>1997-Q3</t>
        </is>
      </c>
      <c r="B203" s="87" t="n">
        <v>35704</v>
      </c>
      <c r="C203" t="n">
        <v>8.163017930000001</v>
      </c>
      <c r="D203" t="n">
        <v>4.73242049</v>
      </c>
      <c r="E203" t="n">
        <v>2.311788196</v>
      </c>
      <c r="F203" t="n">
        <v>4.284750802</v>
      </c>
      <c r="G203" t="n">
        <v>1.902554072</v>
      </c>
      <c r="H203" t="n">
        <v>4.511271996</v>
      </c>
      <c r="I203" t="n">
        <v>2.889823018</v>
      </c>
      <c r="J203" t="n">
        <v>8.284487969000001</v>
      </c>
      <c r="K203" t="n">
        <v>8.6</v>
      </c>
      <c r="L203" t="n">
        <v>-1.218810406</v>
      </c>
      <c r="M203" t="n">
        <v>1.836870275</v>
      </c>
      <c r="N203" t="n">
        <v>2.738326569</v>
      </c>
      <c r="O203" t="n">
        <v>2.787647631</v>
      </c>
      <c r="P203" t="n">
        <v>2.798914427</v>
      </c>
      <c r="Q203" t="n">
        <v>3.694538602</v>
      </c>
      <c r="R203" t="n">
        <v>13.142511587</v>
      </c>
      <c r="S203" t="n">
        <v>2.780059177</v>
      </c>
      <c r="U203" t="n">
        <v>7.105859955</v>
      </c>
      <c r="V203" t="n">
        <v>2.653792417</v>
      </c>
      <c r="W203" t="n">
        <v>3.329341949</v>
      </c>
      <c r="Y203" t="n">
        <v>4.599485986</v>
      </c>
      <c r="Z203" t="n">
        <v>5.027766158</v>
      </c>
      <c r="AA203" t="n">
        <v>4.247113565</v>
      </c>
      <c r="AB203" t="n">
        <v>3.99521</v>
      </c>
      <c r="AC203" t="n">
        <v>12.207282173</v>
      </c>
      <c r="AD203" t="n">
        <v>6.065506766</v>
      </c>
      <c r="AE203" t="n">
        <v>3.185296033</v>
      </c>
      <c r="AF203" t="n">
        <v>2.070027272</v>
      </c>
      <c r="AG203" t="n">
        <v>0.81392653</v>
      </c>
      <c r="AH203" t="n">
        <v>6.632700464</v>
      </c>
      <c r="AI203" t="n">
        <v>4.394313167</v>
      </c>
      <c r="AJ203" t="n">
        <v>10.614391752</v>
      </c>
      <c r="AK203" t="n">
        <v>7.57895409</v>
      </c>
      <c r="AL203" t="n">
        <v>4.364193094</v>
      </c>
      <c r="AM203" t="n">
        <v>3.376167237</v>
      </c>
      <c r="AN203" t="n">
        <v>2.66898155</v>
      </c>
      <c r="AO203" t="n">
        <v>3.824586093</v>
      </c>
      <c r="AP203" t="n">
        <v>4.413703191</v>
      </c>
      <c r="AQ203" t="n">
        <v>4.196041148</v>
      </c>
      <c r="AS203" t="n">
        <v>6.249310555</v>
      </c>
      <c r="AT203" t="n">
        <v>5.53184459</v>
      </c>
      <c r="AU203" t="n">
        <v>3.616976926</v>
      </c>
      <c r="AW203" t="n">
        <v>4.673802575</v>
      </c>
      <c r="AX203" t="n">
        <v>2.144435333</v>
      </c>
    </row>
    <row r="204">
      <c r="A204" t="inlineStr">
        <is>
          <t>1997-Q4</t>
        </is>
      </c>
      <c r="B204" s="87" t="n">
        <v>35796</v>
      </c>
      <c r="C204" t="n">
        <v>7.662890987</v>
      </c>
      <c r="D204" t="n">
        <v>5.27516649</v>
      </c>
      <c r="E204" t="n">
        <v>3.159316828</v>
      </c>
      <c r="F204" t="n">
        <v>4.045011335</v>
      </c>
      <c r="G204" t="n">
        <v>3.71822684</v>
      </c>
      <c r="H204" t="n">
        <v>4.6802186</v>
      </c>
      <c r="I204" t="n">
        <v>3.177928468</v>
      </c>
      <c r="J204" t="n">
        <v>9.026836803</v>
      </c>
      <c r="K204" t="n">
        <v>8.6</v>
      </c>
      <c r="L204" t="n">
        <v>-1.560838508</v>
      </c>
      <c r="M204" t="n">
        <v>1.835793338</v>
      </c>
      <c r="N204" t="n">
        <v>2.689372527</v>
      </c>
      <c r="O204" t="n">
        <v>3.450951716</v>
      </c>
      <c r="P204" t="n">
        <v>3.456326225</v>
      </c>
      <c r="Q204" t="n">
        <v>4.565801736</v>
      </c>
      <c r="R204" t="n">
        <v>14.362159576</v>
      </c>
      <c r="S204" t="n">
        <v>3.513051433</v>
      </c>
      <c r="U204" t="n">
        <v>8.233936129</v>
      </c>
      <c r="V204" t="n">
        <v>3.396334682</v>
      </c>
      <c r="W204" t="n">
        <v>3.308622094</v>
      </c>
      <c r="Y204" t="n">
        <v>5.075149471</v>
      </c>
      <c r="Z204" t="n">
        <v>4.917627663</v>
      </c>
      <c r="AA204" t="n">
        <v>3.820754438</v>
      </c>
      <c r="AB204" t="n">
        <v>4.01085</v>
      </c>
      <c r="AC204" t="n">
        <v>12.617901309</v>
      </c>
      <c r="AD204" t="n">
        <v>6.767876375</v>
      </c>
      <c r="AE204" t="n">
        <v>3.305771417</v>
      </c>
      <c r="AF204" t="n">
        <v>4.252617512</v>
      </c>
      <c r="AG204" t="n">
        <v>-0.26180637</v>
      </c>
      <c r="AH204" t="n">
        <v>4.380777853</v>
      </c>
      <c r="AI204" t="n">
        <v>4.159702107</v>
      </c>
      <c r="AJ204" t="n">
        <v>5.362044516</v>
      </c>
      <c r="AK204" t="n">
        <v>7.013980813</v>
      </c>
      <c r="AL204" t="n">
        <v>4.956982825</v>
      </c>
      <c r="AM204" t="n">
        <v>6.562108235</v>
      </c>
      <c r="AN204" t="n">
        <v>1.164749622</v>
      </c>
      <c r="AO204" t="n">
        <v>3.815353222</v>
      </c>
      <c r="AP204" t="n">
        <v>10.039903685</v>
      </c>
      <c r="AQ204" t="n">
        <v>4.601245602</v>
      </c>
      <c r="AS204" t="n">
        <v>3.631336823</v>
      </c>
      <c r="AT204" t="n">
        <v>4.074582395</v>
      </c>
      <c r="AU204" t="n">
        <v>4.944081713</v>
      </c>
      <c r="AW204" t="n">
        <v>4.487684458</v>
      </c>
      <c r="AX204" t="n">
        <v>1.209032657</v>
      </c>
    </row>
    <row r="205">
      <c r="A205" t="inlineStr">
        <is>
          <t>1998-Q1</t>
        </is>
      </c>
      <c r="B205" s="87" t="n">
        <v>35886</v>
      </c>
      <c r="C205" t="n">
        <v>5.993873078</v>
      </c>
      <c r="D205" t="n">
        <v>5.296636179</v>
      </c>
      <c r="E205" t="n">
        <v>3.401111864</v>
      </c>
      <c r="F205" t="n">
        <v>3.280151433</v>
      </c>
      <c r="G205" t="n">
        <v>0.661371806</v>
      </c>
      <c r="H205" t="n">
        <v>4.776552234</v>
      </c>
      <c r="I205" t="n">
        <v>3.085712533</v>
      </c>
      <c r="J205" t="n">
        <v>7.465671305</v>
      </c>
      <c r="K205" t="n">
        <v>7.3</v>
      </c>
      <c r="L205" t="n">
        <v>-1.120170477</v>
      </c>
      <c r="M205" t="n">
        <v>3.332048181</v>
      </c>
      <c r="N205" t="n">
        <v>2.945633139</v>
      </c>
      <c r="O205" t="n">
        <v>3.853417557</v>
      </c>
      <c r="P205" t="n">
        <v>3.84968768</v>
      </c>
      <c r="Q205" t="n">
        <v>4.422107873</v>
      </c>
      <c r="R205" t="n">
        <v>11.264365331</v>
      </c>
      <c r="S205" t="n">
        <v>3.837118843</v>
      </c>
      <c r="U205" t="n">
        <v>6.193127801</v>
      </c>
      <c r="V205" t="n">
        <v>4.050466354</v>
      </c>
      <c r="W205" t="n">
        <v>3.283312143</v>
      </c>
      <c r="Y205" t="n">
        <v>4.11069815</v>
      </c>
      <c r="Z205" t="n">
        <v>5.574859177</v>
      </c>
      <c r="AA205" t="n">
        <v>3.684147562</v>
      </c>
      <c r="AB205" t="n">
        <v>4.91695</v>
      </c>
      <c r="AC205" t="n">
        <v>10.498483518</v>
      </c>
      <c r="AD205" t="n">
        <v>-0.140835172</v>
      </c>
      <c r="AE205" t="n">
        <v>3.859180418</v>
      </c>
      <c r="AF205" t="n">
        <v>3.098483246</v>
      </c>
      <c r="AG205" t="n">
        <v>-1.727316167</v>
      </c>
      <c r="AH205" t="n">
        <v>-3.189063545</v>
      </c>
      <c r="AI205" t="n">
        <v>4.616145437</v>
      </c>
      <c r="AJ205" t="n">
        <v>12.374614136</v>
      </c>
      <c r="AK205" t="n">
        <v>7.80656381</v>
      </c>
      <c r="AL205" t="n">
        <v>5.224915944</v>
      </c>
      <c r="AM205" t="n">
        <v>4.772067611</v>
      </c>
      <c r="AN205" t="n">
        <v>1.0117208</v>
      </c>
      <c r="AO205" t="n">
        <v>3.610182418</v>
      </c>
      <c r="AP205" t="n">
        <v>5.564814147</v>
      </c>
      <c r="AQ205" t="n">
        <v>4.398434698</v>
      </c>
      <c r="AS205" t="n">
        <v>4.441549263</v>
      </c>
      <c r="AT205" t="n">
        <v>4.26402981</v>
      </c>
      <c r="AU205" t="n">
        <v>4.426320255</v>
      </c>
      <c r="AW205" t="n">
        <v>4.855005883</v>
      </c>
      <c r="AX205" t="n">
        <v>1.006025756</v>
      </c>
    </row>
    <row r="206">
      <c r="A206" t="inlineStr">
        <is>
          <t>1998-Q2</t>
        </is>
      </c>
      <c r="B206" s="87" t="n">
        <v>35977</v>
      </c>
      <c r="C206" t="n">
        <v>6.486822435</v>
      </c>
      <c r="D206" t="n">
        <v>3.196665127</v>
      </c>
      <c r="E206" t="n">
        <v>4.145853434</v>
      </c>
      <c r="F206" t="n">
        <v>2.045164039</v>
      </c>
      <c r="G206" t="n">
        <v>1.714828263</v>
      </c>
      <c r="H206" t="n">
        <v>3.661507904</v>
      </c>
      <c r="I206" t="n">
        <v>3.934246404</v>
      </c>
      <c r="J206" t="n">
        <v>7.060494104</v>
      </c>
      <c r="K206" t="n">
        <v>6.9</v>
      </c>
      <c r="L206" t="n">
        <v>-0.623731779</v>
      </c>
      <c r="M206" t="n">
        <v>1.568821144</v>
      </c>
      <c r="N206" t="n">
        <v>0.443072991</v>
      </c>
      <c r="O206" t="n">
        <v>3.053119333</v>
      </c>
      <c r="P206" t="n">
        <v>3.046905935</v>
      </c>
      <c r="Q206" t="n">
        <v>4.651064482</v>
      </c>
      <c r="R206" t="n">
        <v>6.173124682</v>
      </c>
      <c r="S206" t="n">
        <v>3.029311512</v>
      </c>
      <c r="U206" t="n">
        <v>6.715898753</v>
      </c>
      <c r="V206" t="n">
        <v>3.802896913</v>
      </c>
      <c r="W206" t="n">
        <v>2.65572571</v>
      </c>
      <c r="Y206" t="n">
        <v>3.565793971</v>
      </c>
      <c r="Z206" t="n">
        <v>4.254539266</v>
      </c>
      <c r="AA206" t="n">
        <v>4.149026204</v>
      </c>
      <c r="AB206" t="n">
        <v>5.85828</v>
      </c>
      <c r="AC206" t="n">
        <v>8.446234102</v>
      </c>
      <c r="AD206" t="n">
        <v>9.191753555</v>
      </c>
      <c r="AE206" t="n">
        <v>3.241506626</v>
      </c>
      <c r="AF206" t="n">
        <v>2.32191474</v>
      </c>
      <c r="AG206" t="n">
        <v>-1.423045319</v>
      </c>
      <c r="AH206" t="n">
        <v>-7.263875197</v>
      </c>
      <c r="AI206" t="n">
        <v>6.99470896</v>
      </c>
      <c r="AJ206" t="n">
        <v>7.431827197</v>
      </c>
      <c r="AK206" t="n">
        <v>6.153293755</v>
      </c>
      <c r="AL206" t="n">
        <v>4.885897594</v>
      </c>
      <c r="AM206" t="n">
        <v>3.457070417</v>
      </c>
      <c r="AN206" t="n">
        <v>-0.414629264</v>
      </c>
      <c r="AO206" t="n">
        <v>2.761858574</v>
      </c>
      <c r="AP206" t="n">
        <v>4.135669171</v>
      </c>
      <c r="AQ206" t="n">
        <v>5.047223434</v>
      </c>
      <c r="AS206" t="n">
        <v>2.915998789</v>
      </c>
      <c r="AT206" t="n">
        <v>2.588353267</v>
      </c>
      <c r="AU206" t="n">
        <v>4.609441191</v>
      </c>
      <c r="AW206" t="n">
        <v>4.095726841</v>
      </c>
      <c r="AX206" t="n">
        <v>0.518211659</v>
      </c>
    </row>
    <row r="207">
      <c r="A207" t="inlineStr">
        <is>
          <t>1998-Q3</t>
        </is>
      </c>
      <c r="B207" s="87" t="n">
        <v>36069</v>
      </c>
      <c r="C207" t="n">
        <v>3.555725661</v>
      </c>
      <c r="D207" t="n">
        <v>5.027178463</v>
      </c>
      <c r="E207" t="n">
        <v>3.627092054</v>
      </c>
      <c r="F207" t="n">
        <v>1.449198849</v>
      </c>
      <c r="G207" t="n">
        <v>0.5522713299999999</v>
      </c>
      <c r="H207" t="n">
        <v>3.381592962</v>
      </c>
      <c r="I207" t="n">
        <v>2.815476932</v>
      </c>
      <c r="J207" t="n">
        <v>3.992208516</v>
      </c>
      <c r="K207" t="n">
        <v>7.8</v>
      </c>
      <c r="L207" t="n">
        <v>-0.008012004</v>
      </c>
      <c r="M207" t="n">
        <v>1.740657421</v>
      </c>
      <c r="N207" t="n">
        <v>2.578105832</v>
      </c>
      <c r="O207" t="n">
        <v>2.836067963</v>
      </c>
      <c r="P207" t="n">
        <v>2.833465243</v>
      </c>
      <c r="Q207" t="n">
        <v>4.397366071</v>
      </c>
      <c r="R207" t="n">
        <v>3.283423981</v>
      </c>
      <c r="S207" t="n">
        <v>2.879485019</v>
      </c>
      <c r="U207" t="n">
        <v>5.567899621</v>
      </c>
      <c r="V207" t="n">
        <v>3.453476914</v>
      </c>
      <c r="W207" t="n">
        <v>2.557205999</v>
      </c>
      <c r="Y207" t="n">
        <v>2.916229842</v>
      </c>
      <c r="Z207" t="n">
        <v>2.975993538</v>
      </c>
      <c r="AA207" t="n">
        <v>4.20163489</v>
      </c>
      <c r="AB207" t="n">
        <v>6.50887</v>
      </c>
      <c r="AC207" t="n">
        <v>10.634847373</v>
      </c>
      <c r="AD207" t="n">
        <v>9.970031035</v>
      </c>
      <c r="AE207" t="n">
        <v>4.21387836</v>
      </c>
      <c r="AF207" t="n">
        <v>1.758668077</v>
      </c>
      <c r="AG207" t="n">
        <v>-1.438761899</v>
      </c>
      <c r="AH207" t="n">
        <v>-6.384827184</v>
      </c>
      <c r="AI207" t="n">
        <v>7.750321853</v>
      </c>
      <c r="AJ207" t="n">
        <v>4.538554948</v>
      </c>
      <c r="AK207" t="n">
        <v>4.704005674</v>
      </c>
      <c r="AL207" t="n">
        <v>4.266446114</v>
      </c>
      <c r="AM207" t="n">
        <v>1.701955104</v>
      </c>
      <c r="AN207" t="n">
        <v>-0.080252221</v>
      </c>
      <c r="AO207" t="n">
        <v>2.534751735</v>
      </c>
      <c r="AP207" t="n">
        <v>4.732973897</v>
      </c>
      <c r="AQ207" t="n">
        <v>4.847647587</v>
      </c>
      <c r="AS207" t="n">
        <v>0.386409185</v>
      </c>
      <c r="AT207" t="n">
        <v>2.505325287</v>
      </c>
      <c r="AU207" t="n">
        <v>4.393175331</v>
      </c>
      <c r="AW207" t="n">
        <v>4.097768623</v>
      </c>
      <c r="AX207" t="n">
        <v>0.198422096</v>
      </c>
    </row>
    <row r="208">
      <c r="A208" t="inlineStr">
        <is>
          <t>1998-Q4</t>
        </is>
      </c>
      <c r="B208" s="87" t="n">
        <v>36161</v>
      </c>
      <c r="C208" t="n">
        <v>-0.429833848</v>
      </c>
      <c r="D208" t="n">
        <v>5.089680919</v>
      </c>
      <c r="E208" t="n">
        <v>2.986020975</v>
      </c>
      <c r="F208" t="n">
        <v>1.113036174</v>
      </c>
      <c r="G208" t="n">
        <v>-1.465258332</v>
      </c>
      <c r="H208" t="n">
        <v>3.783318734</v>
      </c>
      <c r="I208" t="n">
        <v>1.936121935</v>
      </c>
      <c r="J208" t="n">
        <v>-1.471066787</v>
      </c>
      <c r="K208" t="n">
        <v>9.1</v>
      </c>
      <c r="L208" t="n">
        <v>0.368199446</v>
      </c>
      <c r="M208" t="n">
        <v>0.5633512470000001</v>
      </c>
      <c r="N208" t="n">
        <v>2.921187732</v>
      </c>
      <c r="O208" t="n">
        <v>1.822346221</v>
      </c>
      <c r="P208" t="n">
        <v>1.826014472</v>
      </c>
      <c r="Q208" t="n">
        <v>4.109377334</v>
      </c>
      <c r="R208" t="n">
        <v>-1.676424381</v>
      </c>
      <c r="S208" t="n">
        <v>1.918482523</v>
      </c>
      <c r="U208" t="n">
        <v>3.455893555</v>
      </c>
      <c r="V208" t="n">
        <v>3.10279706</v>
      </c>
      <c r="W208" t="n">
        <v>2.683819614</v>
      </c>
      <c r="Y208" t="n">
        <v>2.074699876</v>
      </c>
      <c r="Z208" t="n">
        <v>2.807237979</v>
      </c>
      <c r="AA208" t="n">
        <v>3.383119528</v>
      </c>
      <c r="AB208" t="n">
        <v>6.20471</v>
      </c>
      <c r="AC208" t="n">
        <v>6.223826843</v>
      </c>
      <c r="AD208" t="n">
        <v>10.353641782</v>
      </c>
      <c r="AE208" t="n">
        <v>3.106526045</v>
      </c>
      <c r="AF208" t="n">
        <v>-0.586998336</v>
      </c>
      <c r="AG208" t="n">
        <v>-0.681037274</v>
      </c>
      <c r="AH208" t="n">
        <v>-3.60860654</v>
      </c>
      <c r="AI208" t="n">
        <v>7.213415327</v>
      </c>
      <c r="AJ208" t="n">
        <v>1.522830659</v>
      </c>
      <c r="AK208" t="n">
        <v>2.307016255</v>
      </c>
      <c r="AL208" t="n">
        <v>3.887741933</v>
      </c>
      <c r="AM208" t="n">
        <v>0.793568524</v>
      </c>
      <c r="AN208" t="n">
        <v>1.09391599</v>
      </c>
      <c r="AO208" t="n">
        <v>2.431390826</v>
      </c>
      <c r="AP208" t="n">
        <v>3.274663396</v>
      </c>
      <c r="AQ208" t="n">
        <v>4.931888145</v>
      </c>
      <c r="AS208" t="n">
        <v>8.577073991000001</v>
      </c>
      <c r="AT208" t="n">
        <v>2.935144492</v>
      </c>
      <c r="AU208" t="n">
        <v>3.509252452</v>
      </c>
      <c r="AW208" t="n">
        <v>4.879540776</v>
      </c>
      <c r="AX208" t="n">
        <v>0.281043355</v>
      </c>
    </row>
    <row r="209">
      <c r="A209" t="inlineStr">
        <is>
          <t>1999-Q1</t>
        </is>
      </c>
      <c r="B209" s="87" t="n">
        <v>36251</v>
      </c>
      <c r="C209" t="n">
        <v>-2.176492064</v>
      </c>
      <c r="D209" t="n">
        <v>5.173393767</v>
      </c>
      <c r="E209" t="n">
        <v>2.763456226</v>
      </c>
      <c r="F209" t="n">
        <v>1.904799309</v>
      </c>
      <c r="G209" t="n">
        <v>0.680733888</v>
      </c>
      <c r="H209" t="n">
        <v>4.194104167</v>
      </c>
      <c r="I209" t="n">
        <v>1.081330084</v>
      </c>
      <c r="J209" t="n">
        <v>-2.237506971</v>
      </c>
      <c r="K209" t="n">
        <v>8.9</v>
      </c>
      <c r="L209" t="n">
        <v>0.394784701</v>
      </c>
      <c r="M209" t="n">
        <v>0.7782643420000001</v>
      </c>
      <c r="N209" t="n">
        <v>2.31105754</v>
      </c>
      <c r="O209" t="n">
        <v>2.292115854</v>
      </c>
      <c r="P209" t="n">
        <v>2.283028242</v>
      </c>
      <c r="Q209" t="n">
        <v>4.235349388</v>
      </c>
      <c r="R209" t="n">
        <v>-3.214108018</v>
      </c>
      <c r="S209" t="n">
        <v>2.199200992</v>
      </c>
      <c r="U209" t="n">
        <v>5.934262693</v>
      </c>
      <c r="V209" t="n">
        <v>2.787794006</v>
      </c>
      <c r="W209" t="n">
        <v>2.776753728</v>
      </c>
      <c r="Y209" t="n">
        <v>2.193432972</v>
      </c>
      <c r="Z209" t="n">
        <v>2.361704355</v>
      </c>
      <c r="AA209" t="n">
        <v>2.513590725</v>
      </c>
      <c r="AB209" t="n">
        <v>6.19852</v>
      </c>
      <c r="AC209" t="n">
        <v>9.714359444999999</v>
      </c>
      <c r="AD209" t="n">
        <v>12.923416974</v>
      </c>
      <c r="AE209" t="n">
        <v>0.84116252</v>
      </c>
      <c r="AF209" t="n">
        <v>0.860990526</v>
      </c>
      <c r="AG209" t="n">
        <v>-0.84352703</v>
      </c>
      <c r="AH209" t="n">
        <v>6.583397539</v>
      </c>
      <c r="AI209" t="n">
        <v>8.987914550999999</v>
      </c>
      <c r="AJ209" t="n">
        <v>-0.634735647</v>
      </c>
      <c r="AK209" t="n">
        <v>2.400516719</v>
      </c>
      <c r="AL209" t="n">
        <v>4.213417</v>
      </c>
      <c r="AM209" t="n">
        <v>0.680844129</v>
      </c>
      <c r="AN209" t="n">
        <v>2.811372492</v>
      </c>
      <c r="AO209" t="n">
        <v>2.677479082</v>
      </c>
      <c r="AP209" t="n">
        <v>2.100122588</v>
      </c>
      <c r="AQ209" t="n">
        <v>4.809349106</v>
      </c>
      <c r="AS209" t="n">
        <v>3.103235757</v>
      </c>
      <c r="AT209" t="n">
        <v>4.165208715</v>
      </c>
      <c r="AU209" t="n">
        <v>4.225778505</v>
      </c>
      <c r="AV209" t="n">
        <v>-4.090021275</v>
      </c>
      <c r="AW209" t="n">
        <v>4.821857932</v>
      </c>
      <c r="AX209" t="n">
        <v>0.979536196</v>
      </c>
    </row>
    <row r="210">
      <c r="A210" t="inlineStr">
        <is>
          <t>1999-Q2</t>
        </is>
      </c>
      <c r="B210" s="87" t="n">
        <v>36342</v>
      </c>
      <c r="C210" t="n">
        <v>-5.140582449</v>
      </c>
      <c r="D210" t="n">
        <v>4.54159853</v>
      </c>
      <c r="E210" t="n">
        <v>3.097523584</v>
      </c>
      <c r="F210" t="n">
        <v>2.956680585</v>
      </c>
      <c r="G210" t="n">
        <v>-0.519589322</v>
      </c>
      <c r="H210" t="n">
        <v>5.009661214</v>
      </c>
      <c r="I210" t="n">
        <v>0.546258501</v>
      </c>
      <c r="J210" t="n">
        <v>-3.605962725</v>
      </c>
      <c r="K210" t="n">
        <v>7.9</v>
      </c>
      <c r="L210" t="n">
        <v>0.581592022</v>
      </c>
      <c r="M210" t="n">
        <v>1.217638475</v>
      </c>
      <c r="N210" t="n">
        <v>3.621945401</v>
      </c>
      <c r="O210" t="n">
        <v>2.304707508</v>
      </c>
      <c r="P210" t="n">
        <v>2.299226081</v>
      </c>
      <c r="Q210" t="n">
        <v>4.295401643</v>
      </c>
      <c r="R210" t="n">
        <v>-1.809840214</v>
      </c>
      <c r="S210" t="n">
        <v>2.344098173</v>
      </c>
      <c r="U210" t="n">
        <v>4.390231672</v>
      </c>
      <c r="V210" t="n">
        <v>2.632532848</v>
      </c>
      <c r="W210" t="n">
        <v>2.92265916</v>
      </c>
      <c r="Y210" t="n">
        <v>2.063279175</v>
      </c>
      <c r="Z210" t="n">
        <v>2.86197618</v>
      </c>
      <c r="AA210" t="n">
        <v>2.084046681</v>
      </c>
      <c r="AB210" t="n">
        <v>7.53136</v>
      </c>
      <c r="AC210" t="n">
        <v>8.163974632</v>
      </c>
      <c r="AD210" t="n">
        <v>0.274471254</v>
      </c>
      <c r="AE210" t="n">
        <v>4.939646591</v>
      </c>
      <c r="AF210" t="n">
        <v>0.622520045</v>
      </c>
      <c r="AG210" t="n">
        <v>-0.027253193</v>
      </c>
      <c r="AH210" t="n">
        <v>12.161310752</v>
      </c>
      <c r="AI210" t="n">
        <v>7.563588316</v>
      </c>
      <c r="AJ210" t="n">
        <v>-1.716476452</v>
      </c>
      <c r="AK210" t="n">
        <v>2.272683728</v>
      </c>
      <c r="AL210" t="n">
        <v>4.624423196</v>
      </c>
      <c r="AM210" t="n">
        <v>-0.407643723</v>
      </c>
      <c r="AN210" t="n">
        <v>3.089645667</v>
      </c>
      <c r="AO210" t="n">
        <v>2.958654297</v>
      </c>
      <c r="AP210" t="n">
        <v>4.224105007</v>
      </c>
      <c r="AQ210" t="n">
        <v>3.76305499</v>
      </c>
      <c r="AS210" t="n">
        <v>1.343719191</v>
      </c>
      <c r="AT210" t="n">
        <v>7.645031414</v>
      </c>
      <c r="AU210" t="n">
        <v>3.539399864</v>
      </c>
      <c r="AV210" t="n">
        <v>-3.864923672</v>
      </c>
      <c r="AW210" t="n">
        <v>4.727531513</v>
      </c>
      <c r="AX210" t="n">
        <v>1.639478496</v>
      </c>
    </row>
    <row r="211">
      <c r="A211" t="inlineStr">
        <is>
          <t>1999-Q3</t>
        </is>
      </c>
      <c r="B211" s="87" t="n">
        <v>36434</v>
      </c>
      <c r="C211" t="n">
        <v>-5.124917266</v>
      </c>
      <c r="D211" t="n">
        <v>3.776599325</v>
      </c>
      <c r="E211" t="n">
        <v>4.04784052</v>
      </c>
      <c r="F211" t="n">
        <v>4.147585346</v>
      </c>
      <c r="G211" t="n">
        <v>-0.332218725</v>
      </c>
      <c r="H211" t="n">
        <v>5.690714411</v>
      </c>
      <c r="I211" t="n">
        <v>1.19046361</v>
      </c>
      <c r="J211" t="n">
        <v>-0.906906034</v>
      </c>
      <c r="K211" t="n">
        <v>7.6</v>
      </c>
      <c r="L211" t="n">
        <v>1.470524326</v>
      </c>
      <c r="M211" t="n">
        <v>1.868955232</v>
      </c>
      <c r="N211" t="n">
        <v>2.381316969</v>
      </c>
      <c r="O211" t="n">
        <v>2.848304673</v>
      </c>
      <c r="P211" t="n">
        <v>2.832718624</v>
      </c>
      <c r="Q211" t="n">
        <v>4.692830204</v>
      </c>
      <c r="R211" t="n">
        <v>-0.6961439780000001</v>
      </c>
      <c r="S211" t="n">
        <v>2.941571274</v>
      </c>
      <c r="U211" t="n">
        <v>3.644917667</v>
      </c>
      <c r="V211" t="n">
        <v>3.521312521</v>
      </c>
      <c r="W211" t="n">
        <v>3.341166811</v>
      </c>
      <c r="Y211" t="n">
        <v>3.467173459</v>
      </c>
      <c r="Z211" t="n">
        <v>2.896443297</v>
      </c>
      <c r="AA211" t="n">
        <v>3.043154706</v>
      </c>
      <c r="AB211" t="n">
        <v>6.92997</v>
      </c>
      <c r="AC211" t="n">
        <v>8.501200568</v>
      </c>
      <c r="AD211" t="n">
        <v>1.363370683</v>
      </c>
      <c r="AE211" t="n">
        <v>4.304347689</v>
      </c>
      <c r="AF211" t="n">
        <v>1.371027357</v>
      </c>
      <c r="AG211" t="n">
        <v>0.325235796</v>
      </c>
      <c r="AH211" t="n">
        <v>13.301165229</v>
      </c>
      <c r="AI211" t="n">
        <v>8.647590941000001</v>
      </c>
      <c r="AJ211" t="n">
        <v>2.789672428</v>
      </c>
      <c r="AK211" t="n">
        <v>2.740043253</v>
      </c>
      <c r="AL211" t="n">
        <v>5.167646605</v>
      </c>
      <c r="AM211" t="n">
        <v>3.515458995</v>
      </c>
      <c r="AN211" t="n">
        <v>5.851643623</v>
      </c>
      <c r="AO211" t="n">
        <v>3.450882137</v>
      </c>
      <c r="AP211" t="n">
        <v>5.2988413</v>
      </c>
      <c r="AQ211" t="n">
        <v>3.631586651</v>
      </c>
      <c r="AS211" t="n">
        <v>1.557485874</v>
      </c>
      <c r="AT211" t="n">
        <v>3.973373641</v>
      </c>
      <c r="AU211" t="n">
        <v>3.797150052</v>
      </c>
      <c r="AV211" t="n">
        <v>-4.137498025</v>
      </c>
      <c r="AW211" t="n">
        <v>4.800205237</v>
      </c>
      <c r="AX211" t="n">
        <v>2.974826457</v>
      </c>
    </row>
    <row r="212">
      <c r="A212" t="inlineStr">
        <is>
          <t>1999-Q4</t>
        </is>
      </c>
      <c r="B212" s="87" t="n">
        <v>36526</v>
      </c>
      <c r="C212" t="n">
        <v>-1.014421187</v>
      </c>
      <c r="D212" t="n">
        <v>3.962759275</v>
      </c>
      <c r="E212" t="n">
        <v>3.961752626</v>
      </c>
      <c r="F212" t="n">
        <v>5.145646191</v>
      </c>
      <c r="G212" t="n">
        <v>2.062960345</v>
      </c>
      <c r="H212" t="n">
        <v>5.738706566</v>
      </c>
      <c r="I212" t="n">
        <v>3.763169353</v>
      </c>
      <c r="J212" t="n">
        <v>5.105253427</v>
      </c>
      <c r="K212" t="n">
        <v>6.7</v>
      </c>
      <c r="L212" t="n">
        <v>2.545411609</v>
      </c>
      <c r="M212" t="n">
        <v>3.121464882</v>
      </c>
      <c r="N212" t="n">
        <v>3.481498563</v>
      </c>
      <c r="O212" t="n">
        <v>3.903754259</v>
      </c>
      <c r="P212" t="n">
        <v>3.881198251</v>
      </c>
      <c r="Q212" t="n">
        <v>4.72948232</v>
      </c>
      <c r="R212" t="n">
        <v>3.765004339</v>
      </c>
      <c r="S212" t="n">
        <v>3.942341829</v>
      </c>
      <c r="U212" t="n">
        <v>3.610436149</v>
      </c>
      <c r="V212" t="n">
        <v>4.180244809</v>
      </c>
      <c r="W212" t="n">
        <v>3.627361437</v>
      </c>
      <c r="Y212" t="n">
        <v>4.314615912</v>
      </c>
      <c r="Z212" t="n">
        <v>3.724339464</v>
      </c>
      <c r="AA212" t="n">
        <v>4.201612204</v>
      </c>
      <c r="AB212" t="n">
        <v>7.28888</v>
      </c>
      <c r="AC212" t="n">
        <v>13.758174993</v>
      </c>
      <c r="AD212" t="n">
        <v>2.429054901</v>
      </c>
      <c r="AE212" t="n">
        <v>5.383949044</v>
      </c>
      <c r="AF212" t="n">
        <v>3.420677311</v>
      </c>
      <c r="AG212" t="n">
        <v>-0.435192799</v>
      </c>
      <c r="AH212" t="n">
        <v>13.732506182</v>
      </c>
      <c r="AI212" t="n">
        <v>7.541269504</v>
      </c>
      <c r="AJ212" t="n">
        <v>9.020325613000001</v>
      </c>
      <c r="AK212" t="n">
        <v>3.544357285</v>
      </c>
      <c r="AL212" t="n">
        <v>5.68013208</v>
      </c>
      <c r="AM212" t="n">
        <v>4.766366735</v>
      </c>
      <c r="AN212" t="n">
        <v>6.083499006</v>
      </c>
      <c r="AO212" t="n">
        <v>3.942006866</v>
      </c>
      <c r="AP212" t="n">
        <v>6.529397443</v>
      </c>
      <c r="AQ212" t="n">
        <v>3.447603511</v>
      </c>
      <c r="AS212" t="n">
        <v>-6.019178642</v>
      </c>
      <c r="AT212" t="n">
        <v>5.063673966</v>
      </c>
      <c r="AU212" t="n">
        <v>4.475186853</v>
      </c>
      <c r="AV212" t="n">
        <v>-1.017626507</v>
      </c>
      <c r="AW212" t="n">
        <v>4.82762665</v>
      </c>
      <c r="AX212" t="n">
        <v>4.007388325</v>
      </c>
    </row>
    <row r="213">
      <c r="A213" t="inlineStr">
        <is>
          <t>2000-Q1</t>
        </is>
      </c>
      <c r="B213" s="87" t="n">
        <v>36617</v>
      </c>
      <c r="C213" t="n">
        <v>-0.106447324</v>
      </c>
      <c r="D213" t="n">
        <v>3.623974143</v>
      </c>
      <c r="E213" t="n">
        <v>4.252652192</v>
      </c>
      <c r="F213" t="n">
        <v>4.798242571</v>
      </c>
      <c r="G213" t="n">
        <v>3.004673469</v>
      </c>
      <c r="H213" t="n">
        <v>5.516373336</v>
      </c>
      <c r="I213" t="n">
        <v>4.294717628</v>
      </c>
      <c r="J213" t="n">
        <v>6.077906255</v>
      </c>
      <c r="K213" t="n">
        <v>8.699999999999999</v>
      </c>
      <c r="L213" t="n">
        <v>3.883609758</v>
      </c>
      <c r="M213" t="n">
        <v>3.402726456</v>
      </c>
      <c r="N213" t="n">
        <v>3.552324637</v>
      </c>
      <c r="O213" t="n">
        <v>4.039084648</v>
      </c>
      <c r="P213" t="n">
        <v>4.037973086</v>
      </c>
      <c r="Q213" t="n">
        <v>5.353171143</v>
      </c>
      <c r="R213" t="n">
        <v>8.528628484</v>
      </c>
      <c r="S213" t="n">
        <v>4.150275655</v>
      </c>
      <c r="U213" t="n">
        <v>4.969214053</v>
      </c>
      <c r="V213" t="n">
        <v>4.367552123</v>
      </c>
      <c r="W213" t="n">
        <v>3.961555796</v>
      </c>
      <c r="Y213" t="n">
        <v>4.774235439</v>
      </c>
      <c r="Z213" t="n">
        <v>3.330421774</v>
      </c>
      <c r="AA213" t="n">
        <v>5.158195586</v>
      </c>
      <c r="AB213" t="n">
        <v>7.79075</v>
      </c>
      <c r="AC213" t="n">
        <v>8.682220572</v>
      </c>
      <c r="AD213" t="n">
        <v>2.673583335</v>
      </c>
      <c r="AE213" t="n">
        <v>8.548333167999999</v>
      </c>
      <c r="AF213" t="n">
        <v>3.855542857</v>
      </c>
      <c r="AG213" t="n">
        <v>2.668753665</v>
      </c>
      <c r="AH213" t="n">
        <v>12.474605041</v>
      </c>
      <c r="AI213" t="n">
        <v>10.085298909</v>
      </c>
      <c r="AJ213" t="n">
        <v>6.213559333</v>
      </c>
      <c r="AK213" t="n">
        <v>4.440359023</v>
      </c>
      <c r="AL213" t="n">
        <v>4.59487388</v>
      </c>
      <c r="AM213" t="n">
        <v>5.447794532</v>
      </c>
      <c r="AN213" t="n">
        <v>6.387040624</v>
      </c>
      <c r="AO213" t="n">
        <v>4.318471213</v>
      </c>
      <c r="AP213" t="n">
        <v>6.37778009</v>
      </c>
      <c r="AQ213" t="n">
        <v>4.36261334</v>
      </c>
      <c r="AS213" t="n">
        <v>-1.717131098</v>
      </c>
      <c r="AT213" t="n">
        <v>4.466157548</v>
      </c>
      <c r="AU213" t="n">
        <v>4.035962476</v>
      </c>
      <c r="AV213" t="n">
        <v>2.265206291</v>
      </c>
      <c r="AW213" t="n">
        <v>4.225955859</v>
      </c>
      <c r="AX213" t="n">
        <v>4.221428472</v>
      </c>
    </row>
    <row r="214">
      <c r="A214" t="inlineStr">
        <is>
          <t>2000-Q2</t>
        </is>
      </c>
      <c r="B214" s="87" t="n">
        <v>36708</v>
      </c>
      <c r="C214" t="n">
        <v>-0.59039067</v>
      </c>
      <c r="D214" t="n">
        <v>4.237598326</v>
      </c>
      <c r="E214" t="n">
        <v>3.679809494</v>
      </c>
      <c r="F214" t="n">
        <v>4.127696246</v>
      </c>
      <c r="G214" t="n">
        <v>3.951889904</v>
      </c>
      <c r="H214" t="n">
        <v>5.88475154</v>
      </c>
      <c r="I214" t="n">
        <v>4.158400782</v>
      </c>
      <c r="J214" t="n">
        <v>6.023803239</v>
      </c>
      <c r="K214" t="n">
        <v>9.1</v>
      </c>
      <c r="L214" t="n">
        <v>4.394054816</v>
      </c>
      <c r="M214" t="n">
        <v>4.239593704</v>
      </c>
      <c r="N214" t="n">
        <v>4.193146465</v>
      </c>
      <c r="O214" t="n">
        <v>4.521470831</v>
      </c>
      <c r="P214" t="n">
        <v>4.509833321</v>
      </c>
      <c r="Q214" t="n">
        <v>5.42177424</v>
      </c>
      <c r="R214" t="n">
        <v>10.278857223</v>
      </c>
      <c r="S214" t="n">
        <v>4.57295392</v>
      </c>
      <c r="U214" t="n">
        <v>5.219166567</v>
      </c>
      <c r="V214" t="n">
        <v>4.766263927</v>
      </c>
      <c r="W214" t="n">
        <v>4.648063832</v>
      </c>
      <c r="Y214" t="n">
        <v>5.035943308</v>
      </c>
      <c r="Z214" t="n">
        <v>3.318944495</v>
      </c>
      <c r="AA214" t="n">
        <v>4.97658771</v>
      </c>
      <c r="AB214" t="n">
        <v>5.21917</v>
      </c>
      <c r="AC214" t="n">
        <v>10.290571039</v>
      </c>
      <c r="AD214" t="n">
        <v>6.119431981</v>
      </c>
      <c r="AE214" t="n">
        <v>7.504381661</v>
      </c>
      <c r="AF214" t="n">
        <v>4.342181221</v>
      </c>
      <c r="AG214" t="n">
        <v>2.760484416</v>
      </c>
      <c r="AH214" t="n">
        <v>9.187473677</v>
      </c>
      <c r="AI214" t="n">
        <v>6.348169711</v>
      </c>
      <c r="AJ214" t="n">
        <v>7.653237522</v>
      </c>
      <c r="AK214" t="n">
        <v>5.386303982</v>
      </c>
      <c r="AL214" t="n">
        <v>4.598909197</v>
      </c>
      <c r="AM214" t="n">
        <v>3.869861352</v>
      </c>
      <c r="AN214" t="n">
        <v>5.593003175</v>
      </c>
      <c r="AO214" t="n">
        <v>4.8636783</v>
      </c>
      <c r="AP214" t="n">
        <v>5.344187117</v>
      </c>
      <c r="AQ214" t="n">
        <v>3.271881856</v>
      </c>
      <c r="AS214" t="n">
        <v>0.973708248</v>
      </c>
      <c r="AT214" t="n">
        <v>1.564500983</v>
      </c>
      <c r="AU214" t="n">
        <v>5.948092731</v>
      </c>
      <c r="AV214" t="n">
        <v>6.849094604</v>
      </c>
      <c r="AW214" t="n">
        <v>5.244682769</v>
      </c>
      <c r="AX214" t="n">
        <v>4.349746582</v>
      </c>
    </row>
    <row r="215">
      <c r="A215" t="inlineStr">
        <is>
          <t>2000-Q3</t>
        </is>
      </c>
      <c r="B215" s="87" t="n">
        <v>36800</v>
      </c>
      <c r="C215" t="n">
        <v>-0.557525176</v>
      </c>
      <c r="D215" t="n">
        <v>3.330238401</v>
      </c>
      <c r="E215" t="n">
        <v>2.557419133</v>
      </c>
      <c r="F215" t="n">
        <v>3.112976565</v>
      </c>
      <c r="G215" t="n">
        <v>5.262907179</v>
      </c>
      <c r="H215" t="n">
        <v>5.313760943</v>
      </c>
      <c r="I215" t="n">
        <v>4.49883867</v>
      </c>
      <c r="J215" t="n">
        <v>5.448956977</v>
      </c>
      <c r="K215" t="n">
        <v>8.800000000000001</v>
      </c>
      <c r="L215" t="n">
        <v>4.787302386</v>
      </c>
      <c r="M215" t="n">
        <v>3.036496969</v>
      </c>
      <c r="N215" t="n">
        <v>3.839186166</v>
      </c>
      <c r="O215" t="n">
        <v>3.92548776</v>
      </c>
      <c r="P215" t="n">
        <v>3.923696933</v>
      </c>
      <c r="Q215" t="n">
        <v>5.161392042</v>
      </c>
      <c r="R215" t="n">
        <v>10.499840424</v>
      </c>
      <c r="S215" t="n">
        <v>3.943929567</v>
      </c>
      <c r="U215" t="n">
        <v>6.300021502</v>
      </c>
      <c r="V215" t="n">
        <v>4.103877092</v>
      </c>
      <c r="W215" t="n">
        <v>3.657057633</v>
      </c>
      <c r="Y215" t="n">
        <v>3.826721414</v>
      </c>
      <c r="Z215" t="n">
        <v>4.848009813</v>
      </c>
      <c r="AA215" t="n">
        <v>3.969579794</v>
      </c>
      <c r="AB215" t="n">
        <v>5.30476</v>
      </c>
      <c r="AC215" t="n">
        <v>8.317867133</v>
      </c>
      <c r="AD215" t="n">
        <v>8.484861178999999</v>
      </c>
      <c r="AE215" t="n">
        <v>10.445719907</v>
      </c>
      <c r="AF215" t="n">
        <v>4.065078048</v>
      </c>
      <c r="AG215" t="n">
        <v>2.240585413</v>
      </c>
      <c r="AH215" t="n">
        <v>9.159237157</v>
      </c>
      <c r="AI215" t="n">
        <v>5.176510222</v>
      </c>
      <c r="AJ215" t="n">
        <v>7.167834684</v>
      </c>
      <c r="AK215" t="n">
        <v>5.432077007</v>
      </c>
      <c r="AL215" t="n">
        <v>4.029299506</v>
      </c>
      <c r="AM215" t="n">
        <v>2.760764397</v>
      </c>
      <c r="AN215" t="n">
        <v>3.124491897</v>
      </c>
      <c r="AO215" t="n">
        <v>4.149690001</v>
      </c>
      <c r="AP215" t="n">
        <v>3.615450462</v>
      </c>
      <c r="AQ215" t="n">
        <v>3.767341175</v>
      </c>
      <c r="AS215" t="n">
        <v>2.220671447</v>
      </c>
      <c r="AT215" t="n">
        <v>5.555712814</v>
      </c>
      <c r="AU215" t="n">
        <v>5.995372152</v>
      </c>
      <c r="AV215" t="n">
        <v>10.300768391</v>
      </c>
      <c r="AW215" t="n">
        <v>3.974084496</v>
      </c>
      <c r="AX215" t="n">
        <v>4.244972525</v>
      </c>
    </row>
    <row r="216">
      <c r="A216" t="inlineStr">
        <is>
          <t>2000-Q4</t>
        </is>
      </c>
      <c r="B216" s="87" t="n">
        <v>36892</v>
      </c>
      <c r="C216" t="n">
        <v>-1.893523605</v>
      </c>
      <c r="D216" t="n">
        <v>1.229172541</v>
      </c>
      <c r="E216" t="n">
        <v>3.575622317</v>
      </c>
      <c r="F216" t="n">
        <v>2.902469136</v>
      </c>
      <c r="G216" t="n">
        <v>5.015753602</v>
      </c>
      <c r="H216" t="n">
        <v>4.030670264</v>
      </c>
      <c r="I216" t="n">
        <v>3.361957612</v>
      </c>
      <c r="J216" t="n">
        <v>3.948465311</v>
      </c>
      <c r="K216" t="n">
        <v>7.5</v>
      </c>
      <c r="L216" t="n">
        <v>4.11423943</v>
      </c>
      <c r="M216" t="n">
        <v>1.901339929</v>
      </c>
      <c r="N216" t="n">
        <v>3.408058061</v>
      </c>
      <c r="O216" t="n">
        <v>3.443624354</v>
      </c>
      <c r="P216" t="n">
        <v>3.444461915</v>
      </c>
      <c r="Q216" t="n">
        <v>5.054050989</v>
      </c>
      <c r="R216" t="n">
        <v>10.133563153</v>
      </c>
      <c r="S216" t="n">
        <v>3.412018276</v>
      </c>
      <c r="U216" t="n">
        <v>6.521533141</v>
      </c>
      <c r="V216" t="n">
        <v>3.316217741</v>
      </c>
      <c r="W216" t="n">
        <v>2.998301655</v>
      </c>
      <c r="Y216" t="n">
        <v>2.782263727</v>
      </c>
      <c r="Z216" t="n">
        <v>4.662254616</v>
      </c>
      <c r="AA216" t="n">
        <v>4.687272676</v>
      </c>
      <c r="AB216" t="n">
        <v>3.63806</v>
      </c>
      <c r="AC216" t="n">
        <v>6.988561689</v>
      </c>
      <c r="AD216" t="n">
        <v>2.801802825</v>
      </c>
      <c r="AE216" t="n">
        <v>8.532908121</v>
      </c>
      <c r="AF216" t="n">
        <v>4.105051755</v>
      </c>
      <c r="AG216" t="n">
        <v>3.200983379</v>
      </c>
      <c r="AH216" t="n">
        <v>5.752766405</v>
      </c>
      <c r="AI216" t="n">
        <v>6.228152058</v>
      </c>
      <c r="AJ216" t="n">
        <v>2.474240463</v>
      </c>
      <c r="AK216" t="n">
        <v>3.569108118</v>
      </c>
      <c r="AL216" t="n">
        <v>3.919383045</v>
      </c>
      <c r="AM216" t="n">
        <v>1.054407883</v>
      </c>
      <c r="AN216" t="n">
        <v>2.069500964</v>
      </c>
      <c r="AO216" t="n">
        <v>3.375825509</v>
      </c>
      <c r="AP216" t="n">
        <v>4.00229468</v>
      </c>
      <c r="AQ216" t="n">
        <v>3.865423683</v>
      </c>
      <c r="AS216" t="n">
        <v>3.26784297</v>
      </c>
      <c r="AT216" t="n">
        <v>4.537562329</v>
      </c>
      <c r="AU216" t="n">
        <v>3.718729171</v>
      </c>
      <c r="AV216" t="n">
        <v>8.639856942</v>
      </c>
      <c r="AW216" t="n">
        <v>2.901620472</v>
      </c>
      <c r="AX216" t="n">
        <v>3.988198371</v>
      </c>
    </row>
    <row r="217">
      <c r="A217" t="inlineStr">
        <is>
          <t>2001-Q1</t>
        </is>
      </c>
      <c r="B217" s="87" t="n">
        <v>36982</v>
      </c>
      <c r="C217" t="n">
        <v>-1.397726021</v>
      </c>
      <c r="D217" t="n">
        <v>1.868468384</v>
      </c>
      <c r="E217" t="n">
        <v>2.432290637</v>
      </c>
      <c r="F217" t="n">
        <v>2.233500049</v>
      </c>
      <c r="G217" t="n">
        <v>4.132924451</v>
      </c>
      <c r="H217" t="n">
        <v>2.934982125</v>
      </c>
      <c r="I217" t="n">
        <v>2.543405189</v>
      </c>
      <c r="J217" t="n">
        <v>3.693030467</v>
      </c>
      <c r="K217" t="n">
        <v>9.5</v>
      </c>
      <c r="L217" t="n">
        <v>3.97053253</v>
      </c>
      <c r="M217" t="n">
        <v>2.496367876</v>
      </c>
      <c r="N217" t="n">
        <v>1.297581844</v>
      </c>
      <c r="O217" t="n">
        <v>3.191447717</v>
      </c>
      <c r="P217" t="n">
        <v>3.186910978</v>
      </c>
      <c r="Q217" t="n">
        <v>4.497579621</v>
      </c>
      <c r="R217" t="n">
        <v>7.634575867</v>
      </c>
      <c r="S217" t="n">
        <v>3.125060386</v>
      </c>
      <c r="U217" t="n">
        <v>3.942677064</v>
      </c>
      <c r="V217" t="n">
        <v>2.930191587</v>
      </c>
      <c r="W217" t="n">
        <v>2.435681753</v>
      </c>
      <c r="Y217" t="n">
        <v>2.472440984</v>
      </c>
      <c r="Z217" t="n">
        <v>5.557085016</v>
      </c>
      <c r="AA217" t="n">
        <v>4.472794593</v>
      </c>
      <c r="AB217" t="n">
        <v>2.0557</v>
      </c>
      <c r="AC217" t="n">
        <v>7.645605177</v>
      </c>
      <c r="AD217" t="n">
        <v>3.393298</v>
      </c>
      <c r="AE217" t="n">
        <v>4.94880047</v>
      </c>
      <c r="AF217" t="n">
        <v>3.57261128</v>
      </c>
      <c r="AG217" t="n">
        <v>2.223034933</v>
      </c>
      <c r="AH217" t="n">
        <v>5.057922525</v>
      </c>
      <c r="AI217" t="n">
        <v>2.648294948</v>
      </c>
      <c r="AJ217" t="n">
        <v>3.891520502</v>
      </c>
      <c r="AK217" t="n">
        <v>1.682894256</v>
      </c>
      <c r="AL217" t="n">
        <v>3.38834738</v>
      </c>
      <c r="AM217" t="n">
        <v>0.727720933</v>
      </c>
      <c r="AN217" t="n">
        <v>0.939462712</v>
      </c>
      <c r="AO217" t="n">
        <v>2.600959846</v>
      </c>
      <c r="AP217" t="n">
        <v>2.934614988</v>
      </c>
      <c r="AQ217" t="n">
        <v>1.28655306</v>
      </c>
      <c r="AS217" t="n">
        <v>2.902787467</v>
      </c>
      <c r="AT217" t="n">
        <v>4.68980578</v>
      </c>
      <c r="AU217" t="n">
        <v>3.369444907</v>
      </c>
      <c r="AV217" t="n">
        <v>1.473860968</v>
      </c>
      <c r="AW217" t="n">
        <v>2.195542847</v>
      </c>
      <c r="AX217" t="n">
        <v>3.418422297</v>
      </c>
    </row>
    <row r="218">
      <c r="A218" t="inlineStr">
        <is>
          <t>2001-Q2</t>
        </is>
      </c>
      <c r="B218" s="87" t="n">
        <v>37073</v>
      </c>
      <c r="C218" t="n">
        <v>-0.616979289</v>
      </c>
      <c r="D218" t="n">
        <v>1.763673104</v>
      </c>
      <c r="E218" t="n">
        <v>1.556810031</v>
      </c>
      <c r="F218" t="n">
        <v>1.521366065</v>
      </c>
      <c r="G218" t="n">
        <v>2.384038684</v>
      </c>
      <c r="H218" t="n">
        <v>2.000024935</v>
      </c>
      <c r="I218" t="n">
        <v>2.564344043</v>
      </c>
      <c r="J218" t="n">
        <v>4.465949966</v>
      </c>
      <c r="K218" t="n">
        <v>8.6</v>
      </c>
      <c r="L218" t="n">
        <v>3.226307291</v>
      </c>
      <c r="M218" t="n">
        <v>1.62626796</v>
      </c>
      <c r="N218" t="n">
        <v>0.646322458</v>
      </c>
      <c r="O218" t="n">
        <v>2.344454657</v>
      </c>
      <c r="P218" t="n">
        <v>2.349138757</v>
      </c>
      <c r="Q218" t="n">
        <v>3.968221166</v>
      </c>
      <c r="R218" t="n">
        <v>5.135469654</v>
      </c>
      <c r="S218" t="n">
        <v>2.24471851</v>
      </c>
      <c r="U218" t="n">
        <v>3.271092038</v>
      </c>
      <c r="V218" t="n">
        <v>2.072893669</v>
      </c>
      <c r="W218" t="n">
        <v>1.361661755</v>
      </c>
      <c r="Y218" t="n">
        <v>2.178308529</v>
      </c>
      <c r="Z218" t="n">
        <v>4.317066945</v>
      </c>
      <c r="AA218" t="n">
        <v>4.347743323</v>
      </c>
      <c r="AB218" t="n">
        <v>4.03951</v>
      </c>
      <c r="AC218" t="n">
        <v>6.091368722</v>
      </c>
      <c r="AD218" t="n">
        <v>5.578141468</v>
      </c>
      <c r="AE218" t="n">
        <v>1.476870586</v>
      </c>
      <c r="AF218" t="n">
        <v>2.373673652</v>
      </c>
      <c r="AG218" t="n">
        <v>0.98573735</v>
      </c>
      <c r="AH218" t="n">
        <v>5.023056985</v>
      </c>
      <c r="AI218" t="n">
        <v>2.714056602</v>
      </c>
      <c r="AJ218" t="n">
        <v>8.948395420000001</v>
      </c>
      <c r="AK218" t="n">
        <v>-0.362218059</v>
      </c>
      <c r="AL218" t="n">
        <v>2.763484672</v>
      </c>
      <c r="AM218" t="n">
        <v>2.028877155</v>
      </c>
      <c r="AN218" t="n">
        <v>2.318649433</v>
      </c>
      <c r="AO218" t="n">
        <v>1.47332151</v>
      </c>
      <c r="AP218" t="n">
        <v>1.489371306</v>
      </c>
      <c r="AQ218" t="n">
        <v>2.809783105</v>
      </c>
      <c r="AS218" t="n">
        <v>2.971634789</v>
      </c>
      <c r="AT218" t="n">
        <v>3.364427817</v>
      </c>
      <c r="AU218" t="n">
        <v>0.865951821</v>
      </c>
      <c r="AV218" t="n">
        <v>-7.06006791</v>
      </c>
      <c r="AW218" t="n">
        <v>0.9919329569999999</v>
      </c>
      <c r="AX218" t="n">
        <v>2.987731083</v>
      </c>
    </row>
    <row r="219">
      <c r="A219" t="inlineStr">
        <is>
          <t>2001-Q3</t>
        </is>
      </c>
      <c r="B219" s="87" t="n">
        <v>37165</v>
      </c>
      <c r="C219" t="n">
        <v>-4.991747166</v>
      </c>
      <c r="D219" t="n">
        <v>2.67353357</v>
      </c>
      <c r="E219" t="n">
        <v>1.03884619</v>
      </c>
      <c r="F219" t="n">
        <v>0.860147315</v>
      </c>
      <c r="G219" t="n">
        <v>0.560074718</v>
      </c>
      <c r="H219" t="n">
        <v>0.905883926</v>
      </c>
      <c r="I219" t="n">
        <v>1.565251176</v>
      </c>
      <c r="J219" t="n">
        <v>2.623634613</v>
      </c>
      <c r="K219" t="n">
        <v>8</v>
      </c>
      <c r="L219" t="n">
        <v>2.343112374</v>
      </c>
      <c r="M219" t="n">
        <v>1.461672775</v>
      </c>
      <c r="N219" t="n">
        <v>1.270204581</v>
      </c>
      <c r="O219" t="n">
        <v>1.860785733</v>
      </c>
      <c r="P219" t="n">
        <v>1.865971637</v>
      </c>
      <c r="Q219" t="n">
        <v>3.815871372</v>
      </c>
      <c r="R219" t="n">
        <v>5.998786658</v>
      </c>
      <c r="S219" t="n">
        <v>1.872392254</v>
      </c>
      <c r="U219" t="n">
        <v>2.321661348</v>
      </c>
      <c r="V219" t="n">
        <v>1.874211959</v>
      </c>
      <c r="W219" t="n">
        <v>0.794180576</v>
      </c>
      <c r="Y219" t="n">
        <v>2.127560521</v>
      </c>
      <c r="Z219" t="n">
        <v>4.064341291</v>
      </c>
      <c r="AA219" t="n">
        <v>4.338950154</v>
      </c>
      <c r="AB219" t="n">
        <v>3.94624</v>
      </c>
      <c r="AC219" t="n">
        <v>3.304937679</v>
      </c>
      <c r="AD219" t="n">
        <v>0.017807682</v>
      </c>
      <c r="AE219" t="n">
        <v>-2.568485166</v>
      </c>
      <c r="AF219" t="n">
        <v>1.426036003</v>
      </c>
      <c r="AG219" t="n">
        <v>-0.13965823</v>
      </c>
      <c r="AH219" t="n">
        <v>3.587655198</v>
      </c>
      <c r="AI219" t="n">
        <v>2.40733446</v>
      </c>
      <c r="AJ219" t="n">
        <v>3.403689868</v>
      </c>
      <c r="AK219" t="n">
        <v>-1.152992458</v>
      </c>
      <c r="AL219" t="n">
        <v>2.099586695</v>
      </c>
      <c r="AM219" t="n">
        <v>2.292790451</v>
      </c>
      <c r="AN219" t="n">
        <v>2.693469978</v>
      </c>
      <c r="AO219" t="n">
        <v>0.905431533</v>
      </c>
      <c r="AP219" t="n">
        <v>1.65647635</v>
      </c>
      <c r="AQ219" t="n">
        <v>1.473782928</v>
      </c>
      <c r="AS219" t="n">
        <v>2.74074255</v>
      </c>
      <c r="AT219" t="n">
        <v>2.827142805</v>
      </c>
      <c r="AU219" t="n">
        <v>0.476445785</v>
      </c>
      <c r="AV219" t="n">
        <v>-7.277589154</v>
      </c>
      <c r="AW219" t="n">
        <v>0.487352367</v>
      </c>
      <c r="AX219" t="n">
        <v>2.248753055</v>
      </c>
    </row>
    <row r="220">
      <c r="A220" t="inlineStr">
        <is>
          <t>2001-Q4</t>
        </is>
      </c>
      <c r="B220" s="87" t="n">
        <v>37257</v>
      </c>
      <c r="C220" t="n">
        <v>-10.676443041</v>
      </c>
      <c r="D220" t="n">
        <v>4.310213339</v>
      </c>
      <c r="E220" t="n">
        <v>0.124182306</v>
      </c>
      <c r="F220" t="n">
        <v>-0.215954218</v>
      </c>
      <c r="G220" t="n">
        <v>-1.0437454</v>
      </c>
      <c r="H220" t="n">
        <v>1.346715383</v>
      </c>
      <c r="I220" t="n">
        <v>-0.07925878</v>
      </c>
      <c r="J220" t="n">
        <v>2.066740092</v>
      </c>
      <c r="K220" t="n">
        <v>7.5</v>
      </c>
      <c r="L220" t="n">
        <v>2.613210078</v>
      </c>
      <c r="M220" t="n">
        <v>1.679252897</v>
      </c>
      <c r="N220" t="n">
        <v>0.09178534200000001</v>
      </c>
      <c r="O220" t="n">
        <v>1.276245162</v>
      </c>
      <c r="P220" t="n">
        <v>1.283475793</v>
      </c>
      <c r="Q220" t="n">
        <v>3.468421266</v>
      </c>
      <c r="R220" t="n">
        <v>5.187264671</v>
      </c>
      <c r="S220" t="n">
        <v>1.301124566</v>
      </c>
      <c r="U220" t="n">
        <v>0.960704517</v>
      </c>
      <c r="V220" t="n">
        <v>0.872722073</v>
      </c>
      <c r="W220" t="n">
        <v>0.259211696</v>
      </c>
      <c r="Y220" t="n">
        <v>1.856437757</v>
      </c>
      <c r="Z220" t="n">
        <v>2.880212644</v>
      </c>
      <c r="AA220" t="n">
        <v>3.190416842</v>
      </c>
      <c r="AB220" t="n">
        <v>6.2882</v>
      </c>
      <c r="AC220" t="n">
        <v>4.161324851</v>
      </c>
      <c r="AD220" t="n">
        <v>7.120631669</v>
      </c>
      <c r="AE220" t="n">
        <v>-2.949407404</v>
      </c>
      <c r="AF220" t="n">
        <v>-0.273595415</v>
      </c>
      <c r="AG220" t="n">
        <v>-1.443137136</v>
      </c>
      <c r="AH220" t="n">
        <v>5.756611965</v>
      </c>
      <c r="AI220" t="n">
        <v>4.473013311</v>
      </c>
      <c r="AJ220" t="n">
        <v>8.132862557999999</v>
      </c>
      <c r="AK220" t="n">
        <v>-0.9260555660000001</v>
      </c>
      <c r="AL220" t="n">
        <v>1.114656486</v>
      </c>
      <c r="AM220" t="n">
        <v>3.145174844</v>
      </c>
      <c r="AN220" t="n">
        <v>4.023606557</v>
      </c>
      <c r="AO220" t="n">
        <v>0.486237928</v>
      </c>
      <c r="AP220" t="n">
        <v>-0.170340741</v>
      </c>
      <c r="AQ220" t="n">
        <v>2.209251062</v>
      </c>
      <c r="AS220" t="n">
        <v>4.386319843</v>
      </c>
      <c r="AT220" t="n">
        <v>3.161397607</v>
      </c>
      <c r="AU220" t="n">
        <v>1.597556326</v>
      </c>
      <c r="AV220" t="n">
        <v>-10.129126144</v>
      </c>
      <c r="AW220" t="n">
        <v>0.170642236</v>
      </c>
      <c r="AX220" t="n">
        <v>2.165989875</v>
      </c>
    </row>
    <row r="221">
      <c r="A221" t="inlineStr">
        <is>
          <t>2002-Q1</t>
        </is>
      </c>
      <c r="B221" s="87" t="n">
        <v>37347</v>
      </c>
      <c r="C221" t="n">
        <v>-15.219743824</v>
      </c>
      <c r="D221" t="n">
        <v>4.017905491</v>
      </c>
      <c r="E221" t="n">
        <v>1.331624024</v>
      </c>
      <c r="F221" t="n">
        <v>0.585145927</v>
      </c>
      <c r="G221" t="n">
        <v>1.226503025</v>
      </c>
      <c r="H221" t="n">
        <v>2.309048819</v>
      </c>
      <c r="I221" t="n">
        <v>0.11934196</v>
      </c>
      <c r="J221" t="n">
        <v>2.209362343</v>
      </c>
      <c r="K221" t="n">
        <v>8.9</v>
      </c>
      <c r="L221" t="n">
        <v>1.211199164</v>
      </c>
      <c r="M221" t="n">
        <v>-0.847656219</v>
      </c>
      <c r="N221" t="n">
        <v>1.156465893</v>
      </c>
      <c r="O221" t="n">
        <v>0.418126523</v>
      </c>
      <c r="P221" t="n">
        <v>0.432781632</v>
      </c>
      <c r="Q221" t="n">
        <v>2.817271194</v>
      </c>
      <c r="R221" t="n">
        <v>4.413933064</v>
      </c>
      <c r="S221" t="n">
        <v>0.573251401</v>
      </c>
      <c r="U221" t="n">
        <v>1.126430168</v>
      </c>
      <c r="V221" t="n">
        <v>0.953936081</v>
      </c>
      <c r="W221" t="n">
        <v>0.432053912</v>
      </c>
      <c r="Y221" t="n">
        <v>1.342345197</v>
      </c>
      <c r="Z221" t="n">
        <v>2.452555275</v>
      </c>
      <c r="AA221" t="n">
        <v>4.800645704</v>
      </c>
      <c r="AB221" t="n">
        <v>6.56987</v>
      </c>
      <c r="AC221" t="n">
        <v>4.566747752</v>
      </c>
      <c r="AD221" t="n">
        <v>0.439576629</v>
      </c>
      <c r="AE221" t="n">
        <v>-1.508982813</v>
      </c>
      <c r="AF221" t="n">
        <v>-0.69972419</v>
      </c>
      <c r="AG221" t="n">
        <v>-1.999986546</v>
      </c>
      <c r="AH221" t="n">
        <v>7.134576542</v>
      </c>
      <c r="AI221" t="n">
        <v>3.226006935</v>
      </c>
      <c r="AJ221" t="n">
        <v>5.700788948</v>
      </c>
      <c r="AK221" t="n">
        <v>-1.618924337</v>
      </c>
      <c r="AL221" t="n">
        <v>0.388732546</v>
      </c>
      <c r="AM221" t="n">
        <v>1.022359641</v>
      </c>
      <c r="AN221" t="n">
        <v>4.59869281</v>
      </c>
      <c r="AO221" t="n">
        <v>0.7888390240000001</v>
      </c>
      <c r="AP221" t="n">
        <v>0.859282961</v>
      </c>
      <c r="AQ221" t="n">
        <v>2.712151949</v>
      </c>
      <c r="AS221" t="n">
        <v>3.974068011</v>
      </c>
      <c r="AT221" t="n">
        <v>3.243252011</v>
      </c>
      <c r="AU221" t="n">
        <v>1.131731835</v>
      </c>
      <c r="AV221" t="n">
        <v>-1.695970785</v>
      </c>
      <c r="AW221" t="n">
        <v>1.328812048</v>
      </c>
      <c r="AX221" t="n">
        <v>2.644757559</v>
      </c>
    </row>
    <row r="222">
      <c r="A222" t="inlineStr">
        <is>
          <t>2002-Q2</t>
        </is>
      </c>
      <c r="B222" s="87" t="n">
        <v>37438</v>
      </c>
      <c r="C222" t="n">
        <v>-14.147871056</v>
      </c>
      <c r="D222" t="n">
        <v>4.959732286</v>
      </c>
      <c r="E222" t="n">
        <v>1.939202635</v>
      </c>
      <c r="F222" t="n">
        <v>1.42783499</v>
      </c>
      <c r="G222" t="n">
        <v>1.981709208</v>
      </c>
      <c r="H222" t="n">
        <v>2.635438778</v>
      </c>
      <c r="I222" t="n">
        <v>-0.08942146199999999</v>
      </c>
      <c r="J222" t="n">
        <v>2.052174061</v>
      </c>
      <c r="K222" t="n">
        <v>8.800000000000001</v>
      </c>
      <c r="L222" t="n">
        <v>1.48364568</v>
      </c>
      <c r="M222" t="n">
        <v>-0.371752743</v>
      </c>
      <c r="N222" t="n">
        <v>0.655051924</v>
      </c>
      <c r="O222" t="n">
        <v>0.8456576139999999</v>
      </c>
      <c r="P222" t="n">
        <v>0.860845401</v>
      </c>
      <c r="Q222" t="n">
        <v>2.894485768</v>
      </c>
      <c r="R222" t="n">
        <v>7.931210601</v>
      </c>
      <c r="S222" t="n">
        <v>1.018789972</v>
      </c>
      <c r="U222" t="n">
        <v>2.004818638</v>
      </c>
      <c r="V222" t="n">
        <v>1.200815213</v>
      </c>
      <c r="W222" t="n">
        <v>0.8254972779999999</v>
      </c>
      <c r="Y222" t="n">
        <v>1.503757586</v>
      </c>
      <c r="Z222" t="n">
        <v>5.022569822</v>
      </c>
      <c r="AA222" t="n">
        <v>4.529013666</v>
      </c>
      <c r="AB222" t="n">
        <v>5.04817</v>
      </c>
      <c r="AC222" t="n">
        <v>3.855941358</v>
      </c>
      <c r="AD222" t="n">
        <v>0.830999112</v>
      </c>
      <c r="AE222" t="n">
        <v>-0.636603712</v>
      </c>
      <c r="AF222" t="n">
        <v>0.01010505</v>
      </c>
      <c r="AG222" t="n">
        <v>-0.463113107</v>
      </c>
      <c r="AH222" t="n">
        <v>7.677398844</v>
      </c>
      <c r="AI222" t="n">
        <v>6.365735177</v>
      </c>
      <c r="AJ222" t="n">
        <v>4.929092747</v>
      </c>
      <c r="AK222" t="n">
        <v>-0.188970974</v>
      </c>
      <c r="AL222" t="n">
        <v>0.231510228</v>
      </c>
      <c r="AM222" t="n">
        <v>3.311777924</v>
      </c>
      <c r="AN222" t="n">
        <v>4.498698085</v>
      </c>
      <c r="AO222" t="n">
        <v>1.440051708</v>
      </c>
      <c r="AP222" t="n">
        <v>1.900073108</v>
      </c>
      <c r="AQ222" t="n">
        <v>1.255985013</v>
      </c>
      <c r="AS222" t="n">
        <v>3.918755704</v>
      </c>
      <c r="AT222" t="n">
        <v>2.746839646</v>
      </c>
      <c r="AU222" t="n">
        <v>2.659312823</v>
      </c>
      <c r="AV222" t="n">
        <v>7.767540922</v>
      </c>
      <c r="AW222" t="n">
        <v>1.322883902</v>
      </c>
      <c r="AX222" t="n">
        <v>3.430329068</v>
      </c>
    </row>
    <row r="223">
      <c r="A223" t="inlineStr">
        <is>
          <t>2002-Q3</t>
        </is>
      </c>
      <c r="B223" s="87" t="n">
        <v>37530</v>
      </c>
      <c r="C223" t="n">
        <v>-9.897878081</v>
      </c>
      <c r="D223" t="n">
        <v>4.052754013</v>
      </c>
      <c r="E223" t="n">
        <v>2.125888146</v>
      </c>
      <c r="F223" t="n">
        <v>2.16566171</v>
      </c>
      <c r="G223" t="n">
        <v>3.700405814</v>
      </c>
      <c r="H223" t="n">
        <v>3.592704106</v>
      </c>
      <c r="I223" t="n">
        <v>-0.08398061599999999</v>
      </c>
      <c r="J223" t="n">
        <v>3.406971333</v>
      </c>
      <c r="K223" t="n">
        <v>9.6</v>
      </c>
      <c r="L223" t="n">
        <v>1.690923749</v>
      </c>
      <c r="M223" t="n">
        <v>0.302678001</v>
      </c>
      <c r="N223" t="n">
        <v>0.098620025</v>
      </c>
      <c r="O223" t="n">
        <v>1.126809131</v>
      </c>
      <c r="P223" t="n">
        <v>1.145468003</v>
      </c>
      <c r="Q223" t="n">
        <v>2.573236589</v>
      </c>
      <c r="R223" t="n">
        <v>7.867074638</v>
      </c>
      <c r="S223" t="n">
        <v>1.25882001</v>
      </c>
      <c r="U223" t="n">
        <v>1.126803875</v>
      </c>
      <c r="V223" t="n">
        <v>1.081212108</v>
      </c>
      <c r="W223" t="n">
        <v>1.599669181</v>
      </c>
      <c r="Y223" t="n">
        <v>1.772300103</v>
      </c>
      <c r="Z223" t="n">
        <v>3.943039937</v>
      </c>
      <c r="AA223" t="n">
        <v>4.567850297</v>
      </c>
      <c r="AB223" t="n">
        <v>4.38065</v>
      </c>
      <c r="AC223" t="n">
        <v>6.415734836</v>
      </c>
      <c r="AD223" t="n">
        <v>2.469039616</v>
      </c>
      <c r="AE223" t="n">
        <v>0.457889134</v>
      </c>
      <c r="AF223" t="n">
        <v>0.533385124</v>
      </c>
      <c r="AG223" t="n">
        <v>0.951668608</v>
      </c>
      <c r="AH223" t="n">
        <v>8.390946791999999</v>
      </c>
      <c r="AI223" t="n">
        <v>3.227644226</v>
      </c>
      <c r="AJ223" t="n">
        <v>8.510354109</v>
      </c>
      <c r="AK223" t="n">
        <v>0.37437682</v>
      </c>
      <c r="AL223" t="n">
        <v>0.212975631</v>
      </c>
      <c r="AM223" t="n">
        <v>0.530945161</v>
      </c>
      <c r="AN223" t="n">
        <v>4.959058342</v>
      </c>
      <c r="AO223" t="n">
        <v>2.033717081</v>
      </c>
      <c r="AP223" t="n">
        <v>2.38004911</v>
      </c>
      <c r="AQ223" t="n">
        <v>0.6493960050000001</v>
      </c>
      <c r="AS223" t="n">
        <v>5.857849363</v>
      </c>
      <c r="AT223" t="n">
        <v>3.430431513</v>
      </c>
      <c r="AU223" t="n">
        <v>2.898905045</v>
      </c>
      <c r="AV223" t="n">
        <v>7.889603215</v>
      </c>
      <c r="AW223" t="n">
        <v>2.14066999</v>
      </c>
      <c r="AX223" t="n">
        <v>4.323745815</v>
      </c>
    </row>
    <row r="224">
      <c r="A224" t="inlineStr">
        <is>
          <t>2002-Q4</t>
        </is>
      </c>
      <c r="B224" s="87" t="n">
        <v>37622</v>
      </c>
      <c r="C224" t="n">
        <v>-3.483175649</v>
      </c>
      <c r="D224" t="n">
        <v>3.639715816</v>
      </c>
      <c r="E224" t="n">
        <v>1.413245343</v>
      </c>
      <c r="F224" t="n">
        <v>2.649962126</v>
      </c>
      <c r="G224" t="n">
        <v>5.216024337</v>
      </c>
      <c r="H224" t="n">
        <v>3.530710093</v>
      </c>
      <c r="I224" t="n">
        <v>-0.203163931</v>
      </c>
      <c r="J224" t="n">
        <v>4.258570115</v>
      </c>
      <c r="K224" t="n">
        <v>9.1</v>
      </c>
      <c r="L224" t="n">
        <v>1.612335762</v>
      </c>
      <c r="M224" t="n">
        <v>0.256328501</v>
      </c>
      <c r="N224" t="n">
        <v>-0.034579328</v>
      </c>
      <c r="O224" t="n">
        <v>1.264833485</v>
      </c>
      <c r="P224" t="n">
        <v>1.28528571</v>
      </c>
      <c r="Q224" t="n">
        <v>2.642342683</v>
      </c>
      <c r="R224" t="n">
        <v>7.08563011</v>
      </c>
      <c r="S224" t="n">
        <v>1.392360812</v>
      </c>
      <c r="U224" t="n">
        <v>2.566135818</v>
      </c>
      <c r="V224" t="n">
        <v>1.468523312</v>
      </c>
      <c r="W224" t="n">
        <v>1.746911265</v>
      </c>
      <c r="Y224" t="n">
        <v>2.458800422</v>
      </c>
      <c r="Z224" t="n">
        <v>4.467728455</v>
      </c>
      <c r="AA224" t="n">
        <v>5.042658207</v>
      </c>
      <c r="AB224" t="n">
        <v>2.11781</v>
      </c>
      <c r="AC224" t="n">
        <v>6.081167909</v>
      </c>
      <c r="AD224" t="n">
        <v>-1.393660427</v>
      </c>
      <c r="AE224" t="n">
        <v>0.664481804</v>
      </c>
      <c r="AF224" t="n">
        <v>1.161888592</v>
      </c>
      <c r="AG224" t="n">
        <v>1.580600718</v>
      </c>
      <c r="AH224" t="n">
        <v>7.68238505</v>
      </c>
      <c r="AI224" t="n">
        <v>0.242984006</v>
      </c>
      <c r="AJ224" t="n">
        <v>9.322686224</v>
      </c>
      <c r="AK224" t="n">
        <v>1.255820698</v>
      </c>
      <c r="AL224" t="n">
        <v>0.040300273</v>
      </c>
      <c r="AM224" t="n">
        <v>0.789449687</v>
      </c>
      <c r="AN224" t="n">
        <v>4.846314834</v>
      </c>
      <c r="AO224" t="n">
        <v>2.217812147</v>
      </c>
      <c r="AP224" t="n">
        <v>2.851169191</v>
      </c>
      <c r="AQ224" t="n">
        <v>-1.48022333</v>
      </c>
      <c r="AS224" t="n">
        <v>4.282211083</v>
      </c>
      <c r="AT224" t="n">
        <v>4.193080486</v>
      </c>
      <c r="AU224" t="n">
        <v>2.196307791</v>
      </c>
      <c r="AV224" t="n">
        <v>12.07772573</v>
      </c>
      <c r="AW224" t="n">
        <v>1.991286185</v>
      </c>
      <c r="AX224" t="n">
        <v>4.388621949</v>
      </c>
    </row>
    <row r="225">
      <c r="A225" t="inlineStr">
        <is>
          <t>2003-Q1</t>
        </is>
      </c>
      <c r="B225" s="87" t="n">
        <v>37712</v>
      </c>
      <c r="C225" t="n">
        <v>5.274229353</v>
      </c>
      <c r="D225" t="n">
        <v>3.059118989</v>
      </c>
      <c r="E225" t="n">
        <v>1.083072293</v>
      </c>
      <c r="F225" t="n">
        <v>1.506806857</v>
      </c>
      <c r="G225" t="n">
        <v>2.286185864</v>
      </c>
      <c r="H225" t="n">
        <v>2.581037167</v>
      </c>
      <c r="I225" t="n">
        <v>-0.664284556</v>
      </c>
      <c r="J225" t="n">
        <v>4.861989015</v>
      </c>
      <c r="K225" t="n">
        <v>11.1</v>
      </c>
      <c r="L225" t="n">
        <v>2.887060918</v>
      </c>
      <c r="M225" t="n">
        <v>-0.717277303</v>
      </c>
      <c r="N225" t="n">
        <v>0.534887129</v>
      </c>
      <c r="O225" t="n">
        <v>0.799709568</v>
      </c>
      <c r="P225" t="n">
        <v>0.819655971</v>
      </c>
      <c r="Q225" t="n">
        <v>3.159461939</v>
      </c>
      <c r="R225" t="n">
        <v>8.783746052</v>
      </c>
      <c r="S225" t="n">
        <v>1.006760015</v>
      </c>
      <c r="U225" t="n">
        <v>1.179534314</v>
      </c>
      <c r="V225" t="n">
        <v>1.007753147</v>
      </c>
      <c r="W225" t="n">
        <v>1.387134098</v>
      </c>
      <c r="Y225" t="n">
        <v>2.750817559</v>
      </c>
      <c r="Z225" t="n">
        <v>5.778436775</v>
      </c>
      <c r="AA225" t="n">
        <v>3.494615351</v>
      </c>
      <c r="AB225" t="n">
        <v>3.58059</v>
      </c>
      <c r="AC225" t="n">
        <v>3.77833801</v>
      </c>
      <c r="AD225" t="n">
        <v>6.316992195</v>
      </c>
      <c r="AE225" t="n">
        <v>1.516190964</v>
      </c>
      <c r="AF225" t="n">
        <v>0.636229318</v>
      </c>
      <c r="AG225" t="n">
        <v>1.471941256</v>
      </c>
      <c r="AH225" t="n">
        <v>4.318227912</v>
      </c>
      <c r="AI225" t="n">
        <v>-0.302107057</v>
      </c>
      <c r="AJ225" t="n">
        <v>10.019723765</v>
      </c>
      <c r="AK225" t="n">
        <v>2.180674155</v>
      </c>
      <c r="AL225" t="n">
        <v>0.671931395</v>
      </c>
      <c r="AM225" t="n">
        <v>1.674218929</v>
      </c>
      <c r="AN225" t="n">
        <v>4.563973106</v>
      </c>
      <c r="AO225" t="n">
        <v>1.855567536</v>
      </c>
      <c r="AP225" t="n">
        <v>2.581708099</v>
      </c>
      <c r="AQ225" t="n">
        <v>-1.551766468</v>
      </c>
      <c r="AS225" t="n">
        <v>5.80897485</v>
      </c>
      <c r="AT225" t="n">
        <v>2.621042021</v>
      </c>
      <c r="AU225" t="n">
        <v>3.534968073</v>
      </c>
      <c r="AV225" t="n">
        <v>8.088298775</v>
      </c>
      <c r="AW225" t="n">
        <v>1.67618894</v>
      </c>
      <c r="AX225" t="n">
        <v>3.922632384</v>
      </c>
    </row>
    <row r="226">
      <c r="A226" t="inlineStr">
        <is>
          <t>2003-Q2</t>
        </is>
      </c>
      <c r="B226" s="87" t="n">
        <v>37803</v>
      </c>
      <c r="C226" t="n">
        <v>8.146920201</v>
      </c>
      <c r="D226" t="n">
        <v>1.739292249</v>
      </c>
      <c r="E226" t="n">
        <v>0.726480278</v>
      </c>
      <c r="F226" t="n">
        <v>0.8604794099999999</v>
      </c>
      <c r="G226" t="n">
        <v>1.063191365</v>
      </c>
      <c r="H226" t="n">
        <v>1.829610796</v>
      </c>
      <c r="I226" t="n">
        <v>-1.132761877</v>
      </c>
      <c r="J226" t="n">
        <v>5.117054934</v>
      </c>
      <c r="K226" t="n">
        <v>9.1</v>
      </c>
      <c r="L226" t="n">
        <v>3.45054584</v>
      </c>
      <c r="M226" t="n">
        <v>-1.040675899</v>
      </c>
      <c r="N226" t="n">
        <v>-0.390223556</v>
      </c>
      <c r="O226" t="n">
        <v>0.374235093</v>
      </c>
      <c r="P226" t="n">
        <v>0.39680437</v>
      </c>
      <c r="Q226" t="n">
        <v>2.858565609</v>
      </c>
      <c r="R226" t="n">
        <v>7.542118418</v>
      </c>
      <c r="S226" t="n">
        <v>0.557484953</v>
      </c>
      <c r="U226" t="n">
        <v>1.629539742</v>
      </c>
      <c r="V226" t="n">
        <v>0.321862663</v>
      </c>
      <c r="W226" t="n">
        <v>1.372704252</v>
      </c>
      <c r="Y226" t="n">
        <v>3.088572969</v>
      </c>
      <c r="Z226" t="n">
        <v>5.29512856</v>
      </c>
      <c r="AA226" t="n">
        <v>4.014489576</v>
      </c>
      <c r="AB226" t="n">
        <v>5.54613</v>
      </c>
      <c r="AC226" t="n">
        <v>3.934542001</v>
      </c>
      <c r="AD226" t="n">
        <v>-0.315682548</v>
      </c>
      <c r="AE226" t="n">
        <v>0.76193853</v>
      </c>
      <c r="AF226" t="n">
        <v>0.139733055</v>
      </c>
      <c r="AG226" t="n">
        <v>1.346383723</v>
      </c>
      <c r="AH226" t="n">
        <v>2.30354585</v>
      </c>
      <c r="AI226" t="n">
        <v>0.434553878</v>
      </c>
      <c r="AJ226" t="n">
        <v>8.528545392</v>
      </c>
      <c r="AK226" t="n">
        <v>1.497773761</v>
      </c>
      <c r="AL226" t="n">
        <v>-0.023899152</v>
      </c>
      <c r="AM226" t="n">
        <v>-0.876246768</v>
      </c>
      <c r="AN226" t="n">
        <v>3.720333547</v>
      </c>
      <c r="AO226" t="n">
        <v>1.57604908</v>
      </c>
      <c r="AP226" t="n">
        <v>3.592142059</v>
      </c>
      <c r="AQ226" t="n">
        <v>-1.97190001</v>
      </c>
      <c r="AS226" t="n">
        <v>6.340479437</v>
      </c>
      <c r="AT226" t="n">
        <v>3.085052312</v>
      </c>
      <c r="AU226" t="n">
        <v>1.334137114</v>
      </c>
      <c r="AV226" t="n">
        <v>3.964297877</v>
      </c>
      <c r="AW226" t="n">
        <v>1.956993642</v>
      </c>
      <c r="AX226" t="n">
        <v>3.121689799</v>
      </c>
    </row>
    <row r="227">
      <c r="A227" t="inlineStr">
        <is>
          <t>2003-Q3</t>
        </is>
      </c>
      <c r="B227" s="87" t="n">
        <v>37895</v>
      </c>
      <c r="C227" t="n">
        <v>10.707165722</v>
      </c>
      <c r="D227" t="n">
        <v>3.202256051</v>
      </c>
      <c r="E227" t="n">
        <v>0.775267325</v>
      </c>
      <c r="F227" t="n">
        <v>0.733625686</v>
      </c>
      <c r="G227" t="n">
        <v>0.639719467</v>
      </c>
      <c r="H227" t="n">
        <v>1.33311469</v>
      </c>
      <c r="I227" t="n">
        <v>-0.06592658</v>
      </c>
      <c r="J227" t="n">
        <v>4.669805437</v>
      </c>
      <c r="K227" t="n">
        <v>10</v>
      </c>
      <c r="L227" t="n">
        <v>3.901196205</v>
      </c>
      <c r="M227" t="n">
        <v>-0.745714633</v>
      </c>
      <c r="N227" t="n">
        <v>-0.38683434</v>
      </c>
      <c r="O227" t="n">
        <v>0.529451217</v>
      </c>
      <c r="P227" t="n">
        <v>0.546838064</v>
      </c>
      <c r="Q227" t="n">
        <v>2.90247711</v>
      </c>
      <c r="R227" t="n">
        <v>6.465868495</v>
      </c>
      <c r="S227" t="n">
        <v>0.754668626</v>
      </c>
      <c r="U227" t="n">
        <v>3.086446568</v>
      </c>
      <c r="V227" t="n">
        <v>0.7896046329999999</v>
      </c>
      <c r="W227" t="n">
        <v>2.022450376</v>
      </c>
      <c r="Y227" t="n">
        <v>3.354393079</v>
      </c>
      <c r="Z227" t="n">
        <v>5.347760594</v>
      </c>
      <c r="AA227" t="n">
        <v>4.301788428</v>
      </c>
      <c r="AB227" t="n">
        <v>7.68505</v>
      </c>
      <c r="AC227" t="n">
        <v>1.847514639</v>
      </c>
      <c r="AD227" t="n">
        <v>0.7350620960000001</v>
      </c>
      <c r="AE227" t="n">
        <v>1.633567899</v>
      </c>
      <c r="AF227" t="n">
        <v>-0.148517767</v>
      </c>
      <c r="AG227" t="n">
        <v>1.327078305</v>
      </c>
      <c r="AH227" t="n">
        <v>2.214156235</v>
      </c>
      <c r="AI227" t="n">
        <v>3.100756718</v>
      </c>
      <c r="AJ227" t="n">
        <v>9.52683103</v>
      </c>
      <c r="AK227" t="n">
        <v>0.664974426</v>
      </c>
      <c r="AL227" t="n">
        <v>-0.09033127000000001</v>
      </c>
      <c r="AM227" t="n">
        <v>2.037115369</v>
      </c>
      <c r="AN227" t="n">
        <v>4.697937491</v>
      </c>
      <c r="AO227" t="n">
        <v>2.132580268</v>
      </c>
      <c r="AP227" t="n">
        <v>3.907422457</v>
      </c>
      <c r="AQ227" t="n">
        <v>-0.651382451</v>
      </c>
      <c r="AS227" t="n">
        <v>4.402444825</v>
      </c>
      <c r="AT227" t="n">
        <v>3.382200184</v>
      </c>
      <c r="AU227" t="n">
        <v>2.191539408</v>
      </c>
      <c r="AV227" t="n">
        <v>5.487093424</v>
      </c>
      <c r="AW227" t="n">
        <v>3.239908302</v>
      </c>
      <c r="AX227" t="n">
        <v>2.52095906</v>
      </c>
    </row>
    <row r="228">
      <c r="A228" t="inlineStr">
        <is>
          <t>2003-Q4</t>
        </is>
      </c>
      <c r="B228" s="87" t="n">
        <v>37987</v>
      </c>
      <c r="C228" t="n">
        <v>11.646839589</v>
      </c>
      <c r="D228" t="n">
        <v>4.064594292</v>
      </c>
      <c r="E228" t="n">
        <v>1.258589618</v>
      </c>
      <c r="F228" t="n">
        <v>1.056515373</v>
      </c>
      <c r="G228" t="n">
        <v>0.706550019</v>
      </c>
      <c r="H228" t="n">
        <v>1.475555706</v>
      </c>
      <c r="I228" t="n">
        <v>1.55513678</v>
      </c>
      <c r="J228" t="n">
        <v>3.730271238</v>
      </c>
      <c r="K228" t="n">
        <v>10</v>
      </c>
      <c r="L228" t="n">
        <v>4.056062392</v>
      </c>
      <c r="M228" t="n">
        <v>-0.33994105</v>
      </c>
      <c r="N228" t="n">
        <v>1.804920682</v>
      </c>
      <c r="O228" t="n">
        <v>1.026217669</v>
      </c>
      <c r="P228" t="n">
        <v>1.040389758</v>
      </c>
      <c r="Q228" t="n">
        <v>3.008808334</v>
      </c>
      <c r="R228" t="n">
        <v>8.451929120000001</v>
      </c>
      <c r="S228" t="n">
        <v>1.266465164</v>
      </c>
      <c r="U228" t="n">
        <v>2.113220514</v>
      </c>
      <c r="V228" t="n">
        <v>1.250142892</v>
      </c>
      <c r="W228" t="n">
        <v>2.763295594</v>
      </c>
      <c r="Y228" t="n">
        <v>3.292148359</v>
      </c>
      <c r="Z228" t="n">
        <v>6.775966831</v>
      </c>
      <c r="AA228" t="n">
        <v>4.104385462</v>
      </c>
      <c r="AB228" t="n">
        <v>11.13362</v>
      </c>
      <c r="AC228" t="n">
        <v>6.585934217</v>
      </c>
      <c r="AD228" t="n">
        <v>1.967500221</v>
      </c>
      <c r="AE228" t="n">
        <v>2.275155121</v>
      </c>
      <c r="AF228" t="n">
        <v>0.305399385</v>
      </c>
      <c r="AG228" t="n">
        <v>2.149949826</v>
      </c>
      <c r="AH228" t="n">
        <v>3.773317382</v>
      </c>
      <c r="AI228" t="n">
        <v>7.355872708</v>
      </c>
      <c r="AJ228" t="n">
        <v>6.618923764</v>
      </c>
      <c r="AK228" t="n">
        <v>1.534759911</v>
      </c>
      <c r="AL228" t="n">
        <v>0.29448898</v>
      </c>
      <c r="AM228" t="n">
        <v>0.926837806</v>
      </c>
      <c r="AN228" t="n">
        <v>4.653567735</v>
      </c>
      <c r="AO228" t="n">
        <v>2.872862433</v>
      </c>
      <c r="AP228" t="n">
        <v>4.168319112</v>
      </c>
      <c r="AQ228" t="n">
        <v>0.473932977</v>
      </c>
      <c r="AS228" t="n">
        <v>5.472980459</v>
      </c>
      <c r="AT228" t="n">
        <v>2.160905896</v>
      </c>
      <c r="AU228" t="n">
        <v>2.675397606</v>
      </c>
      <c r="AV228" t="n">
        <v>6.405673062</v>
      </c>
      <c r="AW228" t="n">
        <v>4.29507652</v>
      </c>
      <c r="AX228" t="n">
        <v>2.261629374</v>
      </c>
    </row>
    <row r="229">
      <c r="A229" t="inlineStr">
        <is>
          <t>2004-Q1</t>
        </is>
      </c>
      <c r="B229" s="87" t="n">
        <v>38078</v>
      </c>
      <c r="C229" t="n">
        <v>11.136199259</v>
      </c>
      <c r="D229" t="n">
        <v>4.663401194</v>
      </c>
      <c r="E229" t="n">
        <v>1.583958596</v>
      </c>
      <c r="F229" t="n">
        <v>2.842043453</v>
      </c>
      <c r="G229" t="n">
        <v>2.543516755</v>
      </c>
      <c r="H229" t="n">
        <v>1.644029179</v>
      </c>
      <c r="I229" t="n">
        <v>2.587742141</v>
      </c>
      <c r="J229" t="n">
        <v>4.431085077</v>
      </c>
      <c r="K229" t="n">
        <v>10.6</v>
      </c>
      <c r="L229" t="n">
        <v>4.066411867</v>
      </c>
      <c r="M229" t="n">
        <v>0.979021736</v>
      </c>
      <c r="N229" t="n">
        <v>1.749947147</v>
      </c>
      <c r="O229" t="n">
        <v>1.863197923</v>
      </c>
      <c r="P229" t="n">
        <v>1.874687571</v>
      </c>
      <c r="Q229" t="n">
        <v>2.673776599</v>
      </c>
      <c r="R229" t="n">
        <v>8.478724444999999</v>
      </c>
      <c r="S229" t="n">
        <v>2.125768306</v>
      </c>
      <c r="U229" t="n">
        <v>4.152698172</v>
      </c>
      <c r="V229" t="n">
        <v>2.146730739</v>
      </c>
      <c r="W229" t="n">
        <v>3.146368038</v>
      </c>
      <c r="Y229" t="n">
        <v>3.098588932</v>
      </c>
      <c r="Z229" t="n">
        <v>6.510927293</v>
      </c>
      <c r="AA229" t="n">
        <v>5.043432709</v>
      </c>
      <c r="AB229" t="n">
        <v>9.083130000000001</v>
      </c>
      <c r="AC229" t="n">
        <v>6.276051443</v>
      </c>
      <c r="AD229" t="n">
        <v>4.294581293</v>
      </c>
      <c r="AE229" t="n">
        <v>3.45212946</v>
      </c>
      <c r="AF229" t="n">
        <v>0.927510082</v>
      </c>
      <c r="AG229" t="n">
        <v>2.836583857</v>
      </c>
      <c r="AH229" t="n">
        <v>5.772676581</v>
      </c>
      <c r="AI229" t="n">
        <v>6.802966233</v>
      </c>
      <c r="AJ229" t="n">
        <v>9.535063563</v>
      </c>
      <c r="AK229" t="n">
        <v>2.721752971</v>
      </c>
      <c r="AL229" t="n">
        <v>1.184842103</v>
      </c>
      <c r="AM229" t="n">
        <v>4.528993302</v>
      </c>
      <c r="AN229" t="n">
        <v>5.801362496</v>
      </c>
      <c r="AO229" t="n">
        <v>3.447994403</v>
      </c>
      <c r="AP229" t="n">
        <v>6.139471136</v>
      </c>
      <c r="AQ229" t="n">
        <v>1.274706115</v>
      </c>
      <c r="AR229" t="n">
        <v>6.664650625</v>
      </c>
      <c r="AS229" t="n">
        <v>4.974009693</v>
      </c>
      <c r="AT229" t="n">
        <v>3.191203235</v>
      </c>
      <c r="AU229" t="n">
        <v>3.380730306</v>
      </c>
      <c r="AV229" t="n">
        <v>9.24505679</v>
      </c>
      <c r="AW229" t="n">
        <v>4.353382086</v>
      </c>
      <c r="AX229" t="n">
        <v>3.154859005</v>
      </c>
    </row>
    <row r="230">
      <c r="A230" t="inlineStr">
        <is>
          <t>2004-Q2</t>
        </is>
      </c>
      <c r="B230" s="87" t="n">
        <v>38169</v>
      </c>
      <c r="C230" t="n">
        <v>6.596564347</v>
      </c>
      <c r="D230" t="n">
        <v>4.923210116</v>
      </c>
      <c r="E230" t="n">
        <v>2.217152884</v>
      </c>
      <c r="F230" t="n">
        <v>3.609431397</v>
      </c>
      <c r="G230" t="n">
        <v>6.191790132</v>
      </c>
      <c r="H230" t="n">
        <v>3.003268745</v>
      </c>
      <c r="I230" t="n">
        <v>3.632965049</v>
      </c>
      <c r="J230" t="n">
        <v>5.323646918</v>
      </c>
      <c r="K230" t="n">
        <v>11.6</v>
      </c>
      <c r="L230" t="n">
        <v>4.254501216</v>
      </c>
      <c r="M230" t="n">
        <v>1.390380548</v>
      </c>
      <c r="N230" t="n">
        <v>3.316610306</v>
      </c>
      <c r="O230" t="n">
        <v>2.395244866</v>
      </c>
      <c r="P230" t="n">
        <v>2.399880538</v>
      </c>
      <c r="Q230" t="n">
        <v>3.139711529</v>
      </c>
      <c r="R230" t="n">
        <v>5.30291203</v>
      </c>
      <c r="S230" t="n">
        <v>2.660013557</v>
      </c>
      <c r="U230" t="n">
        <v>3.558635394</v>
      </c>
      <c r="V230" t="n">
        <v>3.000563451</v>
      </c>
      <c r="W230" t="n">
        <v>3.162561205</v>
      </c>
      <c r="Y230" t="n">
        <v>2.764085318</v>
      </c>
      <c r="Z230" t="n">
        <v>4.637807316</v>
      </c>
      <c r="AA230" t="n">
        <v>5.054027576</v>
      </c>
      <c r="AB230" t="n">
        <v>8.918200000000001</v>
      </c>
      <c r="AC230" t="n">
        <v>7.872204171</v>
      </c>
      <c r="AD230" t="n">
        <v>6.428880413</v>
      </c>
      <c r="AE230" t="n">
        <v>4.415769723</v>
      </c>
      <c r="AF230" t="n">
        <v>1.462591938</v>
      </c>
      <c r="AG230" t="n">
        <v>2.146191889</v>
      </c>
      <c r="AH230" t="n">
        <v>6.744794051</v>
      </c>
      <c r="AI230" t="n">
        <v>4.31039395</v>
      </c>
      <c r="AJ230" t="n">
        <v>8.355860462000001</v>
      </c>
      <c r="AK230" t="n">
        <v>4.067115605</v>
      </c>
      <c r="AL230" t="n">
        <v>2.019591561</v>
      </c>
      <c r="AM230" t="n">
        <v>5.246414836</v>
      </c>
      <c r="AN230" t="n">
        <v>6.193806194</v>
      </c>
      <c r="AO230" t="n">
        <v>3.631942677</v>
      </c>
      <c r="AP230" t="n">
        <v>5.237505953</v>
      </c>
      <c r="AQ230" t="n">
        <v>2.767450994</v>
      </c>
      <c r="AR230" t="n">
        <v>7.520946818</v>
      </c>
      <c r="AS230" t="n">
        <v>4.090272644</v>
      </c>
      <c r="AT230" t="n">
        <v>4.506440268</v>
      </c>
      <c r="AU230" t="n">
        <v>4.386454363</v>
      </c>
      <c r="AV230" t="n">
        <v>11.413895422</v>
      </c>
      <c r="AW230" t="n">
        <v>4.234811649</v>
      </c>
      <c r="AX230" t="n">
        <v>4.088062152</v>
      </c>
    </row>
    <row r="231">
      <c r="A231" t="inlineStr">
        <is>
          <t>2004-Q3</t>
        </is>
      </c>
      <c r="B231" s="87" t="n">
        <v>38261</v>
      </c>
      <c r="C231" t="n">
        <v>9.263769838</v>
      </c>
      <c r="D231" t="n">
        <v>3.917268159</v>
      </c>
      <c r="E231" t="n">
        <v>3.110156719</v>
      </c>
      <c r="F231" t="n">
        <v>4.087253884</v>
      </c>
      <c r="G231" t="n">
        <v>6.594745756</v>
      </c>
      <c r="H231" t="n">
        <v>3.831186233</v>
      </c>
      <c r="I231" t="n">
        <v>2.492494746</v>
      </c>
      <c r="J231" t="n">
        <v>7.373368902</v>
      </c>
      <c r="K231" t="n">
        <v>9.800000000000001</v>
      </c>
      <c r="L231" t="n">
        <v>4.642724261</v>
      </c>
      <c r="M231" t="n">
        <v>0.409287298</v>
      </c>
      <c r="N231" t="n">
        <v>3.205574354</v>
      </c>
      <c r="O231" t="n">
        <v>2.09526287</v>
      </c>
      <c r="P231" t="n">
        <v>2.101626999</v>
      </c>
      <c r="Q231" t="n">
        <v>3.428017032</v>
      </c>
      <c r="R231" t="n">
        <v>6.635268761</v>
      </c>
      <c r="S231" t="n">
        <v>2.312843378</v>
      </c>
      <c r="U231" t="n">
        <v>3.444933735</v>
      </c>
      <c r="V231" t="n">
        <v>2.391520783</v>
      </c>
      <c r="W231" t="n">
        <v>2.696617331</v>
      </c>
      <c r="Y231" t="n">
        <v>2.004018986</v>
      </c>
      <c r="Z231" t="n">
        <v>5.373131112</v>
      </c>
      <c r="AA231" t="n">
        <v>5.04589846</v>
      </c>
      <c r="AB231" t="n">
        <v>8.669359999999999</v>
      </c>
      <c r="AC231" t="n">
        <v>6.830600598</v>
      </c>
      <c r="AD231" t="n">
        <v>11.354199433</v>
      </c>
      <c r="AE231" t="n">
        <v>4.745790797</v>
      </c>
      <c r="AF231" t="n">
        <v>1.4932381</v>
      </c>
      <c r="AG231" t="n">
        <v>2.4697433</v>
      </c>
      <c r="AH231" t="n">
        <v>5.145618814</v>
      </c>
      <c r="AI231" t="n">
        <v>5.629941662</v>
      </c>
      <c r="AJ231" t="n">
        <v>6.616792979</v>
      </c>
      <c r="AK231" t="n">
        <v>3.882731207</v>
      </c>
      <c r="AL231" t="n">
        <v>2.081437618</v>
      </c>
      <c r="AM231" t="n">
        <v>2.586073834</v>
      </c>
      <c r="AN231" t="n">
        <v>4.275235767</v>
      </c>
      <c r="AO231" t="n">
        <v>3.165797354</v>
      </c>
      <c r="AP231" t="n">
        <v>3.837926851</v>
      </c>
      <c r="AQ231" t="n">
        <v>1.903675089</v>
      </c>
      <c r="AR231" t="n">
        <v>7.337355389</v>
      </c>
      <c r="AS231" t="n">
        <v>6.096352394</v>
      </c>
      <c r="AT231" t="n">
        <v>3.932749337</v>
      </c>
      <c r="AU231" t="n">
        <v>3.723202083</v>
      </c>
      <c r="AV231" t="n">
        <v>9.546928334</v>
      </c>
      <c r="AW231" t="n">
        <v>3.490834069</v>
      </c>
      <c r="AX231" t="n">
        <v>5.219011064</v>
      </c>
    </row>
    <row r="232">
      <c r="A232" t="inlineStr">
        <is>
          <t>2004-Q4</t>
        </is>
      </c>
      <c r="B232" s="87" t="n">
        <v>38353</v>
      </c>
      <c r="C232" t="n">
        <v>8.716283523</v>
      </c>
      <c r="D232" t="n">
        <v>2.986851839</v>
      </c>
      <c r="E232" t="n">
        <v>3.30786464</v>
      </c>
      <c r="F232" t="n">
        <v>3.736801233</v>
      </c>
      <c r="G232" t="n">
        <v>6.377624789</v>
      </c>
      <c r="H232" t="n">
        <v>3.860541692</v>
      </c>
      <c r="I232" t="n">
        <v>1.536290611</v>
      </c>
      <c r="J232" t="n">
        <v>8.526356413</v>
      </c>
      <c r="K232" t="n">
        <v>8.800000000000001</v>
      </c>
      <c r="L232" t="n">
        <v>5.738384859</v>
      </c>
      <c r="M232" t="n">
        <v>0.035001868</v>
      </c>
      <c r="N232" t="n">
        <v>2.413156435</v>
      </c>
      <c r="O232" t="n">
        <v>1.751758052</v>
      </c>
      <c r="P232" t="n">
        <v>1.763310857</v>
      </c>
      <c r="Q232" t="n">
        <v>3.242821024</v>
      </c>
      <c r="R232" t="n">
        <v>6.081763495</v>
      </c>
      <c r="S232" t="n">
        <v>2.038837459</v>
      </c>
      <c r="U232" t="n">
        <v>4.809876335</v>
      </c>
      <c r="V232" t="n">
        <v>2.589529607</v>
      </c>
      <c r="W232" t="n">
        <v>2.334379975</v>
      </c>
      <c r="Y232" t="n">
        <v>1.537253269</v>
      </c>
      <c r="Z232" t="n">
        <v>2.774821603</v>
      </c>
      <c r="AA232" t="n">
        <v>4.420802378</v>
      </c>
      <c r="AB232" t="n">
        <v>7.25254</v>
      </c>
      <c r="AC232" t="n">
        <v>4.061031004</v>
      </c>
      <c r="AD232" t="n">
        <v>9.183669010999999</v>
      </c>
      <c r="AE232" t="n">
        <v>5.679552731</v>
      </c>
      <c r="AF232" t="n">
        <v>0.929265912</v>
      </c>
      <c r="AG232" t="n">
        <v>1.173849439</v>
      </c>
      <c r="AH232" t="n">
        <v>3.218131462</v>
      </c>
      <c r="AI232" t="n">
        <v>0.7014781410000001</v>
      </c>
      <c r="AJ232" t="n">
        <v>7.690997067</v>
      </c>
      <c r="AK232" t="n">
        <v>4.116063329</v>
      </c>
      <c r="AL232" t="n">
        <v>1.75917512</v>
      </c>
      <c r="AM232" t="n">
        <v>3.562207099</v>
      </c>
      <c r="AN232" t="n">
        <v>3.297637651</v>
      </c>
      <c r="AO232" t="n">
        <v>2.785444047</v>
      </c>
      <c r="AP232" t="n">
        <v>4.139129445</v>
      </c>
      <c r="AQ232" t="n">
        <v>1.219915938</v>
      </c>
      <c r="AR232" t="n">
        <v>6.593498112</v>
      </c>
      <c r="AS232" t="n">
        <v>5.93352044</v>
      </c>
      <c r="AT232" t="n">
        <v>3.561395758</v>
      </c>
      <c r="AU232" t="n">
        <v>3.925606965</v>
      </c>
      <c r="AV232" t="n">
        <v>8.057711694</v>
      </c>
      <c r="AW232" t="n">
        <v>3.355765916</v>
      </c>
      <c r="AX232" t="n">
        <v>5.732671708</v>
      </c>
    </row>
    <row r="233">
      <c r="A233" t="inlineStr">
        <is>
          <t>2005-Q1</t>
        </is>
      </c>
      <c r="B233" s="87" t="n">
        <v>38443</v>
      </c>
      <c r="C233" t="n">
        <v>8.377113691</v>
      </c>
      <c r="D233" t="n">
        <v>2.979674333</v>
      </c>
      <c r="E233" t="n">
        <v>2.094206254</v>
      </c>
      <c r="F233" t="n">
        <v>2.742948498</v>
      </c>
      <c r="G233" t="n">
        <v>5.691762035</v>
      </c>
      <c r="H233" t="n">
        <v>3.474673797</v>
      </c>
      <c r="I233" t="n">
        <v>1.808064428</v>
      </c>
      <c r="J233" t="n">
        <v>6.407903423</v>
      </c>
      <c r="K233" t="n">
        <v>11.1</v>
      </c>
      <c r="L233" t="n">
        <v>6.420981366</v>
      </c>
      <c r="M233" t="n">
        <v>0.213179989</v>
      </c>
      <c r="N233" t="n">
        <v>1.552318238</v>
      </c>
      <c r="O233" t="n">
        <v>1.450038371</v>
      </c>
      <c r="P233" t="n">
        <v>1.451524589</v>
      </c>
      <c r="Q233" t="n">
        <v>3.625702319</v>
      </c>
      <c r="R233" t="n">
        <v>5.498246603</v>
      </c>
      <c r="S233" t="n">
        <v>1.641114984</v>
      </c>
      <c r="U233" t="n">
        <v>4.512511681</v>
      </c>
      <c r="V233" t="n">
        <v>1.867717767</v>
      </c>
      <c r="W233" t="n">
        <v>2.504223028</v>
      </c>
      <c r="Y233" t="n">
        <v>1.846135126</v>
      </c>
      <c r="Z233" t="n">
        <v>0.335709457</v>
      </c>
      <c r="AA233" t="n">
        <v>3.641736787</v>
      </c>
      <c r="AB233" t="n">
        <v>8.73418</v>
      </c>
      <c r="AC233" t="n">
        <v>6.174766096</v>
      </c>
      <c r="AD233" t="n">
        <v>2.118808159</v>
      </c>
      <c r="AE233" t="n">
        <v>4.115329027</v>
      </c>
      <c r="AF233" t="n">
        <v>0.405001566</v>
      </c>
      <c r="AG233" t="n">
        <v>0.949275554</v>
      </c>
      <c r="AH233" t="n">
        <v>2.806402673</v>
      </c>
      <c r="AI233" t="n">
        <v>0.513413943</v>
      </c>
      <c r="AJ233" t="n">
        <v>6.917389919</v>
      </c>
      <c r="AK233" t="n">
        <v>2.83929355</v>
      </c>
      <c r="AL233" t="n">
        <v>1.171867896</v>
      </c>
      <c r="AM233" t="n">
        <v>1.588930428</v>
      </c>
      <c r="AN233" t="n">
        <v>2.740499751</v>
      </c>
      <c r="AO233" t="n">
        <v>2.771879298</v>
      </c>
      <c r="AP233" t="n">
        <v>2.54195022</v>
      </c>
      <c r="AQ233" t="n">
        <v>1.085613464</v>
      </c>
      <c r="AR233" t="n">
        <v>6.456869917</v>
      </c>
      <c r="AS233" t="n">
        <v>5.866207622</v>
      </c>
      <c r="AT233" t="n">
        <v>3.52152968</v>
      </c>
      <c r="AU233" t="n">
        <v>2.475166477</v>
      </c>
      <c r="AV233" t="n">
        <v>10.009156426</v>
      </c>
      <c r="AW233" t="n">
        <v>3.908617441</v>
      </c>
      <c r="AX233" t="n">
        <v>5.214827056</v>
      </c>
    </row>
    <row r="234">
      <c r="A234" t="inlineStr">
        <is>
          <t>2005-Q2</t>
        </is>
      </c>
      <c r="B234" s="87" t="n">
        <v>38534</v>
      </c>
      <c r="C234" t="n">
        <v>11.941923956</v>
      </c>
      <c r="D234" t="n">
        <v>2.750531686</v>
      </c>
      <c r="E234" t="n">
        <v>2.582863556</v>
      </c>
      <c r="F234" t="n">
        <v>2.374112111</v>
      </c>
      <c r="G234" t="n">
        <v>4.077510778</v>
      </c>
      <c r="H234" t="n">
        <v>3.001929546</v>
      </c>
      <c r="I234" t="n">
        <v>2.096192776</v>
      </c>
      <c r="J234" t="n">
        <v>6.134735431</v>
      </c>
      <c r="K234" t="n">
        <v>11.1</v>
      </c>
      <c r="L234" t="n">
        <v>6.728711252</v>
      </c>
      <c r="M234" t="n">
        <v>0.235343816</v>
      </c>
      <c r="N234" t="n">
        <v>2.938909518</v>
      </c>
      <c r="O234" t="n">
        <v>1.451969766</v>
      </c>
      <c r="P234" t="n">
        <v>1.467345751</v>
      </c>
      <c r="Q234" t="n">
        <v>3.528897629</v>
      </c>
      <c r="R234" t="n">
        <v>10.426394711</v>
      </c>
      <c r="S234" t="n">
        <v>1.673326713</v>
      </c>
      <c r="U234" t="n">
        <v>2.382177932</v>
      </c>
      <c r="V234" t="n">
        <v>1.520585949</v>
      </c>
      <c r="W234" t="n">
        <v>2.499931319</v>
      </c>
      <c r="Y234" t="n">
        <v>2.269018694</v>
      </c>
      <c r="Z234" t="n">
        <v>0.593025488</v>
      </c>
      <c r="AA234" t="n">
        <v>4.613116746</v>
      </c>
      <c r="AB234" t="n">
        <v>9.571870000000001</v>
      </c>
      <c r="AC234" t="n">
        <v>6.428339311</v>
      </c>
      <c r="AD234" t="n">
        <v>10.428712156</v>
      </c>
      <c r="AE234" t="n">
        <v>4.5514606</v>
      </c>
      <c r="AF234" t="n">
        <v>0.818189296</v>
      </c>
      <c r="AG234" t="n">
        <v>1.719627659</v>
      </c>
      <c r="AH234" t="n">
        <v>3.95274556</v>
      </c>
      <c r="AI234" t="n">
        <v>1.212892415</v>
      </c>
      <c r="AJ234" t="n">
        <v>7.912616217</v>
      </c>
      <c r="AK234" t="n">
        <v>1.559619235</v>
      </c>
      <c r="AL234" t="n">
        <v>1.400109726</v>
      </c>
      <c r="AM234" t="n">
        <v>1.912709946</v>
      </c>
      <c r="AN234" t="n">
        <v>3.503113381</v>
      </c>
      <c r="AO234" t="n">
        <v>2.758239356</v>
      </c>
      <c r="AP234" t="n">
        <v>2.13379809</v>
      </c>
      <c r="AQ234" t="n">
        <v>0.881126993</v>
      </c>
      <c r="AR234" t="n">
        <v>6.03398762</v>
      </c>
      <c r="AS234" t="n">
        <v>7.3842579</v>
      </c>
      <c r="AT234" t="n">
        <v>4.142981146</v>
      </c>
      <c r="AU234" t="n">
        <v>2.766865608</v>
      </c>
      <c r="AV234" t="n">
        <v>7.959938306</v>
      </c>
      <c r="AW234" t="n">
        <v>3.607410366</v>
      </c>
      <c r="AX234" t="n">
        <v>5.626881145</v>
      </c>
    </row>
    <row r="235">
      <c r="A235" t="inlineStr">
        <is>
          <t>2005-Q3</t>
        </is>
      </c>
      <c r="B235" s="87" t="n">
        <v>38626</v>
      </c>
      <c r="C235" t="n">
        <v>7.336685244</v>
      </c>
      <c r="D235" t="n">
        <v>3.117981011</v>
      </c>
      <c r="E235" t="n">
        <v>2.096318036</v>
      </c>
      <c r="F235" t="n">
        <v>1.890494825</v>
      </c>
      <c r="G235" t="n">
        <v>2.153769613</v>
      </c>
      <c r="H235" t="n">
        <v>3.033425786</v>
      </c>
      <c r="I235" t="n">
        <v>3.260197998</v>
      </c>
      <c r="J235" t="n">
        <v>5.941479272</v>
      </c>
      <c r="K235" t="n">
        <v>10.8</v>
      </c>
      <c r="L235" t="n">
        <v>6.772387154</v>
      </c>
      <c r="M235" t="n">
        <v>1.295595637</v>
      </c>
      <c r="N235" t="n">
        <v>2.811266815</v>
      </c>
      <c r="O235" t="n">
        <v>1.967457917</v>
      </c>
      <c r="P235" t="n">
        <v>1.981645198</v>
      </c>
      <c r="Q235" t="n">
        <v>3.55572303</v>
      </c>
      <c r="R235" t="n">
        <v>10.570550916</v>
      </c>
      <c r="S235" t="n">
        <v>2.173744639</v>
      </c>
      <c r="U235" t="n">
        <v>2.749714844</v>
      </c>
      <c r="V235" t="n">
        <v>1.806727549</v>
      </c>
      <c r="W235" t="n">
        <v>2.715809055</v>
      </c>
      <c r="Y235" t="n">
        <v>2.900683132</v>
      </c>
      <c r="Z235" t="n">
        <v>0.648996724</v>
      </c>
      <c r="AA235" t="n">
        <v>4.125044983</v>
      </c>
      <c r="AB235" t="n">
        <v>8.495150000000001</v>
      </c>
      <c r="AC235" t="n">
        <v>5.547291358</v>
      </c>
      <c r="AD235" t="n">
        <v>5.721593641</v>
      </c>
      <c r="AE235" t="n">
        <v>4.557743208</v>
      </c>
      <c r="AF235" t="n">
        <v>1.51262532</v>
      </c>
      <c r="AG235" t="n">
        <v>2.127794878</v>
      </c>
      <c r="AH235" t="n">
        <v>5.091342447</v>
      </c>
      <c r="AI235" t="n">
        <v>0.895882906</v>
      </c>
      <c r="AJ235" t="n">
        <v>12.769539249</v>
      </c>
      <c r="AK235" t="n">
        <v>2.639429356</v>
      </c>
      <c r="AL235" t="n">
        <v>2.608579642</v>
      </c>
      <c r="AM235" t="n">
        <v>3.961877249</v>
      </c>
      <c r="AN235" t="n">
        <v>3.706929278</v>
      </c>
      <c r="AO235" t="n">
        <v>3.054764603</v>
      </c>
      <c r="AP235" t="n">
        <v>4.158403374</v>
      </c>
      <c r="AQ235" t="n">
        <v>0.365490739</v>
      </c>
      <c r="AR235" t="n">
        <v>6.292683691</v>
      </c>
      <c r="AS235" t="n">
        <v>6.660290395</v>
      </c>
      <c r="AT235" t="n">
        <v>3.945391444</v>
      </c>
      <c r="AU235" t="n">
        <v>3.158793398</v>
      </c>
      <c r="AV235" t="n">
        <v>8.263382384</v>
      </c>
      <c r="AW235" t="n">
        <v>3.447674589</v>
      </c>
      <c r="AX235" t="n">
        <v>5.344718501</v>
      </c>
    </row>
    <row r="236">
      <c r="A236" t="inlineStr">
        <is>
          <t>2005-Q4</t>
        </is>
      </c>
      <c r="B236" s="87" t="n">
        <v>38718</v>
      </c>
      <c r="C236" t="n">
        <v>7.893521691</v>
      </c>
      <c r="D236" t="n">
        <v>3.142055</v>
      </c>
      <c r="E236" t="n">
        <v>2.639721536</v>
      </c>
      <c r="F236" t="n">
        <v>2.307236791</v>
      </c>
      <c r="G236" t="n">
        <v>2.743863189</v>
      </c>
      <c r="H236" t="n">
        <v>3.309946552</v>
      </c>
      <c r="I236" t="n">
        <v>4.116870454</v>
      </c>
      <c r="J236" t="n">
        <v>5.50370127</v>
      </c>
      <c r="K236" t="n">
        <v>12.4</v>
      </c>
      <c r="L236" t="n">
        <v>6.752209202</v>
      </c>
      <c r="M236" t="n">
        <v>1.867987207</v>
      </c>
      <c r="N236" t="n">
        <v>2.042172351</v>
      </c>
      <c r="O236" t="n">
        <v>2.213238441</v>
      </c>
      <c r="P236" t="n">
        <v>2.224073321</v>
      </c>
      <c r="Q236" t="n">
        <v>3.894748998</v>
      </c>
      <c r="R236" t="n">
        <v>10.820481347</v>
      </c>
      <c r="S236" t="n">
        <v>2.413807995</v>
      </c>
      <c r="U236" t="n">
        <v>1.51700612</v>
      </c>
      <c r="V236" t="n">
        <v>1.797190412</v>
      </c>
      <c r="W236" t="n">
        <v>2.665032343</v>
      </c>
      <c r="Y236" t="n">
        <v>3.64719283</v>
      </c>
      <c r="Z236" t="n">
        <v>1.54047551</v>
      </c>
      <c r="AA236" t="n">
        <v>4.841733661</v>
      </c>
      <c r="AB236" t="n">
        <v>9.12449</v>
      </c>
      <c r="AC236" t="n">
        <v>5.956733444</v>
      </c>
      <c r="AD236" t="n">
        <v>6.276070555</v>
      </c>
      <c r="AE236" t="n">
        <v>5.013345525</v>
      </c>
      <c r="AF236" t="n">
        <v>1.34403463</v>
      </c>
      <c r="AG236" t="n">
        <v>2.502128193</v>
      </c>
      <c r="AH236" t="n">
        <v>5.356820232</v>
      </c>
      <c r="AI236" t="n">
        <v>7.283461651</v>
      </c>
      <c r="AJ236" t="n">
        <v>14.395163994</v>
      </c>
      <c r="AK236" t="n">
        <v>2.988619342</v>
      </c>
      <c r="AL236" t="n">
        <v>3.03095707</v>
      </c>
      <c r="AM236" t="n">
        <v>3.181135122</v>
      </c>
      <c r="AN236" t="n">
        <v>2.90316122</v>
      </c>
      <c r="AO236" t="n">
        <v>3.120825551</v>
      </c>
      <c r="AP236" t="n">
        <v>4.899975605</v>
      </c>
      <c r="AQ236" t="n">
        <v>0.79709233</v>
      </c>
      <c r="AR236" t="n">
        <v>7.285694895</v>
      </c>
      <c r="AS236" t="n">
        <v>6.579021794</v>
      </c>
      <c r="AT236" t="n">
        <v>5.421829918</v>
      </c>
      <c r="AU236" t="n">
        <v>3.012656172</v>
      </c>
      <c r="AV236" t="n">
        <v>10.057769953</v>
      </c>
      <c r="AW236" t="n">
        <v>2.982672051</v>
      </c>
      <c r="AX236" t="n">
        <v>4.929278424</v>
      </c>
    </row>
    <row r="237">
      <c r="A237" t="inlineStr">
        <is>
          <t>2006-Q1</t>
        </is>
      </c>
      <c r="B237" s="87" t="n">
        <v>38808</v>
      </c>
      <c r="C237" t="n">
        <v>7.5772501</v>
      </c>
      <c r="D237" t="n">
        <v>2.469395291</v>
      </c>
      <c r="E237" t="n">
        <v>4.064813586</v>
      </c>
      <c r="F237" t="n">
        <v>2.397412528</v>
      </c>
      <c r="G237" t="n">
        <v>3.346657908</v>
      </c>
      <c r="H237" t="n">
        <v>3.788607776</v>
      </c>
      <c r="I237" t="n">
        <v>4.529122999</v>
      </c>
      <c r="J237" t="n">
        <v>6.33754285</v>
      </c>
      <c r="K237" t="n">
        <v>12.5</v>
      </c>
      <c r="L237" t="n">
        <v>6.879772021</v>
      </c>
      <c r="M237" t="n">
        <v>2.844154575</v>
      </c>
      <c r="N237" t="n">
        <v>3.700915407</v>
      </c>
      <c r="O237" t="n">
        <v>2.888715701</v>
      </c>
      <c r="P237" t="n">
        <v>2.903952045</v>
      </c>
      <c r="Q237" t="n">
        <v>4.068644074</v>
      </c>
      <c r="R237" t="n">
        <v>11.409670717</v>
      </c>
      <c r="S237" t="n">
        <v>3.123843251</v>
      </c>
      <c r="U237" t="n">
        <v>3.030122397</v>
      </c>
      <c r="V237" t="n">
        <v>2.300679028</v>
      </c>
      <c r="W237" t="n">
        <v>2.882121722</v>
      </c>
      <c r="Y237" t="n">
        <v>3.229974446</v>
      </c>
      <c r="Z237" t="n">
        <v>5.469142465</v>
      </c>
      <c r="AA237" t="n">
        <v>4.722427181</v>
      </c>
      <c r="AB237" t="n">
        <v>9.933770000000001</v>
      </c>
      <c r="AC237" t="n">
        <v>6.426571046</v>
      </c>
      <c r="AD237" t="n">
        <v>8.782076290999999</v>
      </c>
      <c r="AE237" t="n">
        <v>5.547547462</v>
      </c>
      <c r="AF237" t="n">
        <v>1.757538289</v>
      </c>
      <c r="AG237" t="n">
        <v>2.138079654</v>
      </c>
      <c r="AH237" t="n">
        <v>6.180250599</v>
      </c>
      <c r="AI237" t="n">
        <v>8.270585242999999</v>
      </c>
      <c r="AJ237" t="n">
        <v>10.487327447</v>
      </c>
      <c r="AK237" t="n">
        <v>4.624728843</v>
      </c>
      <c r="AL237" t="n">
        <v>3.34016397</v>
      </c>
      <c r="AM237" t="n">
        <v>2.30762675</v>
      </c>
      <c r="AN237" t="n">
        <v>3.329301814</v>
      </c>
      <c r="AO237" t="n">
        <v>3.396946152</v>
      </c>
      <c r="AP237" t="n">
        <v>5.73184257</v>
      </c>
      <c r="AQ237" t="n">
        <v>0.845485679</v>
      </c>
      <c r="AR237" t="n">
        <v>7.478151816</v>
      </c>
      <c r="AS237" t="n">
        <v>7.78368651</v>
      </c>
      <c r="AT237" t="n">
        <v>5.151469904</v>
      </c>
      <c r="AU237" t="n">
        <v>4.14138313</v>
      </c>
      <c r="AV237" t="n">
        <v>6.412512747</v>
      </c>
      <c r="AW237" t="n">
        <v>3.224857572</v>
      </c>
      <c r="AX237" t="n">
        <v>5.698531564</v>
      </c>
    </row>
    <row r="238">
      <c r="A238" t="inlineStr">
        <is>
          <t>2006-Q2</t>
        </is>
      </c>
      <c r="B238" s="87" t="n">
        <v>38899</v>
      </c>
      <c r="C238" t="n">
        <v>6.634969526</v>
      </c>
      <c r="D238" t="n">
        <v>2.244277615</v>
      </c>
      <c r="E238" t="n">
        <v>2.92393265</v>
      </c>
      <c r="F238" t="n">
        <v>2.148910077</v>
      </c>
      <c r="G238" t="n">
        <v>2.615892427</v>
      </c>
      <c r="H238" t="n">
        <v>3.094238728</v>
      </c>
      <c r="I238" t="n">
        <v>4.240480823</v>
      </c>
      <c r="J238" t="n">
        <v>6.771667034</v>
      </c>
      <c r="K238" t="n">
        <v>13.7</v>
      </c>
      <c r="L238" t="n">
        <v>7.319090859</v>
      </c>
      <c r="M238" t="n">
        <v>4.057971796</v>
      </c>
      <c r="N238" t="n">
        <v>4.73163812</v>
      </c>
      <c r="O238" t="n">
        <v>3.390364698</v>
      </c>
      <c r="P238" t="n">
        <v>3.39353823</v>
      </c>
      <c r="Q238" t="n">
        <v>4.158263371</v>
      </c>
      <c r="R238" t="n">
        <v>9.410873606999999</v>
      </c>
      <c r="S238" t="n">
        <v>3.705322306</v>
      </c>
      <c r="U238" t="n">
        <v>4.532839963</v>
      </c>
      <c r="V238" t="n">
        <v>3.113651357</v>
      </c>
      <c r="W238" t="n">
        <v>2.748397819</v>
      </c>
      <c r="Y238" t="n">
        <v>2.503161554</v>
      </c>
      <c r="Z238" t="n">
        <v>5.54199109</v>
      </c>
      <c r="AA238" t="n">
        <v>4.089488142</v>
      </c>
      <c r="AB238" t="n">
        <v>8.08975</v>
      </c>
      <c r="AC238" t="n">
        <v>4.140764095</v>
      </c>
      <c r="AD238" t="n">
        <v>6.039599621</v>
      </c>
      <c r="AE238" t="n">
        <v>6.642226598</v>
      </c>
      <c r="AF238" t="n">
        <v>1.654510558</v>
      </c>
      <c r="AG238" t="n">
        <v>1.505475418</v>
      </c>
      <c r="AH238" t="n">
        <v>4.975060286</v>
      </c>
      <c r="AI238" t="n">
        <v>7.700275134</v>
      </c>
      <c r="AJ238" t="n">
        <v>13.493734301</v>
      </c>
      <c r="AK238" t="n">
        <v>5.346587425</v>
      </c>
      <c r="AL238" t="n">
        <v>4.154503032</v>
      </c>
      <c r="AM238" t="n">
        <v>1.900160941</v>
      </c>
      <c r="AN238" t="n">
        <v>2.105604847</v>
      </c>
      <c r="AO238" t="n">
        <v>3.390411955</v>
      </c>
      <c r="AP238" t="n">
        <v>7.718479305</v>
      </c>
      <c r="AQ238" t="n">
        <v>1.444794216</v>
      </c>
      <c r="AR238" t="n">
        <v>7.904591578</v>
      </c>
      <c r="AS238" t="n">
        <v>8.033364719</v>
      </c>
      <c r="AT238" t="n">
        <v>5.629097411</v>
      </c>
      <c r="AU238" t="n">
        <v>5.144466722</v>
      </c>
      <c r="AV238" t="n">
        <v>9.192999221000001</v>
      </c>
      <c r="AW238" t="n">
        <v>2.977269026</v>
      </c>
      <c r="AX238" t="n">
        <v>5.309865816</v>
      </c>
    </row>
    <row r="239">
      <c r="A239" t="inlineStr">
        <is>
          <t>2006-Q3</t>
        </is>
      </c>
      <c r="B239" s="87" t="n">
        <v>38991</v>
      </c>
      <c r="C239" t="n">
        <v>8.835127993</v>
      </c>
      <c r="D239" t="n">
        <v>2.61043896</v>
      </c>
      <c r="E239" t="n">
        <v>3.606547636</v>
      </c>
      <c r="F239" t="n">
        <v>2.642265239</v>
      </c>
      <c r="G239" t="n">
        <v>4.984230497</v>
      </c>
      <c r="H239" t="n">
        <v>2.144768711</v>
      </c>
      <c r="I239" t="n">
        <v>3.826634145</v>
      </c>
      <c r="J239" t="n">
        <v>5.656361442</v>
      </c>
      <c r="K239" t="n">
        <v>12.2</v>
      </c>
      <c r="L239" t="n">
        <v>7.021425725</v>
      </c>
      <c r="M239" t="n">
        <v>3.989424214</v>
      </c>
      <c r="N239" t="n">
        <v>3.917567281</v>
      </c>
      <c r="O239" t="n">
        <v>3.251888517</v>
      </c>
      <c r="P239" t="n">
        <v>3.257519644</v>
      </c>
      <c r="Q239" t="n">
        <v>4.119584867</v>
      </c>
      <c r="R239" t="n">
        <v>9.299085384</v>
      </c>
      <c r="S239" t="n">
        <v>3.547307718</v>
      </c>
      <c r="U239" t="n">
        <v>4.020140348</v>
      </c>
      <c r="V239" t="n">
        <v>2.606183615</v>
      </c>
      <c r="W239" t="n">
        <v>2.091905717</v>
      </c>
      <c r="Y239" t="n">
        <v>1.776273043</v>
      </c>
      <c r="Z239" t="n">
        <v>4.591190257</v>
      </c>
      <c r="AA239" t="n">
        <v>3.909002027</v>
      </c>
      <c r="AB239" t="n">
        <v>10.12762</v>
      </c>
      <c r="AC239" t="n">
        <v>6.802771402</v>
      </c>
      <c r="AD239" t="n">
        <v>5.704080672</v>
      </c>
      <c r="AE239" t="n">
        <v>4.648987024</v>
      </c>
      <c r="AF239" t="n">
        <v>1.497299653</v>
      </c>
      <c r="AG239" t="n">
        <v>0.288526056</v>
      </c>
      <c r="AH239" t="n">
        <v>5.08739741</v>
      </c>
      <c r="AI239" t="n">
        <v>6.092032751</v>
      </c>
      <c r="AJ239" t="n">
        <v>11.732784896</v>
      </c>
      <c r="AK239" t="n">
        <v>4.754542211</v>
      </c>
      <c r="AL239" t="n">
        <v>3.389040595</v>
      </c>
      <c r="AM239" t="n">
        <v>2.098555615</v>
      </c>
      <c r="AN239" t="n">
        <v>2.23724726</v>
      </c>
      <c r="AO239" t="n">
        <v>2.851130045</v>
      </c>
      <c r="AP239" t="n">
        <v>7.406387336</v>
      </c>
      <c r="AQ239" t="n">
        <v>1.810916905</v>
      </c>
      <c r="AR239" t="n">
        <v>8.470743569</v>
      </c>
      <c r="AS239" t="n">
        <v>8.324202621</v>
      </c>
      <c r="AT239" t="n">
        <v>6.475179205</v>
      </c>
      <c r="AU239" t="n">
        <v>5.137836561</v>
      </c>
      <c r="AV239" t="n">
        <v>6.861392983</v>
      </c>
      <c r="AW239" t="n">
        <v>2.328291152</v>
      </c>
      <c r="AX239" t="n">
        <v>5.328082893</v>
      </c>
    </row>
    <row r="240">
      <c r="A240" t="inlineStr">
        <is>
          <t>2006-Q4</t>
        </is>
      </c>
      <c r="B240" s="87" t="n">
        <v>39083</v>
      </c>
      <c r="C240" t="n">
        <v>9.098458356</v>
      </c>
      <c r="D240" t="n">
        <v>3.130410655</v>
      </c>
      <c r="E240" t="n">
        <v>3.590182818</v>
      </c>
      <c r="F240" t="n">
        <v>3.017495577</v>
      </c>
      <c r="G240" t="n">
        <v>4.836221727</v>
      </c>
      <c r="H240" t="n">
        <v>1.547877248</v>
      </c>
      <c r="I240" t="n">
        <v>4.026652065</v>
      </c>
      <c r="J240" t="n">
        <v>6.629901749</v>
      </c>
      <c r="K240" t="n">
        <v>12.5</v>
      </c>
      <c r="L240" t="n">
        <v>6.495767128</v>
      </c>
      <c r="M240" t="n">
        <v>5.069233939</v>
      </c>
      <c r="N240" t="n">
        <v>3.300487701</v>
      </c>
      <c r="O240" t="n">
        <v>3.796445224</v>
      </c>
      <c r="P240" t="n">
        <v>3.799985324</v>
      </c>
      <c r="Q240" t="n">
        <v>4.065324206</v>
      </c>
      <c r="R240" t="n">
        <v>9.482542775000001</v>
      </c>
      <c r="S240" t="n">
        <v>3.902728189</v>
      </c>
      <c r="U240" t="n">
        <v>4.536379989</v>
      </c>
      <c r="V240" t="n">
        <v>2.584087861</v>
      </c>
      <c r="W240" t="n">
        <v>2.520508753</v>
      </c>
      <c r="Y240" t="n">
        <v>1.164563713</v>
      </c>
      <c r="Z240" t="n">
        <v>6.716217109</v>
      </c>
      <c r="AA240" t="n">
        <v>3.723534542</v>
      </c>
      <c r="AB240" t="n">
        <v>9.25047</v>
      </c>
      <c r="AC240" t="n">
        <v>3.680412261</v>
      </c>
      <c r="AD240" t="n">
        <v>4.937071544</v>
      </c>
      <c r="AE240" t="n">
        <v>4.337759555</v>
      </c>
      <c r="AF240" t="n">
        <v>2.655735343</v>
      </c>
      <c r="AG240" t="n">
        <v>1.464300818</v>
      </c>
      <c r="AH240" t="n">
        <v>4.844886613</v>
      </c>
      <c r="AI240" t="n">
        <v>2.335149527</v>
      </c>
      <c r="AJ240" t="n">
        <v>12.475486329</v>
      </c>
      <c r="AK240" t="n">
        <v>3.288750689</v>
      </c>
      <c r="AL240" t="n">
        <v>3.588306691</v>
      </c>
      <c r="AM240" t="n">
        <v>3.735757459</v>
      </c>
      <c r="AN240" t="n">
        <v>3.491438948</v>
      </c>
      <c r="AO240" t="n">
        <v>3.063264765</v>
      </c>
      <c r="AP240" t="n">
        <v>4.019665152</v>
      </c>
      <c r="AQ240" t="n">
        <v>2.39958247</v>
      </c>
      <c r="AR240" t="n">
        <v>8.296872165</v>
      </c>
      <c r="AS240" t="n">
        <v>9.779569376</v>
      </c>
      <c r="AT240" t="n">
        <v>6.871500897</v>
      </c>
      <c r="AU240" t="n">
        <v>5.128753754</v>
      </c>
      <c r="AV240" t="n">
        <v>5.777239084</v>
      </c>
      <c r="AW240" t="n">
        <v>2.608901984</v>
      </c>
      <c r="AX240" t="n">
        <v>6.074561979</v>
      </c>
    </row>
    <row r="241">
      <c r="A241" t="inlineStr">
        <is>
          <t>2007-Q1</t>
        </is>
      </c>
      <c r="B241" s="87" t="n">
        <v>39173</v>
      </c>
      <c r="C241" t="n">
        <v>8.819258569</v>
      </c>
      <c r="D241" t="n">
        <v>4.451109312</v>
      </c>
      <c r="E241" t="n">
        <v>3.540191581</v>
      </c>
      <c r="F241" t="n">
        <v>3.839182017</v>
      </c>
      <c r="G241" t="n">
        <v>5.161665605</v>
      </c>
      <c r="H241" t="n">
        <v>1.375255855</v>
      </c>
      <c r="I241" t="n">
        <v>3.368235585</v>
      </c>
      <c r="J241" t="n">
        <v>6.758496887</v>
      </c>
      <c r="K241" t="n">
        <v>13.8</v>
      </c>
      <c r="L241" t="n">
        <v>6.361299555</v>
      </c>
      <c r="M241" t="n">
        <v>4.134105415</v>
      </c>
      <c r="N241" t="n">
        <v>2.356446554</v>
      </c>
      <c r="O241" t="n">
        <v>3.516683131</v>
      </c>
      <c r="P241" t="n">
        <v>3.529637426</v>
      </c>
      <c r="Q241" t="n">
        <v>3.828490883</v>
      </c>
      <c r="R241" t="n">
        <v>10.572500922</v>
      </c>
      <c r="S241" t="n">
        <v>3.694638235</v>
      </c>
      <c r="U241" t="n">
        <v>3.963126531</v>
      </c>
      <c r="V241" t="n">
        <v>2.617893112</v>
      </c>
      <c r="W241" t="n">
        <v>2.002427445</v>
      </c>
      <c r="Y241" t="n">
        <v>1.866330607</v>
      </c>
      <c r="Z241" t="n">
        <v>2.537298304</v>
      </c>
      <c r="AA241" t="n">
        <v>1.636439512</v>
      </c>
      <c r="AB241" t="n">
        <v>9.557230000000001</v>
      </c>
      <c r="AC241" t="n">
        <v>7.329732267</v>
      </c>
      <c r="AD241" t="n">
        <v>6.938366405</v>
      </c>
      <c r="AE241" t="n">
        <v>5.105725954</v>
      </c>
      <c r="AF241" t="n">
        <v>2.221256702</v>
      </c>
      <c r="AG241" t="n">
        <v>1.976470661</v>
      </c>
      <c r="AH241" t="n">
        <v>4.880914676</v>
      </c>
      <c r="AI241" t="n">
        <v>7.380761828</v>
      </c>
      <c r="AJ241" t="n">
        <v>15.273214044</v>
      </c>
      <c r="AK241" t="n">
        <v>2.222216861</v>
      </c>
      <c r="AL241" t="n">
        <v>4.125437165</v>
      </c>
      <c r="AM241" t="n">
        <v>3.036295157</v>
      </c>
      <c r="AN241" t="n">
        <v>3.21990253</v>
      </c>
      <c r="AO241" t="n">
        <v>2.721280967</v>
      </c>
      <c r="AP241" t="n">
        <v>7.038065077</v>
      </c>
      <c r="AQ241" t="n">
        <v>2.638146476</v>
      </c>
      <c r="AR241" t="n">
        <v>8.172613295</v>
      </c>
      <c r="AS241" t="n">
        <v>9.478688991</v>
      </c>
      <c r="AT241" t="n">
        <v>8.226533598</v>
      </c>
      <c r="AU241" t="n">
        <v>4.502162502</v>
      </c>
      <c r="AV241" t="n">
        <v>6.486233951</v>
      </c>
      <c r="AW241" t="n">
        <v>1.540715325</v>
      </c>
      <c r="AX241" t="n">
        <v>5.935401527</v>
      </c>
    </row>
    <row r="242">
      <c r="A242" t="inlineStr">
        <is>
          <t>2007-Q2</t>
        </is>
      </c>
      <c r="B242" s="87" t="n">
        <v>39264</v>
      </c>
      <c r="C242" t="n">
        <v>9.7676356</v>
      </c>
      <c r="D242" t="n">
        <v>4.906081993</v>
      </c>
      <c r="E242" t="n">
        <v>4.442177577</v>
      </c>
      <c r="F242" t="n">
        <v>3.944579043</v>
      </c>
      <c r="G242" t="n">
        <v>6.543596216</v>
      </c>
      <c r="H242" t="n">
        <v>2.304651418</v>
      </c>
      <c r="I242" t="n">
        <v>4.117946515</v>
      </c>
      <c r="J242" t="n">
        <v>5.650819148</v>
      </c>
      <c r="K242" t="n">
        <v>15</v>
      </c>
      <c r="L242" t="n">
        <v>5.179186475</v>
      </c>
      <c r="M242" t="n">
        <v>3.228417933</v>
      </c>
      <c r="N242" t="n">
        <v>-1.053004057</v>
      </c>
      <c r="O242" t="n">
        <v>3.12609701</v>
      </c>
      <c r="P242" t="n">
        <v>3.137898696</v>
      </c>
      <c r="Q242" t="n">
        <v>3.753222435</v>
      </c>
      <c r="R242" t="n">
        <v>8.726487594</v>
      </c>
      <c r="S242" t="n">
        <v>3.172377795</v>
      </c>
      <c r="U242" t="n">
        <v>5.573297422</v>
      </c>
      <c r="V242" t="n">
        <v>2.264368922</v>
      </c>
      <c r="W242" t="n">
        <v>2.110206127</v>
      </c>
      <c r="Y242" t="n">
        <v>2.296422371</v>
      </c>
      <c r="Z242" t="n">
        <v>5.19988242</v>
      </c>
      <c r="AA242" t="n">
        <v>0.125386697</v>
      </c>
      <c r="AB242" t="n">
        <v>10.72776</v>
      </c>
      <c r="AC242" t="n">
        <v>5.937288994</v>
      </c>
      <c r="AD242" t="n">
        <v>8.66591433</v>
      </c>
      <c r="AE242" t="n">
        <v>4.55731742</v>
      </c>
      <c r="AF242" t="n">
        <v>1.778843723</v>
      </c>
      <c r="AG242" t="n">
        <v>1.851718504</v>
      </c>
      <c r="AH242" t="n">
        <v>5.921792787</v>
      </c>
      <c r="AI242" t="n">
        <v>9.44358937</v>
      </c>
      <c r="AJ242" t="n">
        <v>12.003957988</v>
      </c>
      <c r="AK242" t="n">
        <v>2.010379569</v>
      </c>
      <c r="AL242" t="n">
        <v>3.114534741</v>
      </c>
      <c r="AM242" t="n">
        <v>2.905931614</v>
      </c>
      <c r="AN242" t="n">
        <v>3.728037641</v>
      </c>
      <c r="AO242" t="n">
        <v>2.717664179</v>
      </c>
      <c r="AP242" t="n">
        <v>6.001096063</v>
      </c>
      <c r="AQ242" t="n">
        <v>2.10749605</v>
      </c>
      <c r="AR242" t="n">
        <v>8.808004554</v>
      </c>
      <c r="AS242" t="n">
        <v>9.628376255999999</v>
      </c>
      <c r="AT242" t="n">
        <v>7.261499886</v>
      </c>
      <c r="AU242" t="n">
        <v>3.358140415</v>
      </c>
      <c r="AV242" t="n">
        <v>3.369974427</v>
      </c>
      <c r="AW242" t="n">
        <v>1.938641595</v>
      </c>
      <c r="AX242" t="n">
        <v>5.307973813</v>
      </c>
    </row>
    <row r="243">
      <c r="A243" t="inlineStr">
        <is>
          <t>2007-Q3</t>
        </is>
      </c>
      <c r="B243" s="87" t="n">
        <v>39356</v>
      </c>
      <c r="C243" t="n">
        <v>8.229503988999999</v>
      </c>
      <c r="D243" t="n">
        <v>4.530529161</v>
      </c>
      <c r="E243" t="n">
        <v>3.384408268</v>
      </c>
      <c r="F243" t="n">
        <v>3.832958079</v>
      </c>
      <c r="G243" t="n">
        <v>5.892651453</v>
      </c>
      <c r="H243" t="n">
        <v>2.448100483</v>
      </c>
      <c r="I243" t="n">
        <v>4.314185724</v>
      </c>
      <c r="J243" t="n">
        <v>4.518417356</v>
      </c>
      <c r="K243" t="n">
        <v>14.3</v>
      </c>
      <c r="L243" t="n">
        <v>5.380822178</v>
      </c>
      <c r="M243" t="n">
        <v>2.960191362</v>
      </c>
      <c r="N243" t="n">
        <v>0.547088857</v>
      </c>
      <c r="O243" t="n">
        <v>2.977465951</v>
      </c>
      <c r="P243" t="n">
        <v>2.98461829</v>
      </c>
      <c r="Q243" t="n">
        <v>3.586286896</v>
      </c>
      <c r="R243" t="n">
        <v>6.505879405</v>
      </c>
      <c r="S243" t="n">
        <v>3.047028532</v>
      </c>
      <c r="U243" t="n">
        <v>5.53988642</v>
      </c>
      <c r="V243" t="n">
        <v>2.539044477</v>
      </c>
      <c r="W243" t="n">
        <v>2.311903185</v>
      </c>
      <c r="Y243" t="n">
        <v>2.927932256</v>
      </c>
      <c r="Z243" t="n">
        <v>4.047603993</v>
      </c>
      <c r="AA243" t="n">
        <v>0.07066829400000001</v>
      </c>
      <c r="AB243" t="n">
        <v>9.11082</v>
      </c>
      <c r="AC243" t="n">
        <v>2.507146444</v>
      </c>
      <c r="AD243" t="n">
        <v>7.394301332</v>
      </c>
      <c r="AE243" t="n">
        <v>7.239256105</v>
      </c>
      <c r="AF243" t="n">
        <v>1.504498038</v>
      </c>
      <c r="AG243" t="n">
        <v>1.501825614</v>
      </c>
      <c r="AH243" t="n">
        <v>5.463010624</v>
      </c>
      <c r="AI243" t="n">
        <v>8.105828926999999</v>
      </c>
      <c r="AJ243" t="n">
        <v>10.370782889</v>
      </c>
      <c r="AK243" t="n">
        <v>2.370794515</v>
      </c>
      <c r="AL243" t="n">
        <v>3.646875004</v>
      </c>
      <c r="AM243" t="n">
        <v>3.168656612</v>
      </c>
      <c r="AN243" t="n">
        <v>3.881634372</v>
      </c>
      <c r="AO243" t="n">
        <v>2.872194913</v>
      </c>
      <c r="AP243" t="n">
        <v>6.133909833</v>
      </c>
      <c r="AQ243" t="n">
        <v>2.433312185</v>
      </c>
      <c r="AR243" t="n">
        <v>8.711191776</v>
      </c>
      <c r="AS243" t="n">
        <v>10.125396004</v>
      </c>
      <c r="AT243" t="n">
        <v>7.550147668</v>
      </c>
      <c r="AU243" t="n">
        <v>2.945410303</v>
      </c>
      <c r="AV243" t="n">
        <v>4.765524045</v>
      </c>
      <c r="AW243" t="n">
        <v>2.39855985</v>
      </c>
      <c r="AX243" t="n">
        <v>5.090652339</v>
      </c>
    </row>
    <row r="244">
      <c r="A244" t="inlineStr">
        <is>
          <t>2007-Q4</t>
        </is>
      </c>
      <c r="B244" s="87" t="n">
        <v>39448</v>
      </c>
      <c r="C244" t="n">
        <v>9.222614525999999</v>
      </c>
      <c r="D244" t="n">
        <v>3.629984772</v>
      </c>
      <c r="E244" t="n">
        <v>3.381714239</v>
      </c>
      <c r="F244" t="n">
        <v>3.083887246</v>
      </c>
      <c r="G244" t="n">
        <v>6.114071949</v>
      </c>
      <c r="H244" t="n">
        <v>2.15730178</v>
      </c>
      <c r="I244" t="n">
        <v>3.919597357</v>
      </c>
      <c r="J244" t="n">
        <v>4.257373103</v>
      </c>
      <c r="K244" t="n">
        <v>13.9</v>
      </c>
      <c r="L244" t="n">
        <v>5.333857054</v>
      </c>
      <c r="M244" t="n">
        <v>2.077408729</v>
      </c>
      <c r="N244" t="n">
        <v>1.834574414</v>
      </c>
      <c r="O244" t="n">
        <v>2.301909631</v>
      </c>
      <c r="P244" t="n">
        <v>2.306221912</v>
      </c>
      <c r="Q244" t="n">
        <v>3.259416399</v>
      </c>
      <c r="R244" t="n">
        <v>3.30355979</v>
      </c>
      <c r="S244" t="n">
        <v>2.610132853</v>
      </c>
      <c r="U244" t="n">
        <v>6.09991302</v>
      </c>
      <c r="V244" t="n">
        <v>2.118060245</v>
      </c>
      <c r="W244" t="n">
        <v>1.829211593</v>
      </c>
      <c r="Y244" t="n">
        <v>3.15755236</v>
      </c>
      <c r="Z244" t="n">
        <v>0.964196719</v>
      </c>
      <c r="AA244" t="n">
        <v>-0.5382252830000001</v>
      </c>
      <c r="AB244" t="n">
        <v>10.89759</v>
      </c>
      <c r="AC244" t="n">
        <v>5.360200156</v>
      </c>
      <c r="AD244" t="n">
        <v>10.734262383</v>
      </c>
      <c r="AE244" t="n">
        <v>7.146430045</v>
      </c>
      <c r="AF244" t="n">
        <v>-0.15462712</v>
      </c>
      <c r="AG244" t="n">
        <v>0.588988774</v>
      </c>
      <c r="AH244" t="n">
        <v>6.904624178</v>
      </c>
      <c r="AI244" t="n">
        <v>7.396732731</v>
      </c>
      <c r="AJ244" t="n">
        <v>4.445788819</v>
      </c>
      <c r="AK244" t="n">
        <v>2.517704344</v>
      </c>
      <c r="AL244" t="n">
        <v>4.190193103</v>
      </c>
      <c r="AM244" t="n">
        <v>2.416283198</v>
      </c>
      <c r="AN244" t="n">
        <v>3.198178438</v>
      </c>
      <c r="AO244" t="n">
        <v>2.616625305</v>
      </c>
      <c r="AP244" t="n">
        <v>9.114273384000001</v>
      </c>
      <c r="AQ244" t="n">
        <v>2.846505813</v>
      </c>
      <c r="AR244" t="n">
        <v>10.092326711</v>
      </c>
      <c r="AS244" t="n">
        <v>13.930139847</v>
      </c>
      <c r="AT244" t="n">
        <v>5.338129904</v>
      </c>
      <c r="AU244" t="n">
        <v>3.439672502</v>
      </c>
      <c r="AV244" t="n">
        <v>5.968187251</v>
      </c>
      <c r="AW244" t="n">
        <v>2.160883208</v>
      </c>
      <c r="AX244" t="n">
        <v>5.126167166</v>
      </c>
    </row>
    <row r="245">
      <c r="A245" t="inlineStr">
        <is>
          <t>2008-Q1</t>
        </is>
      </c>
      <c r="B245" s="87" t="n">
        <v>39539</v>
      </c>
      <c r="C245" t="n">
        <v>7.720662642</v>
      </c>
      <c r="D245" t="n">
        <v>3.244237332</v>
      </c>
      <c r="E245" t="n">
        <v>3.04071282</v>
      </c>
      <c r="F245" t="n">
        <v>2.082244476</v>
      </c>
      <c r="G245" t="n">
        <v>5.681543308</v>
      </c>
      <c r="H245" t="n">
        <v>1.585825708</v>
      </c>
      <c r="I245" t="n">
        <v>4.19200916</v>
      </c>
      <c r="J245" t="n">
        <v>5.37318059</v>
      </c>
      <c r="K245" t="n">
        <v>11.5</v>
      </c>
      <c r="L245" t="n">
        <v>4.048971347</v>
      </c>
      <c r="M245" t="n">
        <v>2.66654559</v>
      </c>
      <c r="N245" t="n">
        <v>1.45612883</v>
      </c>
      <c r="O245" t="n">
        <v>2.217759582</v>
      </c>
      <c r="P245" t="n">
        <v>2.22484619</v>
      </c>
      <c r="Q245" t="n">
        <v>2.543974892</v>
      </c>
      <c r="R245" t="n">
        <v>-2.231634917</v>
      </c>
      <c r="S245" t="n">
        <v>2.433683489</v>
      </c>
      <c r="U245" t="n">
        <v>3.960451139</v>
      </c>
      <c r="V245" t="n">
        <v>1.815661523</v>
      </c>
      <c r="W245" t="n">
        <v>1.500402192</v>
      </c>
      <c r="Y245" t="n">
        <v>2.58977639</v>
      </c>
      <c r="Z245" t="n">
        <v>2.385711643</v>
      </c>
      <c r="AA245" t="n">
        <v>1.791636305</v>
      </c>
      <c r="AB245" t="n">
        <v>8.53763</v>
      </c>
      <c r="AC245" t="n">
        <v>-2.626966206</v>
      </c>
      <c r="AD245" t="n">
        <v>5.899254987</v>
      </c>
      <c r="AE245" t="n">
        <v>6.000026941</v>
      </c>
      <c r="AF245" t="n">
        <v>1.286697905</v>
      </c>
      <c r="AG245" t="n">
        <v>0.291226924</v>
      </c>
      <c r="AH245" t="n">
        <v>5.567555979</v>
      </c>
      <c r="AI245" t="n">
        <v>3.360666487</v>
      </c>
      <c r="AJ245" t="n">
        <v>4.854410841</v>
      </c>
      <c r="AK245" t="n">
        <v>1.614618937</v>
      </c>
      <c r="AL245" t="n">
        <v>3.347400249</v>
      </c>
      <c r="AM245" t="n">
        <v>1.345777646</v>
      </c>
      <c r="AN245" t="n">
        <v>1.3978805</v>
      </c>
      <c r="AO245" t="n">
        <v>2.108728379</v>
      </c>
      <c r="AP245" t="n">
        <v>5.947544896</v>
      </c>
      <c r="AQ245" t="n">
        <v>1.783361064</v>
      </c>
      <c r="AR245" t="n">
        <v>11.000110756</v>
      </c>
      <c r="AS245" t="n">
        <v>8.418994719000001</v>
      </c>
      <c r="AT245" t="n">
        <v>5.251121064</v>
      </c>
      <c r="AU245" t="n">
        <v>1.639816873</v>
      </c>
      <c r="AV245" t="n">
        <v>6.263136295</v>
      </c>
      <c r="AW245" t="n">
        <v>1.446803001</v>
      </c>
      <c r="AX245" t="n">
        <v>3.881015637</v>
      </c>
    </row>
    <row r="246">
      <c r="A246" t="inlineStr">
        <is>
          <t>2008-Q2</t>
        </is>
      </c>
      <c r="B246" s="87" t="n">
        <v>39630</v>
      </c>
      <c r="C246" t="n">
        <v>5.993137556</v>
      </c>
      <c r="D246" t="n">
        <v>2.899043582</v>
      </c>
      <c r="E246" t="n">
        <v>2.795093299</v>
      </c>
      <c r="F246" t="n">
        <v>1.682569743</v>
      </c>
      <c r="G246" t="n">
        <v>5.997623302</v>
      </c>
      <c r="H246" t="n">
        <v>0.974880143</v>
      </c>
      <c r="I246" t="n">
        <v>3.82542602</v>
      </c>
      <c r="J246" t="n">
        <v>4.415611015</v>
      </c>
      <c r="K246" t="n">
        <v>10.9</v>
      </c>
      <c r="L246" t="n">
        <v>3.955255518</v>
      </c>
      <c r="M246" t="n">
        <v>1.565052917</v>
      </c>
      <c r="N246" t="n">
        <v>0.972250724</v>
      </c>
      <c r="O246" t="n">
        <v>1.141264582</v>
      </c>
      <c r="P246" t="n">
        <v>1.152218554</v>
      </c>
      <c r="Q246" t="n">
        <v>1.744347958</v>
      </c>
      <c r="R246" t="n">
        <v>-1.622401458</v>
      </c>
      <c r="S246" t="n">
        <v>1.433283027</v>
      </c>
      <c r="U246" t="n">
        <v>1.304736046</v>
      </c>
      <c r="V246" t="n">
        <v>0.529656739</v>
      </c>
      <c r="W246" t="n">
        <v>0.971536176</v>
      </c>
      <c r="Y246" t="n">
        <v>1.432620437</v>
      </c>
      <c r="Z246" t="n">
        <v>-1.147594182</v>
      </c>
      <c r="AA246" t="n">
        <v>2.397995744</v>
      </c>
      <c r="AB246" t="n">
        <v>6.97469</v>
      </c>
      <c r="AC246" t="n">
        <v>-3.157570696</v>
      </c>
      <c r="AD246" t="n">
        <v>3.944555831</v>
      </c>
      <c r="AE246" t="n">
        <v>4.17773448</v>
      </c>
      <c r="AF246" t="n">
        <v>0.05290284</v>
      </c>
      <c r="AG246" t="n">
        <v>-0.340926451</v>
      </c>
      <c r="AH246" t="n">
        <v>4.315216973</v>
      </c>
      <c r="AI246" t="n">
        <v>0.011279991</v>
      </c>
      <c r="AJ246" t="n">
        <v>-1.029785659</v>
      </c>
      <c r="AK246" t="n">
        <v>1.584834431</v>
      </c>
      <c r="AL246" t="n">
        <v>3.327802565</v>
      </c>
      <c r="AM246" t="n">
        <v>1.397886801</v>
      </c>
      <c r="AN246" t="n">
        <v>0.194107311</v>
      </c>
      <c r="AO246" t="n">
        <v>1.442654918</v>
      </c>
      <c r="AP246" t="n">
        <v>5.1505504</v>
      </c>
      <c r="AQ246" t="n">
        <v>0.835148152</v>
      </c>
      <c r="AR246" t="n">
        <v>8.940647999999999</v>
      </c>
      <c r="AS246" t="n">
        <v>7.13279152</v>
      </c>
      <c r="AT246" t="n">
        <v>5.581767431</v>
      </c>
      <c r="AU246" t="n">
        <v>1.081632743</v>
      </c>
      <c r="AV246" t="n">
        <v>2.460997175</v>
      </c>
      <c r="AW246" t="n">
        <v>1.380132559</v>
      </c>
      <c r="AX246" t="n">
        <v>4.294531432</v>
      </c>
    </row>
    <row r="247">
      <c r="A247" t="inlineStr">
        <is>
          <t>2008-Q3</t>
        </is>
      </c>
      <c r="B247" s="87" t="n">
        <v>39722</v>
      </c>
      <c r="C247" t="n">
        <v>5.385872278</v>
      </c>
      <c r="D247" t="n">
        <v>2.442890176</v>
      </c>
      <c r="E247" t="n">
        <v>1.816428397</v>
      </c>
      <c r="F247" t="n">
        <v>0.31390366</v>
      </c>
      <c r="G247" t="n">
        <v>6.504087078</v>
      </c>
      <c r="H247" t="n">
        <v>1.377281448</v>
      </c>
      <c r="I247" t="n">
        <v>3.450576239</v>
      </c>
      <c r="J247" t="n">
        <v>3.28079019</v>
      </c>
      <c r="K247" t="n">
        <v>9.5</v>
      </c>
      <c r="L247" t="n">
        <v>2.767976993</v>
      </c>
      <c r="M247" t="n">
        <v>0.397312395</v>
      </c>
      <c r="N247" t="n">
        <v>-0.551895439</v>
      </c>
      <c r="O247" t="n">
        <v>0.156774716</v>
      </c>
      <c r="P247" t="n">
        <v>0.163667355</v>
      </c>
      <c r="Q247" t="n">
        <v>0.784954148</v>
      </c>
      <c r="R247" t="n">
        <v>-1.772981366</v>
      </c>
      <c r="S247" t="n">
        <v>0.420995254</v>
      </c>
      <c r="U247" t="n">
        <v>0.729492064</v>
      </c>
      <c r="V247" t="n">
        <v>-0.039462989</v>
      </c>
      <c r="W247" t="n">
        <v>-0.099414034</v>
      </c>
      <c r="Y247" t="n">
        <v>-0.856525275</v>
      </c>
      <c r="Z247" t="n">
        <v>-0.624737981</v>
      </c>
      <c r="AA247" t="n">
        <v>1.649424873</v>
      </c>
      <c r="AB247" t="n">
        <v>6.00342</v>
      </c>
      <c r="AC247" t="n">
        <v>-1.756963102</v>
      </c>
      <c r="AD247" t="n">
        <v>-0.971719229</v>
      </c>
      <c r="AE247" t="n">
        <v>2.501774833</v>
      </c>
      <c r="AF247" t="n">
        <v>-1.418758168</v>
      </c>
      <c r="AG247" t="n">
        <v>-1.042783429</v>
      </c>
      <c r="AH247" t="n">
        <v>3.946152422</v>
      </c>
      <c r="AI247" t="n">
        <v>-0.077694162</v>
      </c>
      <c r="AJ247" t="n">
        <v>-6.785544233</v>
      </c>
      <c r="AK247" t="n">
        <v>1.284227221</v>
      </c>
      <c r="AL247" t="n">
        <v>2.061055447</v>
      </c>
      <c r="AM247" t="n">
        <v>-0.07184030299999999</v>
      </c>
      <c r="AN247" t="n">
        <v>-0.997506234</v>
      </c>
      <c r="AO247" t="n">
        <v>0.416794401</v>
      </c>
      <c r="AP247" t="n">
        <v>3.350997325</v>
      </c>
      <c r="AQ247" t="n">
        <v>0.544806431</v>
      </c>
      <c r="AR247" t="n">
        <v>5.001309203</v>
      </c>
      <c r="AS247" t="n">
        <v>6.164708231</v>
      </c>
      <c r="AT247" t="n">
        <v>2.878872161</v>
      </c>
      <c r="AU247" t="n">
        <v>-0.215333829</v>
      </c>
      <c r="AV247" t="n">
        <v>0.012943583</v>
      </c>
      <c r="AW247" t="n">
        <v>0.242202378</v>
      </c>
      <c r="AX247" t="n">
        <v>3.332733184</v>
      </c>
    </row>
    <row r="248">
      <c r="A248" t="inlineStr">
        <is>
          <t>2008-Q4</t>
        </is>
      </c>
      <c r="B248" s="87" t="n">
        <v>39814</v>
      </c>
      <c r="C248" t="n">
        <v>-2.517747977</v>
      </c>
      <c r="D248" t="n">
        <v>1.603690799</v>
      </c>
      <c r="E248" t="n">
        <v>-1.337931132</v>
      </c>
      <c r="F248" t="n">
        <v>-2.258376355</v>
      </c>
      <c r="G248" t="n">
        <v>1.045234701</v>
      </c>
      <c r="H248" t="n">
        <v>0.08807601</v>
      </c>
      <c r="I248" t="n">
        <v>-0.59801991</v>
      </c>
      <c r="J248" t="n">
        <v>0.5611121489999999</v>
      </c>
      <c r="K248" t="n">
        <v>7.1</v>
      </c>
      <c r="L248" t="n">
        <v>-0.559072765</v>
      </c>
      <c r="M248" t="n">
        <v>-1.835047698</v>
      </c>
      <c r="N248" t="n">
        <v>-3.867425881</v>
      </c>
      <c r="O248" t="n">
        <v>-2.1670512</v>
      </c>
      <c r="P248" t="n">
        <v>-2.160580502</v>
      </c>
      <c r="Q248" t="n">
        <v>-1.475901573</v>
      </c>
      <c r="R248" t="n">
        <v>-12.838646998</v>
      </c>
      <c r="S248" t="n">
        <v>-2.016475252</v>
      </c>
      <c r="U248" t="n">
        <v>-2.715996578</v>
      </c>
      <c r="V248" t="n">
        <v>-1.701729823</v>
      </c>
      <c r="W248" t="n">
        <v>-2.666038787</v>
      </c>
      <c r="Y248" t="n">
        <v>-3.709229694</v>
      </c>
      <c r="Z248" t="n">
        <v>-1.52470938</v>
      </c>
      <c r="AA248" t="n">
        <v>-2.239549201</v>
      </c>
      <c r="AB248" t="n">
        <v>2.66643</v>
      </c>
      <c r="AC248" t="n">
        <v>-9.647492314999999</v>
      </c>
      <c r="AD248" t="n">
        <v>0.201568187</v>
      </c>
      <c r="AE248" t="n">
        <v>0.237878849</v>
      </c>
      <c r="AF248" t="n">
        <v>-3.772591961</v>
      </c>
      <c r="AG248" t="n">
        <v>-3.898490209</v>
      </c>
      <c r="AH248" t="n">
        <v>-1.589977756</v>
      </c>
      <c r="AI248" t="n">
        <v>-4.516749601</v>
      </c>
      <c r="AJ248" t="n">
        <v>-7.968306684</v>
      </c>
      <c r="AK248" t="n">
        <v>-0.759985249</v>
      </c>
      <c r="AL248" t="n">
        <v>0.034028853</v>
      </c>
      <c r="AM248" t="n">
        <v>-0.8398433709999999</v>
      </c>
      <c r="AN248" t="n">
        <v>-1.837982268</v>
      </c>
      <c r="AO248" t="n">
        <v>-2.303882439</v>
      </c>
      <c r="AP248" t="n">
        <v>2.150813024</v>
      </c>
      <c r="AQ248" t="n">
        <v>-1.851532345</v>
      </c>
      <c r="AR248" t="n">
        <v>-1.557639212</v>
      </c>
      <c r="AS248" t="n">
        <v>1.040949712</v>
      </c>
      <c r="AT248" t="n">
        <v>-1.139050741</v>
      </c>
      <c r="AU248" t="n">
        <v>-4.846110366</v>
      </c>
      <c r="AV248" t="n">
        <v>-5.762221898</v>
      </c>
      <c r="AW248" t="n">
        <v>-2.54033926</v>
      </c>
      <c r="AX248" t="n">
        <v>1.308885463</v>
      </c>
    </row>
    <row r="249">
      <c r="A249" t="inlineStr">
        <is>
          <t>2009-Q1</t>
        </is>
      </c>
      <c r="B249" s="87" t="n">
        <v>39904</v>
      </c>
      <c r="C249" t="n">
        <v>-6.965202768</v>
      </c>
      <c r="D249" t="n">
        <v>1.520124818</v>
      </c>
      <c r="E249" t="n">
        <v>-3.871822651</v>
      </c>
      <c r="F249" t="n">
        <v>-3.625919024</v>
      </c>
      <c r="G249" t="n">
        <v>-1.612116872</v>
      </c>
      <c r="H249" t="n">
        <v>-2.248517705</v>
      </c>
      <c r="I249" t="n">
        <v>-3.191357919</v>
      </c>
      <c r="J249" t="n">
        <v>-1.99326375</v>
      </c>
      <c r="K249" t="n">
        <v>6.4</v>
      </c>
      <c r="L249" t="n">
        <v>-4.339281011</v>
      </c>
      <c r="M249" t="n">
        <v>-7.028663586</v>
      </c>
      <c r="N249" t="n">
        <v>-5.196421572</v>
      </c>
      <c r="O249" t="n">
        <v>-5.68194718</v>
      </c>
      <c r="P249" t="n">
        <v>-5.693871129</v>
      </c>
      <c r="Q249" t="n">
        <v>-4.2496023</v>
      </c>
      <c r="R249" t="n">
        <v>-13.223558706</v>
      </c>
      <c r="S249" t="n">
        <v>-5.383022509</v>
      </c>
      <c r="U249" t="n">
        <v>-8.905661724</v>
      </c>
      <c r="V249" t="n">
        <v>-3.888470827</v>
      </c>
      <c r="W249" t="n">
        <v>-4.980436202</v>
      </c>
      <c r="Y249" t="n">
        <v>-6.033621752</v>
      </c>
      <c r="Z249" t="n">
        <v>-6.770290811</v>
      </c>
      <c r="AA249" t="n">
        <v>-7.209037456</v>
      </c>
      <c r="AB249" t="n">
        <v>0.16417</v>
      </c>
      <c r="AC249" t="n">
        <v>-7.21637064</v>
      </c>
      <c r="AD249" t="n">
        <v>-6.82567476</v>
      </c>
      <c r="AE249" t="n">
        <v>-0.925535474</v>
      </c>
      <c r="AF249" t="n">
        <v>-7.253740789</v>
      </c>
      <c r="AG249" t="n">
        <v>-8.847223656000001</v>
      </c>
      <c r="AH249" t="n">
        <v>-1.896186505</v>
      </c>
      <c r="AI249" t="n">
        <v>-7.313724218</v>
      </c>
      <c r="AJ249" t="n">
        <v>-13.019367857</v>
      </c>
      <c r="AK249" t="n">
        <v>-5.662833478</v>
      </c>
      <c r="AL249" t="n">
        <v>-3.875672173</v>
      </c>
      <c r="AM249" t="n">
        <v>-1.298089875</v>
      </c>
      <c r="AN249" t="n">
        <v>-2.28751525</v>
      </c>
      <c r="AO249" t="n">
        <v>-4.755996774</v>
      </c>
      <c r="AP249" t="n">
        <v>2.164616126</v>
      </c>
      <c r="AQ249" t="n">
        <v>-4.328946865</v>
      </c>
      <c r="AR249" t="n">
        <v>-7.484284221</v>
      </c>
      <c r="AS249" t="n">
        <v>-6.130409471</v>
      </c>
      <c r="AT249" t="n">
        <v>-6.964902065</v>
      </c>
      <c r="AU249" t="n">
        <v>-5.487497172</v>
      </c>
      <c r="AV249" t="n">
        <v>-12.933908436</v>
      </c>
      <c r="AW249" t="n">
        <v>-3.282392444</v>
      </c>
      <c r="AX249" t="n">
        <v>-0.684149216</v>
      </c>
    </row>
    <row r="250">
      <c r="A250" t="inlineStr">
        <is>
          <t>2009-Q2</t>
        </is>
      </c>
      <c r="B250" s="87" t="n">
        <v>39995</v>
      </c>
      <c r="C250" t="n">
        <v>-9.546060721</v>
      </c>
      <c r="D250" t="n">
        <v>1.92068742</v>
      </c>
      <c r="E250" t="n">
        <v>-5.369607596</v>
      </c>
      <c r="F250" t="n">
        <v>-3.641015145</v>
      </c>
      <c r="G250" t="n">
        <v>-1.897180343</v>
      </c>
      <c r="H250" t="n">
        <v>-3.663660624</v>
      </c>
      <c r="I250" t="n">
        <v>-3.769412131</v>
      </c>
      <c r="J250" t="n">
        <v>-2.660108913</v>
      </c>
      <c r="K250" t="n">
        <v>8.199999999999999</v>
      </c>
      <c r="L250" t="n">
        <v>-5.386292231</v>
      </c>
      <c r="M250" t="n">
        <v>-6.652650079</v>
      </c>
      <c r="N250" t="n">
        <v>-6.168268009</v>
      </c>
      <c r="O250" t="n">
        <v>-5.383668224</v>
      </c>
      <c r="P250" t="n">
        <v>-5.397441163</v>
      </c>
      <c r="Q250" t="n">
        <v>-4.364486912</v>
      </c>
      <c r="R250" t="n">
        <v>-16.995008001</v>
      </c>
      <c r="S250" t="n">
        <v>-5.187904</v>
      </c>
      <c r="U250" t="n">
        <v>-8.569424207999999</v>
      </c>
      <c r="V250" t="n">
        <v>-3.301407616</v>
      </c>
      <c r="W250" t="n">
        <v>-4.911575231</v>
      </c>
      <c r="Y250" t="n">
        <v>-5.854582322</v>
      </c>
      <c r="Z250" t="n">
        <v>-3.564516207</v>
      </c>
      <c r="AA250" t="n">
        <v>-7.631313801</v>
      </c>
      <c r="AB250" t="n">
        <v>4.88252</v>
      </c>
      <c r="AC250" t="n">
        <v>-5.627353201</v>
      </c>
      <c r="AD250" t="n">
        <v>-10.520509761</v>
      </c>
      <c r="AE250" t="n">
        <v>0.33099423</v>
      </c>
      <c r="AF250" t="n">
        <v>-6.830987656</v>
      </c>
      <c r="AG250" t="n">
        <v>-6.517468563</v>
      </c>
      <c r="AH250" t="n">
        <v>-1.106362311</v>
      </c>
      <c r="AI250" t="n">
        <v>-5.119012108</v>
      </c>
      <c r="AJ250" t="n">
        <v>-14.89167793</v>
      </c>
      <c r="AK250" t="n">
        <v>-7.755977717</v>
      </c>
      <c r="AL250" t="n">
        <v>-4.344447473</v>
      </c>
      <c r="AM250" t="n">
        <v>-2.220005934</v>
      </c>
      <c r="AN250" t="n">
        <v>-2.037237188</v>
      </c>
      <c r="AO250" t="n">
        <v>-4.579699836</v>
      </c>
      <c r="AP250" t="n">
        <v>1.794937715</v>
      </c>
      <c r="AQ250" t="n">
        <v>-3.769342325</v>
      </c>
      <c r="AR250" t="n">
        <v>-9.397149205</v>
      </c>
      <c r="AS250" t="n">
        <v>-5.710966074</v>
      </c>
      <c r="AT250" t="n">
        <v>-9.50019095</v>
      </c>
      <c r="AU250" t="n">
        <v>-5.384325477</v>
      </c>
      <c r="AV250" t="n">
        <v>-6.113517389</v>
      </c>
      <c r="AW250" t="n">
        <v>-3.995504779</v>
      </c>
      <c r="AX250" t="n">
        <v>-2.218810477</v>
      </c>
    </row>
    <row r="251">
      <c r="A251" t="inlineStr">
        <is>
          <t>2009-Q3</t>
        </is>
      </c>
      <c r="B251" s="87" t="n">
        <v>40087</v>
      </c>
      <c r="C251" t="n">
        <v>-6.685082435</v>
      </c>
      <c r="D251" t="n">
        <v>1.576440172</v>
      </c>
      <c r="E251" t="n">
        <v>-4.374892967</v>
      </c>
      <c r="F251" t="n">
        <v>-1.849735973</v>
      </c>
      <c r="G251" t="n">
        <v>-1.055960885</v>
      </c>
      <c r="H251" t="n">
        <v>-4.017306655</v>
      </c>
      <c r="I251" t="n">
        <v>-2.90384016</v>
      </c>
      <c r="J251" t="n">
        <v>-0.686240264</v>
      </c>
      <c r="K251" t="n">
        <v>10.6</v>
      </c>
      <c r="L251" t="n">
        <v>-5.168392565</v>
      </c>
      <c r="M251" t="n">
        <v>-5.529560119</v>
      </c>
      <c r="N251" t="n">
        <v>-5.290600352</v>
      </c>
      <c r="O251" t="n">
        <v>-4.49933129</v>
      </c>
      <c r="P251" t="n">
        <v>-4.515453751</v>
      </c>
      <c r="Q251" t="n">
        <v>-3.984658229</v>
      </c>
      <c r="R251" t="n">
        <v>-18.666624463</v>
      </c>
      <c r="S251" t="n">
        <v>-4.379505977</v>
      </c>
      <c r="U251" t="n">
        <v>-8.041588240999999</v>
      </c>
      <c r="V251" t="n">
        <v>-3.095054663</v>
      </c>
      <c r="W251" t="n">
        <v>-3.968381607</v>
      </c>
      <c r="Y251" t="n">
        <v>-4.281753795</v>
      </c>
      <c r="Z251" t="n">
        <v>-4.170677348</v>
      </c>
      <c r="AA251" t="n">
        <v>-7.451428512</v>
      </c>
      <c r="AB251" t="n">
        <v>6.63314</v>
      </c>
      <c r="AC251" t="n">
        <v>-5.516667632</v>
      </c>
      <c r="AD251" t="n">
        <v>-4.054645758</v>
      </c>
      <c r="AE251" t="n">
        <v>0.93902072</v>
      </c>
      <c r="AF251" t="n">
        <v>-5.038380824</v>
      </c>
      <c r="AG251" t="n">
        <v>-5.384266095</v>
      </c>
      <c r="AH251" t="n">
        <v>1.028926786</v>
      </c>
      <c r="AI251" t="n">
        <v>-2.284712245</v>
      </c>
      <c r="AJ251" t="n">
        <v>-15.828596598</v>
      </c>
      <c r="AK251" t="n">
        <v>-5.017302596</v>
      </c>
      <c r="AL251" t="n">
        <v>-3.843695076</v>
      </c>
      <c r="AM251" t="n">
        <v>-1.977748852</v>
      </c>
      <c r="AN251" t="n">
        <v>-1.140668837</v>
      </c>
      <c r="AO251" t="n">
        <v>-3.539875839</v>
      </c>
      <c r="AP251" t="n">
        <v>2.521928621</v>
      </c>
      <c r="AQ251" t="n">
        <v>-2.840185393</v>
      </c>
      <c r="AR251" t="n">
        <v>-7.64863958</v>
      </c>
      <c r="AS251" t="n">
        <v>-5.379677458</v>
      </c>
      <c r="AT251" t="n">
        <v>-8.767717316000001</v>
      </c>
      <c r="AU251" t="n">
        <v>-4.965815136</v>
      </c>
      <c r="AV251" t="n">
        <v>-2.085237668</v>
      </c>
      <c r="AW251" t="n">
        <v>-3.137675003</v>
      </c>
      <c r="AX251" t="n">
        <v>-2.225664366</v>
      </c>
    </row>
    <row r="252">
      <c r="A252" t="inlineStr">
        <is>
          <t>2009-Q4</t>
        </is>
      </c>
      <c r="B252" s="87" t="n">
        <v>40179</v>
      </c>
      <c r="C252" t="n">
        <v>-0.254340879</v>
      </c>
      <c r="D252" t="n">
        <v>2.777557742</v>
      </c>
      <c r="E252" t="n">
        <v>-1.517665278</v>
      </c>
      <c r="F252" t="n">
        <v>1.131078891</v>
      </c>
      <c r="G252" t="n">
        <v>5.344868273</v>
      </c>
      <c r="H252" t="n">
        <v>-1.758873711</v>
      </c>
      <c r="I252" t="n">
        <v>0.727457489</v>
      </c>
      <c r="J252" t="n">
        <v>1.349222364</v>
      </c>
      <c r="K252" t="n">
        <v>11.9</v>
      </c>
      <c r="L252" t="n">
        <v>-3.19054301</v>
      </c>
      <c r="M252" t="n">
        <v>-3.293268355</v>
      </c>
      <c r="N252" t="n">
        <v>-2.911942209</v>
      </c>
      <c r="O252" t="n">
        <v>-2.313953408</v>
      </c>
      <c r="P252" t="n">
        <v>-2.32638438</v>
      </c>
      <c r="Q252" t="n">
        <v>-2.430918826</v>
      </c>
      <c r="R252" t="n">
        <v>-7.354948874</v>
      </c>
      <c r="S252" t="n">
        <v>-2.149074077</v>
      </c>
      <c r="U252" t="n">
        <v>-6.75056789</v>
      </c>
      <c r="V252" t="n">
        <v>-0.81930369</v>
      </c>
      <c r="W252" t="n">
        <v>-0.97504057</v>
      </c>
      <c r="Y252" t="n">
        <v>-1.759015516</v>
      </c>
      <c r="Z252" t="n">
        <v>-2.688349298</v>
      </c>
      <c r="AA252" t="n">
        <v>-4.141165302</v>
      </c>
      <c r="AB252" t="n">
        <v>8.767620000000001</v>
      </c>
      <c r="AC252" t="n">
        <v>-4.464207358</v>
      </c>
      <c r="AD252" t="n">
        <v>-9.022141433</v>
      </c>
      <c r="AE252" t="n">
        <v>3.262038212</v>
      </c>
      <c r="AF252" t="n">
        <v>-2.042722557</v>
      </c>
      <c r="AG252" t="n">
        <v>-1.786698206</v>
      </c>
      <c r="AH252" t="n">
        <v>5.239425329</v>
      </c>
      <c r="AI252" t="n">
        <v>1.927611799</v>
      </c>
      <c r="AJ252" t="n">
        <v>-13.455298689</v>
      </c>
      <c r="AK252" t="n">
        <v>-1.84079046</v>
      </c>
      <c r="AL252" t="n">
        <v>-2.62188036</v>
      </c>
      <c r="AM252" t="n">
        <v>-2.231223818</v>
      </c>
      <c r="AN252" t="n">
        <v>0.8475275289999999</v>
      </c>
      <c r="AO252" t="n">
        <v>-0.681150173</v>
      </c>
      <c r="AP252" t="n">
        <v>3.961156216</v>
      </c>
      <c r="AQ252" t="n">
        <v>-1.521659332</v>
      </c>
      <c r="AR252" t="n">
        <v>-3.511662307</v>
      </c>
      <c r="AS252" t="n">
        <v>-4.632789948</v>
      </c>
      <c r="AT252" t="n">
        <v>-5.318814187</v>
      </c>
      <c r="AU252" t="n">
        <v>-1.016570397</v>
      </c>
      <c r="AV252" t="n">
        <v>2.428114659</v>
      </c>
      <c r="AW252" t="n">
        <v>0.08165758400000001</v>
      </c>
      <c r="AX252" t="n">
        <v>-1.010038329</v>
      </c>
    </row>
    <row r="253">
      <c r="A253" t="inlineStr">
        <is>
          <t>2010-Q1</t>
        </is>
      </c>
      <c r="B253" s="87" t="n">
        <v>40269</v>
      </c>
      <c r="C253" t="n">
        <v>6.657640165</v>
      </c>
      <c r="D253" t="n">
        <v>2.276427293</v>
      </c>
      <c r="E253" t="n">
        <v>-0.199032614</v>
      </c>
      <c r="F253" t="n">
        <v>2.654143247</v>
      </c>
      <c r="G253" t="n">
        <v>9.065374609999999</v>
      </c>
      <c r="H253" t="n">
        <v>1.724913568</v>
      </c>
      <c r="I253" t="n">
        <v>3.565545449</v>
      </c>
      <c r="J253" t="n">
        <v>2.174024178</v>
      </c>
      <c r="K253" t="n">
        <v>12.2</v>
      </c>
      <c r="L253" t="n">
        <v>0.8526157090000001</v>
      </c>
      <c r="M253" t="n">
        <v>2.283396812</v>
      </c>
      <c r="N253" t="n">
        <v>-0.659459022</v>
      </c>
      <c r="O253" t="n">
        <v>1.248984549</v>
      </c>
      <c r="P253" t="n">
        <v>1.238240834</v>
      </c>
      <c r="Q253" t="n">
        <v>0.151644676</v>
      </c>
      <c r="R253" t="n">
        <v>-3.519527566</v>
      </c>
      <c r="S253" t="n">
        <v>1.176089953</v>
      </c>
      <c r="U253" t="n">
        <v>0.70712215</v>
      </c>
      <c r="V253" t="n">
        <v>1.215967012</v>
      </c>
      <c r="W253" t="n">
        <v>2.020260918</v>
      </c>
      <c r="Y253" t="n">
        <v>1.137105205</v>
      </c>
      <c r="Z253" t="n">
        <v>-3.639612461</v>
      </c>
      <c r="AA253" t="n">
        <v>0.060538865</v>
      </c>
      <c r="AB253" t="n">
        <v>13.69473</v>
      </c>
      <c r="AC253" t="n">
        <v>-0.423281586</v>
      </c>
      <c r="AD253" t="n">
        <v>-5.037593486</v>
      </c>
      <c r="AE253" t="n">
        <v>5.127964934</v>
      </c>
      <c r="AF253" t="n">
        <v>0.80554236</v>
      </c>
      <c r="AG253" t="n">
        <v>4.256864836</v>
      </c>
      <c r="AH253" t="n">
        <v>7.204676456</v>
      </c>
      <c r="AI253" t="n">
        <v>5.482289694</v>
      </c>
      <c r="AJ253" t="n">
        <v>-10.728076707</v>
      </c>
      <c r="AK253" t="n">
        <v>4.539913616</v>
      </c>
      <c r="AL253" t="n">
        <v>0.81722149</v>
      </c>
      <c r="AM253" t="n">
        <v>1.534443832</v>
      </c>
      <c r="AN253" t="n">
        <v>2.103839351</v>
      </c>
      <c r="AO253" t="n">
        <v>2.318547184</v>
      </c>
      <c r="AP253" t="n">
        <v>1.995048572</v>
      </c>
      <c r="AQ253" t="n">
        <v>1.852117731</v>
      </c>
      <c r="AR253" t="n">
        <v>2.154681118</v>
      </c>
      <c r="AS253" t="n">
        <v>7.795823568</v>
      </c>
      <c r="AT253" t="n">
        <v>-1.140563136</v>
      </c>
      <c r="AU253" t="n">
        <v>3.146547359</v>
      </c>
      <c r="AV253" t="n">
        <v>8.25769382</v>
      </c>
      <c r="AW253" t="n">
        <v>1.768457232</v>
      </c>
      <c r="AX253" t="n">
        <v>1.727313894</v>
      </c>
    </row>
    <row r="254">
      <c r="A254" t="inlineStr">
        <is>
          <t>2010-Q2</t>
        </is>
      </c>
      <c r="B254" s="87" t="n">
        <v>40360</v>
      </c>
      <c r="C254" t="n">
        <v>13.985253689</v>
      </c>
      <c r="D254" t="n">
        <v>2.197694469</v>
      </c>
      <c r="E254" t="n">
        <v>1.900161196</v>
      </c>
      <c r="F254" t="n">
        <v>3.616108409</v>
      </c>
      <c r="G254" t="n">
        <v>8.525937433999999</v>
      </c>
      <c r="H254" t="n">
        <v>3.385402366</v>
      </c>
      <c r="I254" t="n">
        <v>3.603068662</v>
      </c>
      <c r="J254" t="n">
        <v>6.260029721</v>
      </c>
      <c r="K254" t="n">
        <v>10.8</v>
      </c>
      <c r="L254" t="n">
        <v>2.474577713</v>
      </c>
      <c r="M254" t="n">
        <v>4.420073848</v>
      </c>
      <c r="N254" t="n">
        <v>1.996593348</v>
      </c>
      <c r="O254" t="n">
        <v>2.254478553</v>
      </c>
      <c r="P254" t="n">
        <v>2.231615235</v>
      </c>
      <c r="Q254" t="n">
        <v>0.312595247</v>
      </c>
      <c r="R254" t="n">
        <v>1.115472518</v>
      </c>
      <c r="S254" t="n">
        <v>2.256833146</v>
      </c>
      <c r="U254" t="n">
        <v>3.942631175</v>
      </c>
      <c r="V254" t="n">
        <v>1.718862058</v>
      </c>
      <c r="W254" t="n">
        <v>3.001290875</v>
      </c>
      <c r="Y254" t="n">
        <v>2.588061734</v>
      </c>
      <c r="Z254" t="n">
        <v>-9.602162251999999</v>
      </c>
      <c r="AA254" t="n">
        <v>0.821259514</v>
      </c>
      <c r="AB254" t="n">
        <v>10.03998</v>
      </c>
      <c r="AC254" t="n">
        <v>0.224126996</v>
      </c>
      <c r="AD254" t="n">
        <v>-1.320652377</v>
      </c>
      <c r="AE254" t="n">
        <v>5.400531087</v>
      </c>
      <c r="AF254" t="n">
        <v>2.01610215</v>
      </c>
      <c r="AG254" t="n">
        <v>3.487596859</v>
      </c>
      <c r="AH254" t="n">
        <v>7.804557338</v>
      </c>
      <c r="AI254" t="n">
        <v>5.613927977</v>
      </c>
      <c r="AJ254" t="n">
        <v>-6.012138838</v>
      </c>
      <c r="AK254" t="n">
        <v>7.285198448</v>
      </c>
      <c r="AL254" t="n">
        <v>1.25721918</v>
      </c>
      <c r="AM254" t="n">
        <v>1.349225128</v>
      </c>
      <c r="AN254" t="n">
        <v>2.804030143</v>
      </c>
      <c r="AO254" t="n">
        <v>3.245964217</v>
      </c>
      <c r="AP254" t="n">
        <v>3.251620325</v>
      </c>
      <c r="AQ254" t="n">
        <v>2.323261872</v>
      </c>
      <c r="AR254" t="n">
        <v>4.651978456</v>
      </c>
      <c r="AS254" t="n">
        <v>7.303268833</v>
      </c>
      <c r="AT254" t="n">
        <v>1.686233725</v>
      </c>
      <c r="AU254" t="n">
        <v>5.232795608</v>
      </c>
      <c r="AV254" t="n">
        <v>8.042974126000001</v>
      </c>
      <c r="AW254" t="n">
        <v>2.927467845</v>
      </c>
      <c r="AX254" t="n">
        <v>2.934508105</v>
      </c>
    </row>
    <row r="255">
      <c r="A255" t="inlineStr">
        <is>
          <t>2010-Q3</t>
        </is>
      </c>
      <c r="B255" s="87" t="n">
        <v>40452</v>
      </c>
      <c r="C255" t="n">
        <v>10.289328915</v>
      </c>
      <c r="D255" t="n">
        <v>2.54804356</v>
      </c>
      <c r="E255" t="n">
        <v>2.482078257</v>
      </c>
      <c r="F255" t="n">
        <v>2.749811226</v>
      </c>
      <c r="G255" t="n">
        <v>6.968465578</v>
      </c>
      <c r="H255" t="n">
        <v>3.651720446</v>
      </c>
      <c r="I255" t="n">
        <v>2.721058967</v>
      </c>
      <c r="J255" t="n">
        <v>7.468611937</v>
      </c>
      <c r="K255" t="n">
        <v>9.9</v>
      </c>
      <c r="L255" t="n">
        <v>2.734126274</v>
      </c>
      <c r="M255" t="n">
        <v>4.689932893</v>
      </c>
      <c r="N255" t="n">
        <v>3.256597062</v>
      </c>
      <c r="O255" t="n">
        <v>2.272278465</v>
      </c>
      <c r="P255" t="n">
        <v>2.262242387</v>
      </c>
      <c r="Q255" t="n">
        <v>0.05007177</v>
      </c>
      <c r="R255" t="n">
        <v>4.656288519</v>
      </c>
      <c r="S255" t="n">
        <v>2.390373792</v>
      </c>
      <c r="U255" t="n">
        <v>2.567301507</v>
      </c>
      <c r="V255" t="n">
        <v>2.263660129</v>
      </c>
      <c r="W255" t="n">
        <v>3.593913673</v>
      </c>
      <c r="Y255" t="n">
        <v>3.102491743</v>
      </c>
      <c r="Z255" t="n">
        <v>-11.905807325</v>
      </c>
      <c r="AA255" t="n">
        <v>1.608437816</v>
      </c>
      <c r="AB255" t="n">
        <v>10.47142</v>
      </c>
      <c r="AC255" t="n">
        <v>1.471296202</v>
      </c>
      <c r="AD255" t="n">
        <v>-4.38654581</v>
      </c>
      <c r="AE255" t="n">
        <v>5.756601018</v>
      </c>
      <c r="AF255" t="n">
        <v>1.825024635</v>
      </c>
      <c r="AG255" t="n">
        <v>5.410410511</v>
      </c>
      <c r="AH255" t="n">
        <v>5.881250359</v>
      </c>
      <c r="AI255" t="n">
        <v>2.162927314</v>
      </c>
      <c r="AJ255" t="n">
        <v>-1.340284519</v>
      </c>
      <c r="AK255" t="n">
        <v>4.8362326</v>
      </c>
      <c r="AL255" t="n">
        <v>1.29867369</v>
      </c>
      <c r="AM255" t="n">
        <v>-1.23560036</v>
      </c>
      <c r="AN255" t="n">
        <v>2.079794506</v>
      </c>
      <c r="AO255" t="n">
        <v>3.500135527</v>
      </c>
      <c r="AP255" t="n">
        <v>3.747151385</v>
      </c>
      <c r="AQ255" t="n">
        <v>1.513466221</v>
      </c>
      <c r="AR255" t="n">
        <v>4.769842874</v>
      </c>
      <c r="AS255" t="n">
        <v>6.62556348</v>
      </c>
      <c r="AT255" t="n">
        <v>1.812863717</v>
      </c>
      <c r="AU255" t="n">
        <v>6.591883302</v>
      </c>
      <c r="AV255" t="n">
        <v>8.438593135</v>
      </c>
      <c r="AW255" t="n">
        <v>3.349193814</v>
      </c>
      <c r="AX255" t="n">
        <v>3.610598323</v>
      </c>
    </row>
    <row r="256">
      <c r="A256" t="inlineStr">
        <is>
          <t>2010-Q4</t>
        </is>
      </c>
      <c r="B256" s="87" t="n">
        <v>40544</v>
      </c>
      <c r="C256" t="n">
        <v>9.669235198999999</v>
      </c>
      <c r="D256" t="n">
        <v>2.627411299</v>
      </c>
      <c r="E256" t="n">
        <v>2.971830493</v>
      </c>
      <c r="F256" t="n">
        <v>2.447017697</v>
      </c>
      <c r="G256" t="n">
        <v>5.771230086</v>
      </c>
      <c r="H256" t="n">
        <v>3.601873242</v>
      </c>
      <c r="I256" t="n">
        <v>2.977540689</v>
      </c>
      <c r="J256" t="n">
        <v>7.425977862</v>
      </c>
      <c r="K256" t="n">
        <v>9.9</v>
      </c>
      <c r="L256" t="n">
        <v>3.123834569</v>
      </c>
      <c r="M256" t="n">
        <v>4.768083912</v>
      </c>
      <c r="N256" t="n">
        <v>2.930815669</v>
      </c>
      <c r="O256" t="n">
        <v>2.43907181</v>
      </c>
      <c r="P256" t="n">
        <v>2.418561863</v>
      </c>
      <c r="Q256" t="n">
        <v>0.137653144</v>
      </c>
      <c r="R256" t="n">
        <v>6.356619817</v>
      </c>
      <c r="S256" t="n">
        <v>2.539057764</v>
      </c>
      <c r="U256" t="n">
        <v>5.536019488</v>
      </c>
      <c r="V256" t="n">
        <v>2.007185124</v>
      </c>
      <c r="W256" t="n">
        <v>2.99102839</v>
      </c>
      <c r="Y256" t="n">
        <v>2.893268646</v>
      </c>
      <c r="Z256" t="n">
        <v>-12.649989126</v>
      </c>
      <c r="AA256" t="n">
        <v>1.60112906</v>
      </c>
      <c r="AB256" t="n">
        <v>10.68164</v>
      </c>
      <c r="AC256" t="n">
        <v>3.311066772</v>
      </c>
      <c r="AD256" t="n">
        <v>-0.591049679</v>
      </c>
      <c r="AE256" t="n">
        <v>5.935955119</v>
      </c>
      <c r="AF256" t="n">
        <v>2.033892128</v>
      </c>
      <c r="AG256" t="n">
        <v>3.264967113</v>
      </c>
      <c r="AH256" t="n">
        <v>6.377779149</v>
      </c>
      <c r="AI256" t="n">
        <v>1.785602026</v>
      </c>
      <c r="AJ256" t="n">
        <v>-0.799900542</v>
      </c>
      <c r="AK256" t="n">
        <v>3.920299191</v>
      </c>
      <c r="AL256" t="n">
        <v>1.828137541</v>
      </c>
      <c r="AM256" t="n">
        <v>1.48916142</v>
      </c>
      <c r="AN256" t="n">
        <v>0.224925877</v>
      </c>
      <c r="AO256" t="n">
        <v>3.162904613</v>
      </c>
      <c r="AP256" t="n">
        <v>3.28917474</v>
      </c>
      <c r="AQ256" t="n">
        <v>1.268103738</v>
      </c>
      <c r="AR256" t="n">
        <v>4.951509523</v>
      </c>
      <c r="AS256" t="n">
        <v>5.219687743</v>
      </c>
      <c r="AT256" t="n">
        <v>2.529096557</v>
      </c>
      <c r="AU256" t="n">
        <v>7.739000568</v>
      </c>
      <c r="AV256" t="n">
        <v>9.577551981999999</v>
      </c>
      <c r="AW256" t="n">
        <v>2.788449691</v>
      </c>
      <c r="AX256" t="n">
        <v>3.88212211</v>
      </c>
    </row>
    <row r="257">
      <c r="A257" t="inlineStr">
        <is>
          <t>2011-Q1</t>
        </is>
      </c>
      <c r="B257" s="87" t="n">
        <v>40634</v>
      </c>
      <c r="C257" t="n">
        <v>8.975220755</v>
      </c>
      <c r="D257" t="n">
        <v>1.879183665</v>
      </c>
      <c r="E257" t="n">
        <v>4.273664756</v>
      </c>
      <c r="F257" t="n">
        <v>2.409563732</v>
      </c>
      <c r="G257" t="n">
        <v>5.057971656</v>
      </c>
      <c r="H257" t="n">
        <v>3.140203861</v>
      </c>
      <c r="I257" t="n">
        <v>2.521087208</v>
      </c>
      <c r="J257" t="n">
        <v>8.327755967</v>
      </c>
      <c r="K257" t="n">
        <v>10.2</v>
      </c>
      <c r="L257" t="n">
        <v>3.006466566</v>
      </c>
      <c r="M257" t="n">
        <v>5.93925147</v>
      </c>
      <c r="N257" t="n">
        <v>2.271855039</v>
      </c>
      <c r="O257" t="n">
        <v>2.919993529</v>
      </c>
      <c r="P257" t="n">
        <v>2.900346043</v>
      </c>
      <c r="Q257" t="n">
        <v>0.009648999</v>
      </c>
      <c r="R257" t="n">
        <v>7.037821137</v>
      </c>
      <c r="S257" t="n">
        <v>3.054357369</v>
      </c>
      <c r="U257" t="n">
        <v>5.072646996</v>
      </c>
      <c r="V257" t="n">
        <v>2.825736691</v>
      </c>
      <c r="W257" t="n">
        <v>2.42907401</v>
      </c>
      <c r="Y257" t="n">
        <v>2.183685052</v>
      </c>
      <c r="Z257" t="n">
        <v>-11.093050559</v>
      </c>
      <c r="AA257" t="n">
        <v>2.6402291</v>
      </c>
      <c r="AB257" t="n">
        <v>9.85149</v>
      </c>
      <c r="AC257" t="n">
        <v>2.306109831</v>
      </c>
      <c r="AD257" t="n">
        <v>1.495852886</v>
      </c>
      <c r="AE257" t="n">
        <v>5.655434713</v>
      </c>
      <c r="AF257" t="n">
        <v>2.214568717</v>
      </c>
      <c r="AG257" t="n">
        <v>1.113922046</v>
      </c>
      <c r="AH257" t="n">
        <v>5.307370682</v>
      </c>
      <c r="AI257" t="n">
        <v>1.653152439</v>
      </c>
      <c r="AJ257" t="n">
        <v>-1.542650913</v>
      </c>
      <c r="AK257" t="n">
        <v>3.623236933</v>
      </c>
      <c r="AL257" t="n">
        <v>2.609628368</v>
      </c>
      <c r="AM257" t="n">
        <v>-0.762608685</v>
      </c>
      <c r="AN257" t="n">
        <v>1.000692944</v>
      </c>
      <c r="AO257" t="n">
        <v>2.825923774</v>
      </c>
      <c r="AP257" t="n">
        <v>5.346284522</v>
      </c>
      <c r="AQ257" t="n">
        <v>-0.222233209</v>
      </c>
      <c r="AR257" t="n">
        <v>3.941124146</v>
      </c>
      <c r="AS257" t="n">
        <v>3.441565223</v>
      </c>
      <c r="AT257" t="n">
        <v>3.280173995</v>
      </c>
      <c r="AU257" t="n">
        <v>5.363916284</v>
      </c>
      <c r="AV257" t="n">
        <v>12.378786378</v>
      </c>
      <c r="AW257" t="n">
        <v>2.030608191</v>
      </c>
      <c r="AX257" t="n">
        <v>3.695315676</v>
      </c>
    </row>
    <row r="258">
      <c r="A258" t="inlineStr">
        <is>
          <t>2011-Q2</t>
        </is>
      </c>
      <c r="B258" s="87" t="n">
        <v>40725</v>
      </c>
      <c r="C258" t="n">
        <v>5.355182622</v>
      </c>
      <c r="D258" t="n">
        <v>2.512980576</v>
      </c>
      <c r="E258" t="n">
        <v>3.345098934</v>
      </c>
      <c r="F258" t="n">
        <v>1.620424939</v>
      </c>
      <c r="G258" t="n">
        <v>4.68691577</v>
      </c>
      <c r="H258" t="n">
        <v>2.80319874</v>
      </c>
      <c r="I258" t="n">
        <v>2.520850867</v>
      </c>
      <c r="J258" t="n">
        <v>6.277765559</v>
      </c>
      <c r="K258" t="n">
        <v>10</v>
      </c>
      <c r="L258" t="n">
        <v>2.088883901</v>
      </c>
      <c r="M258" t="n">
        <v>3.704222188</v>
      </c>
      <c r="N258" t="n">
        <v>2.595693052</v>
      </c>
      <c r="O258" t="n">
        <v>1.907911602</v>
      </c>
      <c r="P258" t="n">
        <v>1.90554714</v>
      </c>
      <c r="Q258" t="n">
        <v>-0.45613034</v>
      </c>
      <c r="R258" t="n">
        <v>7.71603018</v>
      </c>
      <c r="S258" t="n">
        <v>2.108745768</v>
      </c>
      <c r="U258" t="n">
        <v>2.070675525</v>
      </c>
      <c r="V258" t="n">
        <v>2.257827856</v>
      </c>
      <c r="W258" t="n">
        <v>1.573157588</v>
      </c>
      <c r="Y258" t="n">
        <v>1.084296477</v>
      </c>
      <c r="Z258" t="n">
        <v>-9.389262239000001</v>
      </c>
      <c r="AA258" t="n">
        <v>1.660243581</v>
      </c>
      <c r="AB258" t="n">
        <v>8.57394</v>
      </c>
      <c r="AC258" t="n">
        <v>2.823164705</v>
      </c>
      <c r="AD258" t="n">
        <v>0.156677536</v>
      </c>
      <c r="AE258" t="n">
        <v>5.340731633</v>
      </c>
      <c r="AF258" t="n">
        <v>1.553002275</v>
      </c>
      <c r="AG258" t="n">
        <v>-0.943564072</v>
      </c>
      <c r="AH258" t="n">
        <v>3.851242513</v>
      </c>
      <c r="AI258" t="n">
        <v>-0.60346481</v>
      </c>
      <c r="AJ258" t="n">
        <v>2.631854989</v>
      </c>
      <c r="AK258" t="n">
        <v>3.048607044</v>
      </c>
      <c r="AL258" t="n">
        <v>2.069854792</v>
      </c>
      <c r="AM258" t="n">
        <v>-0.109608627</v>
      </c>
      <c r="AN258" t="n">
        <v>0.7876885689999999</v>
      </c>
      <c r="AO258" t="n">
        <v>2.074657833</v>
      </c>
      <c r="AP258" t="n">
        <v>5.139563447</v>
      </c>
      <c r="AQ258" t="n">
        <v>-1.196017007</v>
      </c>
      <c r="AR258" t="n">
        <v>3.938644678</v>
      </c>
      <c r="AS258" t="n">
        <v>2.873013328</v>
      </c>
      <c r="AT258" t="n">
        <v>0.830609979</v>
      </c>
      <c r="AU258" t="n">
        <v>3.556945305</v>
      </c>
      <c r="AV258" t="n">
        <v>11.238746556</v>
      </c>
      <c r="AW258" t="n">
        <v>1.737905069</v>
      </c>
      <c r="AX258" t="n">
        <v>3.40765285</v>
      </c>
    </row>
    <row r="259">
      <c r="A259" t="inlineStr">
        <is>
          <t>2011-Q3</t>
        </is>
      </c>
      <c r="B259" s="87" t="n">
        <v>40817</v>
      </c>
      <c r="C259" t="n">
        <v>5.618444615</v>
      </c>
      <c r="D259" t="n">
        <v>3.206381004</v>
      </c>
      <c r="E259" t="n">
        <v>2.860121984</v>
      </c>
      <c r="F259" t="n">
        <v>1.488149917</v>
      </c>
      <c r="G259" t="n">
        <v>3.600657527</v>
      </c>
      <c r="H259" t="n">
        <v>3.488097449</v>
      </c>
      <c r="I259" t="n">
        <v>1.639019232</v>
      </c>
      <c r="J259" t="n">
        <v>4.506258176</v>
      </c>
      <c r="K259" t="n">
        <v>9.4</v>
      </c>
      <c r="L259" t="n">
        <v>1.158037637</v>
      </c>
      <c r="M259" t="n">
        <v>3.771482477</v>
      </c>
      <c r="N259" t="n">
        <v>-0.261522916</v>
      </c>
      <c r="O259" t="n">
        <v>1.635799568</v>
      </c>
      <c r="P259" t="n">
        <v>1.62525001</v>
      </c>
      <c r="Q259" t="n">
        <v>-1.050980916</v>
      </c>
      <c r="R259" t="n">
        <v>7.933404601</v>
      </c>
      <c r="S259" t="n">
        <v>1.801262092</v>
      </c>
      <c r="U259" t="n">
        <v>2.617074654</v>
      </c>
      <c r="V259" t="n">
        <v>2.100824337</v>
      </c>
      <c r="W259" t="n">
        <v>1.184125304</v>
      </c>
      <c r="Y259" t="n">
        <v>0.6014875</v>
      </c>
      <c r="Z259" t="n">
        <v>-8.265533424999999</v>
      </c>
      <c r="AA259" t="n">
        <v>1.012913475</v>
      </c>
      <c r="AB259" t="n">
        <v>5.4526</v>
      </c>
      <c r="AC259" t="n">
        <v>1.256254546</v>
      </c>
      <c r="AD259" t="n">
        <v>4.088341052</v>
      </c>
      <c r="AE259" t="n">
        <v>6.209590375</v>
      </c>
      <c r="AF259" t="n">
        <v>0.608724649</v>
      </c>
      <c r="AG259" t="n">
        <v>-0.343702128</v>
      </c>
      <c r="AH259" t="n">
        <v>3.205589616</v>
      </c>
      <c r="AI259" t="n">
        <v>1.847861792</v>
      </c>
      <c r="AJ259" t="n">
        <v>4.602460059</v>
      </c>
      <c r="AK259" t="n">
        <v>4.063270405</v>
      </c>
      <c r="AL259" t="n">
        <v>1.621272808</v>
      </c>
      <c r="AM259" t="n">
        <v>4.093500015</v>
      </c>
      <c r="AN259" t="n">
        <v>2.094240838</v>
      </c>
      <c r="AO259" t="n">
        <v>1.821803301</v>
      </c>
      <c r="AP259" t="n">
        <v>5.076337374</v>
      </c>
      <c r="AQ259" t="n">
        <v>-2.049629081</v>
      </c>
      <c r="AR259" t="n">
        <v>4.587798706</v>
      </c>
      <c r="AS259" t="n">
        <v>2.162120044</v>
      </c>
      <c r="AT259" t="n">
        <v>0.495259002</v>
      </c>
      <c r="AU259" t="n">
        <v>3.635961704</v>
      </c>
      <c r="AV259" t="n">
        <v>11.117671024</v>
      </c>
      <c r="AW259" t="n">
        <v>0.918220848</v>
      </c>
      <c r="AX259" t="n">
        <v>2.919288694</v>
      </c>
    </row>
    <row r="260">
      <c r="A260" t="inlineStr">
        <is>
          <t>2011-Q4</t>
        </is>
      </c>
      <c r="B260" s="87" t="n">
        <v>40909</v>
      </c>
      <c r="C260" t="n">
        <v>4.230444048</v>
      </c>
      <c r="D260" t="n">
        <v>3.440498657</v>
      </c>
      <c r="E260" t="n">
        <v>1.648893354</v>
      </c>
      <c r="F260" t="n">
        <v>1.272481695</v>
      </c>
      <c r="G260" t="n">
        <v>3.143689351</v>
      </c>
      <c r="H260" t="n">
        <v>3.150369226</v>
      </c>
      <c r="I260" t="n">
        <v>0.867368143</v>
      </c>
      <c r="J260" t="n">
        <v>5.523533354</v>
      </c>
      <c r="K260" t="n">
        <v>8.800000000000001</v>
      </c>
      <c r="L260" t="n">
        <v>0.81070904</v>
      </c>
      <c r="M260" t="n">
        <v>2.604052065</v>
      </c>
      <c r="N260" t="n">
        <v>0.7803334750000001</v>
      </c>
      <c r="O260" t="n">
        <v>0.611917654</v>
      </c>
      <c r="P260" t="n">
        <v>0.608792633</v>
      </c>
      <c r="Q260" t="n">
        <v>-1.758500717</v>
      </c>
      <c r="R260" t="n">
        <v>5.677475433</v>
      </c>
      <c r="S260" t="n">
        <v>0.824782388</v>
      </c>
      <c r="U260" t="n">
        <v>0.53424173</v>
      </c>
      <c r="V260" t="n">
        <v>1.740373848</v>
      </c>
      <c r="W260" t="n">
        <v>1.304665838</v>
      </c>
      <c r="Y260" t="n">
        <v>0.421543387</v>
      </c>
      <c r="Z260" t="n">
        <v>-11.803894479</v>
      </c>
      <c r="AA260" t="n">
        <v>2.20303429</v>
      </c>
      <c r="AB260" t="n">
        <v>4.73925</v>
      </c>
      <c r="AC260" t="n">
        <v>2.968131518</v>
      </c>
      <c r="AD260" t="n">
        <v>1.679514642</v>
      </c>
      <c r="AE260" t="n">
        <v>5.283448161</v>
      </c>
      <c r="AF260" t="n">
        <v>-0.8949997750000001</v>
      </c>
      <c r="AG260" t="n">
        <v>0.332645424</v>
      </c>
      <c r="AH260" t="n">
        <v>2.44390986</v>
      </c>
      <c r="AI260" t="n">
        <v>1.238780582</v>
      </c>
      <c r="AJ260" t="n">
        <v>3.806900163</v>
      </c>
      <c r="AK260" t="n">
        <v>3.942052216</v>
      </c>
      <c r="AL260" t="n">
        <v>-0.118670166</v>
      </c>
      <c r="AM260" t="n">
        <v>1.296806464</v>
      </c>
      <c r="AN260" t="n">
        <v>3.231663776</v>
      </c>
      <c r="AO260" t="n">
        <v>1.682510012</v>
      </c>
      <c r="AP260" t="n">
        <v>4.781230184</v>
      </c>
      <c r="AQ260" t="n">
        <v>-3.310166708</v>
      </c>
      <c r="AR260" t="n">
        <v>4.536879263</v>
      </c>
      <c r="AS260" t="n">
        <v>2.232657</v>
      </c>
      <c r="AT260" t="n">
        <v>0.048257513</v>
      </c>
      <c r="AU260" t="n">
        <v>0.577352377</v>
      </c>
      <c r="AV260" t="n">
        <v>9.320906415</v>
      </c>
      <c r="AW260" t="n">
        <v>1.522691524</v>
      </c>
      <c r="AX260" t="n">
        <v>2.667734136</v>
      </c>
    </row>
    <row r="261">
      <c r="A261" t="inlineStr">
        <is>
          <t>2012-Q1</t>
        </is>
      </c>
      <c r="B261" s="87" t="n">
        <v>41000</v>
      </c>
      <c r="C261" t="n">
        <v>0.7409406160000001</v>
      </c>
      <c r="D261" t="n">
        <v>4.759405457</v>
      </c>
      <c r="E261" t="n">
        <v>1.735039909</v>
      </c>
      <c r="F261" t="n">
        <v>1.003608138</v>
      </c>
      <c r="G261" t="n">
        <v>0.254920748</v>
      </c>
      <c r="H261" t="n">
        <v>2.442677819</v>
      </c>
      <c r="I261" t="n">
        <v>0.9044137880000001</v>
      </c>
      <c r="J261" t="n">
        <v>6.451515181</v>
      </c>
      <c r="K261" t="n">
        <v>8.1</v>
      </c>
      <c r="L261" t="n">
        <v>0.066262849</v>
      </c>
      <c r="M261" t="n">
        <v>0.862905379</v>
      </c>
      <c r="N261" t="n">
        <v>0.491421016</v>
      </c>
      <c r="O261" t="n">
        <v>-0.507435488</v>
      </c>
      <c r="P261" t="n">
        <v>-0.509122227</v>
      </c>
      <c r="Q261" t="n">
        <v>-2.527051699</v>
      </c>
      <c r="R261" t="n">
        <v>4.192470975</v>
      </c>
      <c r="S261" t="n">
        <v>-0.269736264</v>
      </c>
      <c r="U261" t="n">
        <v>-0.46093186</v>
      </c>
      <c r="V261" t="n">
        <v>0.622937113</v>
      </c>
      <c r="W261" t="n">
        <v>1.818601634</v>
      </c>
      <c r="Y261" t="n">
        <v>0.999345315</v>
      </c>
      <c r="Z261" t="n">
        <v>-8.230211003999999</v>
      </c>
      <c r="AA261" t="n">
        <v>-0.211584471</v>
      </c>
      <c r="AB261" t="n">
        <v>4.27654</v>
      </c>
      <c r="AC261" t="n">
        <v>-0.431636045</v>
      </c>
      <c r="AD261" t="n">
        <v>2.591676001</v>
      </c>
      <c r="AE261" t="n">
        <v>4.304804781</v>
      </c>
      <c r="AF261" t="n">
        <v>-2.525247864</v>
      </c>
      <c r="AG261" t="n">
        <v>2.808609789</v>
      </c>
      <c r="AH261" t="n">
        <v>2.375435273</v>
      </c>
      <c r="AI261" t="n">
        <v>0.350560921</v>
      </c>
      <c r="AJ261" t="n">
        <v>10.601076648</v>
      </c>
      <c r="AK261" t="n">
        <v>3.832130414</v>
      </c>
      <c r="AL261" t="n">
        <v>-0.898543061</v>
      </c>
      <c r="AM261" t="n">
        <v>3.605913688</v>
      </c>
      <c r="AN261" t="n">
        <v>2.683778276</v>
      </c>
      <c r="AO261" t="n">
        <v>1.887398296</v>
      </c>
      <c r="AP261" t="n">
        <v>3.535717141</v>
      </c>
      <c r="AQ261" t="n">
        <v>-3.19826619</v>
      </c>
      <c r="AR261" t="n">
        <v>4.965895927</v>
      </c>
      <c r="AS261" t="n">
        <v>2.144638859</v>
      </c>
      <c r="AT261" t="n">
        <v>-1.237878054</v>
      </c>
      <c r="AU261" t="n">
        <v>0.401677184</v>
      </c>
      <c r="AV261" t="n">
        <v>5.960009344</v>
      </c>
      <c r="AW261" t="n">
        <v>2.600249298</v>
      </c>
      <c r="AX261" t="n">
        <v>2.242809208</v>
      </c>
    </row>
    <row r="262">
      <c r="A262" t="inlineStr">
        <is>
          <t>2012-Q2</t>
        </is>
      </c>
      <c r="B262" s="87" t="n">
        <v>41091</v>
      </c>
      <c r="C262" t="n">
        <v>-3.620264987</v>
      </c>
      <c r="D262" t="n">
        <v>4.195918289</v>
      </c>
      <c r="E262" t="n">
        <v>0.910792692</v>
      </c>
      <c r="F262" t="n">
        <v>0.79376286</v>
      </c>
      <c r="G262" t="n">
        <v>1.07156979</v>
      </c>
      <c r="H262" t="n">
        <v>2.576982045</v>
      </c>
      <c r="I262" t="n">
        <v>0.5143672969999999</v>
      </c>
      <c r="J262" t="n">
        <v>6.888845719</v>
      </c>
      <c r="K262" t="n">
        <v>7.7</v>
      </c>
      <c r="L262" t="n">
        <v>-0.78653014</v>
      </c>
      <c r="M262" t="n">
        <v>0.9777229160000001</v>
      </c>
      <c r="N262" t="n">
        <v>-0.430965796</v>
      </c>
      <c r="O262" t="n">
        <v>-0.749276799</v>
      </c>
      <c r="P262" t="n">
        <v>-0.761024483</v>
      </c>
      <c r="Q262" t="n">
        <v>-3.161013668</v>
      </c>
      <c r="R262" t="n">
        <v>3.494160026</v>
      </c>
      <c r="S262" t="n">
        <v>-0.577990464</v>
      </c>
      <c r="U262" t="n">
        <v>-1.342555677</v>
      </c>
      <c r="V262" t="n">
        <v>0.55615459</v>
      </c>
      <c r="W262" t="n">
        <v>1.658144854</v>
      </c>
      <c r="Y262" t="n">
        <v>0.886711569</v>
      </c>
      <c r="Z262" t="n">
        <v>-8.366922797999999</v>
      </c>
      <c r="AA262" t="n">
        <v>-0.984081313</v>
      </c>
      <c r="AB262" t="n">
        <v>4.22122</v>
      </c>
      <c r="AC262" t="n">
        <v>-0.32432979</v>
      </c>
      <c r="AD262" t="n">
        <v>1.242736332</v>
      </c>
      <c r="AE262" t="n">
        <v>3.068686175</v>
      </c>
      <c r="AF262" t="n">
        <v>-3.239611946</v>
      </c>
      <c r="AG262" t="n">
        <v>2.763841685</v>
      </c>
      <c r="AH262" t="n">
        <v>2.452028853</v>
      </c>
      <c r="AI262" t="n">
        <v>1.40529336</v>
      </c>
      <c r="AJ262" t="n">
        <v>6.309431836</v>
      </c>
      <c r="AK262" t="n">
        <v>4.198252475</v>
      </c>
      <c r="AL262" t="n">
        <v>-0.759337119</v>
      </c>
      <c r="AM262" t="n">
        <v>4.282728196</v>
      </c>
      <c r="AN262" t="n">
        <v>2.750431952</v>
      </c>
      <c r="AO262" t="n">
        <v>1.662869899</v>
      </c>
      <c r="AP262" t="n">
        <v>2.074920498</v>
      </c>
      <c r="AQ262" t="n">
        <v>-4.091744129</v>
      </c>
      <c r="AR262" t="n">
        <v>4.382963645</v>
      </c>
      <c r="AS262" t="n">
        <v>1.598171508</v>
      </c>
      <c r="AT262" t="n">
        <v>-2.514855357</v>
      </c>
      <c r="AU262" t="n">
        <v>0.194577164</v>
      </c>
      <c r="AV262" t="n">
        <v>4.907950841</v>
      </c>
      <c r="AW262" t="n">
        <v>2.37381635</v>
      </c>
      <c r="AX262" t="n">
        <v>2.522475978</v>
      </c>
    </row>
    <row r="263">
      <c r="A263" t="inlineStr">
        <is>
          <t>2012-Q3</t>
        </is>
      </c>
      <c r="B263" s="87" t="n">
        <v>41183</v>
      </c>
      <c r="C263" t="n">
        <v>-1.432083725</v>
      </c>
      <c r="D263" t="n">
        <v>3.384185672</v>
      </c>
      <c r="E263" t="n">
        <v>0.190532496</v>
      </c>
      <c r="F263" t="n">
        <v>0.750261485</v>
      </c>
      <c r="G263" t="n">
        <v>2.997027793</v>
      </c>
      <c r="H263" t="n">
        <v>1.318874171</v>
      </c>
      <c r="I263" t="n">
        <v>1.736101368</v>
      </c>
      <c r="J263" t="n">
        <v>7.033017899</v>
      </c>
      <c r="K263" t="n">
        <v>7.5</v>
      </c>
      <c r="L263" t="n">
        <v>-0.96106413</v>
      </c>
      <c r="M263" t="n">
        <v>0.375168609</v>
      </c>
      <c r="N263" t="n">
        <v>0.917642586</v>
      </c>
      <c r="O263" t="n">
        <v>-0.998244481</v>
      </c>
      <c r="P263" t="n">
        <v>-1.005411154</v>
      </c>
      <c r="Q263" t="n">
        <v>-3.038068584</v>
      </c>
      <c r="R263" t="n">
        <v>2.302597178</v>
      </c>
      <c r="S263" t="n">
        <v>-0.878483275</v>
      </c>
      <c r="U263" t="n">
        <v>-1.842831478</v>
      </c>
      <c r="V263" t="n">
        <v>0.343134907</v>
      </c>
      <c r="W263" t="n">
        <v>1.300552468</v>
      </c>
      <c r="Y263" t="n">
        <v>1.983557464</v>
      </c>
      <c r="Z263" t="n">
        <v>-7.881450214</v>
      </c>
      <c r="AA263" t="n">
        <v>-0.886762959</v>
      </c>
      <c r="AB263" t="n">
        <v>6.09503</v>
      </c>
      <c r="AC263" t="n">
        <v>0.09976549</v>
      </c>
      <c r="AD263" t="n">
        <v>0.237640739</v>
      </c>
      <c r="AE263" t="n">
        <v>1.961422137</v>
      </c>
      <c r="AF263" t="n">
        <v>-3.262598351</v>
      </c>
      <c r="AG263" t="n">
        <v>-0.054655788</v>
      </c>
      <c r="AH263" t="n">
        <v>2.376054121</v>
      </c>
      <c r="AI263" t="n">
        <v>1.279934644</v>
      </c>
      <c r="AJ263" t="n">
        <v>6.080253793</v>
      </c>
      <c r="AK263" t="n">
        <v>2.756871652</v>
      </c>
      <c r="AL263" t="n">
        <v>-1.185684928</v>
      </c>
      <c r="AM263" t="n">
        <v>1.135328507</v>
      </c>
      <c r="AN263" t="n">
        <v>1.820711588</v>
      </c>
      <c r="AO263" t="n">
        <v>1.242553994</v>
      </c>
      <c r="AP263" t="n">
        <v>0.981990097</v>
      </c>
      <c r="AQ263" t="n">
        <v>-4.428694766</v>
      </c>
      <c r="AR263" t="n">
        <v>3.727480724</v>
      </c>
      <c r="AS263" t="n">
        <v>1.219343588</v>
      </c>
      <c r="AT263" t="n">
        <v>-2.105592544</v>
      </c>
      <c r="AU263" t="n">
        <v>-1.211016299</v>
      </c>
      <c r="AV263" t="n">
        <v>3.994314266</v>
      </c>
      <c r="AW263" t="n">
        <v>2.592622977</v>
      </c>
      <c r="AX263" t="n">
        <v>2.515111215</v>
      </c>
    </row>
    <row r="264">
      <c r="A264" t="inlineStr">
        <is>
          <t>2012-Q4</t>
        </is>
      </c>
      <c r="B264" s="87" t="n">
        <v>41275</v>
      </c>
      <c r="C264" t="n">
        <v>0.216468504</v>
      </c>
      <c r="D264" t="n">
        <v>2.775234138</v>
      </c>
      <c r="E264" t="n">
        <v>0.16143837</v>
      </c>
      <c r="F264" t="n">
        <v>0.411142977</v>
      </c>
      <c r="G264" t="n">
        <v>2.116846161</v>
      </c>
      <c r="H264" t="n">
        <v>0.73508073</v>
      </c>
      <c r="I264" t="n">
        <v>1.681781244</v>
      </c>
      <c r="J264" t="n">
        <v>5.376612661</v>
      </c>
      <c r="K264" t="n">
        <v>8.1</v>
      </c>
      <c r="L264" t="n">
        <v>-1.184556753</v>
      </c>
      <c r="M264" t="n">
        <v>0.250925777</v>
      </c>
      <c r="N264" t="n">
        <v>-0.062150336</v>
      </c>
      <c r="O264" t="n">
        <v>-1.018411519</v>
      </c>
      <c r="P264" t="n">
        <v>-1.025829958</v>
      </c>
      <c r="Q264" t="n">
        <v>-3.113791426</v>
      </c>
      <c r="R264" t="n">
        <v>3.245201687</v>
      </c>
      <c r="S264" t="n">
        <v>-0.938248551</v>
      </c>
      <c r="U264" t="n">
        <v>-1.946007999</v>
      </c>
      <c r="V264" t="n">
        <v>-0.043744895</v>
      </c>
      <c r="W264" t="n">
        <v>0.757846578</v>
      </c>
      <c r="Y264" t="n">
        <v>1.922610652</v>
      </c>
      <c r="Z264" t="n">
        <v>-4.251377507</v>
      </c>
      <c r="AA264" t="n">
        <v>-2.208453779</v>
      </c>
      <c r="AB264" t="n">
        <v>5.63357</v>
      </c>
      <c r="AC264" t="n">
        <v>0.27435825</v>
      </c>
      <c r="AD264" t="n">
        <v>0.26043333</v>
      </c>
      <c r="AE264" t="n">
        <v>1.788642253</v>
      </c>
      <c r="AF264" t="n">
        <v>-3.042057715</v>
      </c>
      <c r="AG264" t="n">
        <v>0.009176642</v>
      </c>
      <c r="AH264" t="n">
        <v>2.406572286</v>
      </c>
      <c r="AI264" t="n">
        <v>3.498168975</v>
      </c>
      <c r="AJ264" t="n">
        <v>6.420641419</v>
      </c>
      <c r="AK264" t="n">
        <v>2.97177341</v>
      </c>
      <c r="AL264" t="n">
        <v>-1.281521504</v>
      </c>
      <c r="AM264" t="n">
        <v>1.91011163</v>
      </c>
      <c r="AN264" t="n">
        <v>2.70163442</v>
      </c>
      <c r="AO264" t="n">
        <v>0.867655951</v>
      </c>
      <c r="AP264" t="n">
        <v>0.093029735</v>
      </c>
      <c r="AQ264" t="n">
        <v>-4.527642954</v>
      </c>
      <c r="AR264" t="n">
        <v>2.558792794</v>
      </c>
      <c r="AS264" t="n">
        <v>0.331266395</v>
      </c>
      <c r="AT264" t="n">
        <v>-4.156597792</v>
      </c>
      <c r="AU264" t="n">
        <v>-0.527787032</v>
      </c>
      <c r="AV264" t="n">
        <v>4.24628335</v>
      </c>
      <c r="AW264" t="n">
        <v>1.566064346</v>
      </c>
      <c r="AX264" t="n">
        <v>2.304199814</v>
      </c>
    </row>
    <row r="265">
      <c r="A265" t="inlineStr">
        <is>
          <t>2013-Q1</t>
        </is>
      </c>
      <c r="B265" s="87" t="n">
        <v>41365</v>
      </c>
      <c r="C265" t="n">
        <v>1.293904041</v>
      </c>
      <c r="D265" t="n">
        <v>2.261266903</v>
      </c>
      <c r="E265" t="n">
        <v>-0.803552002</v>
      </c>
      <c r="F265" t="n">
        <v>-0.079050592</v>
      </c>
      <c r="G265" t="n">
        <v>4.043946047</v>
      </c>
      <c r="H265" t="n">
        <v>1.573583484</v>
      </c>
      <c r="I265" t="n">
        <v>1.467724334</v>
      </c>
      <c r="J265" t="n">
        <v>4.103219426</v>
      </c>
      <c r="K265" t="n">
        <v>7.9</v>
      </c>
      <c r="L265" t="n">
        <v>-1.437090588</v>
      </c>
      <c r="M265" t="n">
        <v>-0.414724531</v>
      </c>
      <c r="N265" t="n">
        <v>0.5711882029999999</v>
      </c>
      <c r="O265" t="n">
        <v>-1.135724159</v>
      </c>
      <c r="P265" t="n">
        <v>-1.134476625</v>
      </c>
      <c r="Q265" t="n">
        <v>-2.503864105</v>
      </c>
      <c r="R265" t="n">
        <v>3.127682493</v>
      </c>
      <c r="S265" t="n">
        <v>-1.007127618</v>
      </c>
      <c r="U265" t="n">
        <v>-2.359964294</v>
      </c>
      <c r="V265" t="n">
        <v>0.021123486</v>
      </c>
      <c r="W265" t="n">
        <v>0.726010857</v>
      </c>
      <c r="Y265" t="n">
        <v>1.320042991</v>
      </c>
      <c r="Z265" t="n">
        <v>-5.019347459</v>
      </c>
      <c r="AA265" t="n">
        <v>-0.535748711</v>
      </c>
      <c r="AB265" t="n">
        <v>5.86067</v>
      </c>
      <c r="AC265" t="n">
        <v>-0.473072755</v>
      </c>
      <c r="AD265" t="n">
        <v>4.30196595</v>
      </c>
      <c r="AE265" t="n">
        <v>2.763415539</v>
      </c>
      <c r="AF265" t="n">
        <v>-2.881350997</v>
      </c>
      <c r="AG265" t="n">
        <v>0.002717205</v>
      </c>
      <c r="AH265" t="n">
        <v>2.400235896</v>
      </c>
      <c r="AI265" t="n">
        <v>2.98208039</v>
      </c>
      <c r="AJ265" t="n">
        <v>1.596271445</v>
      </c>
      <c r="AK265" t="n">
        <v>2.560509528</v>
      </c>
      <c r="AL265" t="n">
        <v>-0.7561788310000001</v>
      </c>
      <c r="AM265" t="n">
        <v>-0.326058675</v>
      </c>
      <c r="AN265" t="n">
        <v>1.916009983</v>
      </c>
      <c r="AO265" t="n">
        <v>0.94454676</v>
      </c>
      <c r="AP265" t="n">
        <v>-0.377903808</v>
      </c>
      <c r="AQ265" t="n">
        <v>-3.604207477</v>
      </c>
      <c r="AR265" t="n">
        <v>1.72108563</v>
      </c>
      <c r="AS265" t="n">
        <v>0.148099261</v>
      </c>
      <c r="AT265" t="n">
        <v>-3.39993663</v>
      </c>
      <c r="AU265" t="n">
        <v>0.6787357040000001</v>
      </c>
      <c r="AV265" t="n">
        <v>8.263883862</v>
      </c>
      <c r="AW265" t="n">
        <v>1.616301095</v>
      </c>
      <c r="AX265" t="n">
        <v>2.51699576</v>
      </c>
    </row>
    <row r="266">
      <c r="A266" t="inlineStr">
        <is>
          <t>2013-Q2</t>
        </is>
      </c>
      <c r="B266" s="87" t="n">
        <v>41456</v>
      </c>
      <c r="C266" t="n">
        <v>5.451812341</v>
      </c>
      <c r="D266" t="n">
        <v>1.916992498</v>
      </c>
      <c r="E266" t="n">
        <v>-0.373072408</v>
      </c>
      <c r="F266" t="n">
        <v>0.505328464</v>
      </c>
      <c r="G266" t="n">
        <v>3.787076385</v>
      </c>
      <c r="H266" t="n">
        <v>1.830937489</v>
      </c>
      <c r="I266" t="n">
        <v>1.970607382</v>
      </c>
      <c r="J266" t="n">
        <v>3.111738582</v>
      </c>
      <c r="K266" t="n">
        <v>7.6</v>
      </c>
      <c r="L266" t="n">
        <v>-0.5420117290000001</v>
      </c>
      <c r="M266" t="n">
        <v>0.439891694</v>
      </c>
      <c r="N266" t="n">
        <v>0.570215085</v>
      </c>
      <c r="O266" t="n">
        <v>-0.365224972</v>
      </c>
      <c r="P266" t="n">
        <v>-0.362890451</v>
      </c>
      <c r="Q266" t="n">
        <v>-1.64708867</v>
      </c>
      <c r="R266" t="n">
        <v>1.617109365</v>
      </c>
      <c r="S266" t="n">
        <v>-0.278638007</v>
      </c>
      <c r="U266" t="n">
        <v>-0.860853711</v>
      </c>
      <c r="V266" t="n">
        <v>0.843161166</v>
      </c>
      <c r="W266" t="n">
        <v>1.103102702</v>
      </c>
      <c r="Y266" t="n">
        <v>2.065175093</v>
      </c>
      <c r="Z266" t="n">
        <v>-3.185019792</v>
      </c>
      <c r="AA266" t="n">
        <v>1.349276287</v>
      </c>
      <c r="AB266" t="n">
        <v>6.11797</v>
      </c>
      <c r="AC266" t="n">
        <v>-0.108991964</v>
      </c>
      <c r="AD266" t="n">
        <v>4.507037696</v>
      </c>
      <c r="AE266" t="n">
        <v>4.847162277</v>
      </c>
      <c r="AF266" t="n">
        <v>-2.171401329</v>
      </c>
      <c r="AG266" t="n">
        <v>1.841235581</v>
      </c>
      <c r="AH266" t="n">
        <v>3.01136111</v>
      </c>
      <c r="AI266" t="n">
        <v>4.736535783</v>
      </c>
      <c r="AJ266" t="n">
        <v>2.061951675</v>
      </c>
      <c r="AK266" t="n">
        <v>1.126306007</v>
      </c>
      <c r="AL266" t="n">
        <v>-0.985952401</v>
      </c>
      <c r="AM266" t="n">
        <v>0.158910042</v>
      </c>
      <c r="AN266" t="n">
        <v>2.579043075</v>
      </c>
      <c r="AO266" t="n">
        <v>1.326446853</v>
      </c>
      <c r="AP266" t="n">
        <v>0.581127642</v>
      </c>
      <c r="AQ266" t="n">
        <v>-1.546055897</v>
      </c>
      <c r="AR266" t="n">
        <v>1.673903609</v>
      </c>
      <c r="AS266" t="n">
        <v>0.311625617</v>
      </c>
      <c r="AT266" t="n">
        <v>-1.302965071</v>
      </c>
      <c r="AU266" t="n">
        <v>0.451165828</v>
      </c>
      <c r="AV266" t="n">
        <v>9.54976744</v>
      </c>
      <c r="AW266" t="n">
        <v>1.29617049</v>
      </c>
      <c r="AX266" t="n">
        <v>2.407849305</v>
      </c>
    </row>
    <row r="267">
      <c r="A267" t="inlineStr">
        <is>
          <t>2013-Q3</t>
        </is>
      </c>
      <c r="B267" s="87" t="n">
        <v>41548</v>
      </c>
      <c r="C267" t="n">
        <v>2.839207508</v>
      </c>
      <c r="D267" t="n">
        <v>2.148767521</v>
      </c>
      <c r="E267" t="n">
        <v>0.308339204</v>
      </c>
      <c r="F267" t="n">
        <v>0.5719818719999999</v>
      </c>
      <c r="G267" t="n">
        <v>2.427739112</v>
      </c>
      <c r="H267" t="n">
        <v>2.521181159</v>
      </c>
      <c r="I267" t="n">
        <v>1.845952846</v>
      </c>
      <c r="J267" t="n">
        <v>2.96189554</v>
      </c>
      <c r="K267" t="n">
        <v>7.9</v>
      </c>
      <c r="L267" t="n">
        <v>0.247176626</v>
      </c>
      <c r="M267" t="n">
        <v>0.718979913</v>
      </c>
      <c r="N267" t="n">
        <v>1.11226999</v>
      </c>
      <c r="O267" t="n">
        <v>0.040956543</v>
      </c>
      <c r="P267" t="n">
        <v>0.037633501</v>
      </c>
      <c r="Q267" t="n">
        <v>-1.16961098</v>
      </c>
      <c r="R267" t="n">
        <v>0.860178192</v>
      </c>
      <c r="S267" t="n">
        <v>0.176782056</v>
      </c>
      <c r="U267" t="n">
        <v>-0.130193592</v>
      </c>
      <c r="V267" t="n">
        <v>0.510197151</v>
      </c>
      <c r="W267" t="n">
        <v>1.652669214</v>
      </c>
      <c r="Y267" t="n">
        <v>1.567637158</v>
      </c>
      <c r="Z267" t="n">
        <v>-1.542745736</v>
      </c>
      <c r="AA267" t="n">
        <v>2.679281755</v>
      </c>
      <c r="AB267" t="n">
        <v>5.9169</v>
      </c>
      <c r="AC267" t="n">
        <v>4.037432166</v>
      </c>
      <c r="AD267" t="n">
        <v>3.79449684</v>
      </c>
      <c r="AE267" t="n">
        <v>4.917796796</v>
      </c>
      <c r="AF267" t="n">
        <v>-1.454960787</v>
      </c>
      <c r="AG267" t="n">
        <v>3.207205405</v>
      </c>
      <c r="AH267" t="n">
        <v>3.426039693</v>
      </c>
      <c r="AI267" t="n">
        <v>3.818887451</v>
      </c>
      <c r="AJ267" t="n">
        <v>2.152391164</v>
      </c>
      <c r="AK267" t="n">
        <v>1.461372662</v>
      </c>
      <c r="AL267" t="n">
        <v>0.04054004</v>
      </c>
      <c r="AM267" t="n">
        <v>2.632424251</v>
      </c>
      <c r="AN267" t="n">
        <v>2.998477336</v>
      </c>
      <c r="AO267" t="n">
        <v>1.866028427</v>
      </c>
      <c r="AP267" t="n">
        <v>1.272956863</v>
      </c>
      <c r="AQ267" t="n">
        <v>-0.560105728</v>
      </c>
      <c r="AR267" t="n">
        <v>1.192806365</v>
      </c>
      <c r="AS267" t="n">
        <v>0.683240934</v>
      </c>
      <c r="AT267" t="n">
        <v>-1.544783683</v>
      </c>
      <c r="AU267" t="n">
        <v>1.020230007</v>
      </c>
      <c r="AV267" t="n">
        <v>9.228090256</v>
      </c>
      <c r="AW267" t="n">
        <v>1.91984462</v>
      </c>
      <c r="AX267" t="n">
        <v>2.477104493</v>
      </c>
    </row>
    <row r="268">
      <c r="A268" t="inlineStr">
        <is>
          <t>2013-Q4</t>
        </is>
      </c>
      <c r="B268" s="87" t="n">
        <v>41640</v>
      </c>
      <c r="C268" t="n">
        <v>0.169717104</v>
      </c>
      <c r="D268" t="n">
        <v>2.482448085</v>
      </c>
      <c r="E268" t="n">
        <v>0.772594193</v>
      </c>
      <c r="F268" t="n">
        <v>0.83789398</v>
      </c>
      <c r="G268" t="n">
        <v>2.550530138</v>
      </c>
      <c r="H268" t="n">
        <v>3.384447333</v>
      </c>
      <c r="I268" t="n">
        <v>2.061483769</v>
      </c>
      <c r="J268" t="n">
        <v>2.629983546</v>
      </c>
      <c r="K268" t="n">
        <v>7.7</v>
      </c>
      <c r="L268" t="n">
        <v>1.582280258</v>
      </c>
      <c r="M268" t="n">
        <v>1.462650998</v>
      </c>
      <c r="N268" t="n">
        <v>1.479632236</v>
      </c>
      <c r="O268" t="n">
        <v>0.774552695</v>
      </c>
      <c r="P268" t="n">
        <v>0.770236444</v>
      </c>
      <c r="Q268" t="n">
        <v>-0.26665421</v>
      </c>
      <c r="R268" t="n">
        <v>-0.077656134</v>
      </c>
      <c r="S268" t="n">
        <v>0.954314117</v>
      </c>
      <c r="U268" t="n">
        <v>-0.232263912</v>
      </c>
      <c r="V268" t="n">
        <v>1.386144713</v>
      </c>
      <c r="W268" t="n">
        <v>2.22070278</v>
      </c>
      <c r="Y268" t="n">
        <v>2.324263273</v>
      </c>
      <c r="Z268" t="n">
        <v>-0.195631382</v>
      </c>
      <c r="AA268" t="n">
        <v>3.757452082</v>
      </c>
      <c r="AB268" t="n">
        <v>6.97856</v>
      </c>
      <c r="AC268" t="n">
        <v>2.805981152</v>
      </c>
      <c r="AD268" t="n">
        <v>5.586267735</v>
      </c>
      <c r="AE268" t="n">
        <v>5.155211088</v>
      </c>
      <c r="AF268" t="n">
        <v>-0.922123184</v>
      </c>
      <c r="AG268" t="n">
        <v>3.153565254</v>
      </c>
      <c r="AH268" t="n">
        <v>3.809548274</v>
      </c>
      <c r="AI268" t="n">
        <v>1.163001712</v>
      </c>
      <c r="AJ268" t="n">
        <v>2.532132621</v>
      </c>
      <c r="AK268" t="n">
        <v>1.189489083</v>
      </c>
      <c r="AL268" t="n">
        <v>1.384967376</v>
      </c>
      <c r="AM268" t="n">
        <v>1.618786178</v>
      </c>
      <c r="AN268" t="n">
        <v>1.831967055</v>
      </c>
      <c r="AO268" t="n">
        <v>2.333050766</v>
      </c>
      <c r="AP268" t="n">
        <v>1.920057109</v>
      </c>
      <c r="AQ268" t="n">
        <v>2.143056093</v>
      </c>
      <c r="AR268" t="n">
        <v>1.708512002</v>
      </c>
      <c r="AS268" t="n">
        <v>1.387504619</v>
      </c>
      <c r="AT268" t="n">
        <v>2.490910061</v>
      </c>
      <c r="AU268" t="n">
        <v>2.46678091</v>
      </c>
      <c r="AV268" t="n">
        <v>7.713279186</v>
      </c>
      <c r="AW268" t="n">
        <v>2.532049778</v>
      </c>
      <c r="AX268" t="n">
        <v>2.5397362</v>
      </c>
    </row>
    <row r="269">
      <c r="A269" t="inlineStr">
        <is>
          <t>2014-Q1</t>
        </is>
      </c>
      <c r="B269" s="87" t="n">
        <v>41730</v>
      </c>
      <c r="C269" t="n">
        <v>-1.304517124</v>
      </c>
      <c r="D269" t="n">
        <v>2.798727088</v>
      </c>
      <c r="E269" t="n">
        <v>0.690386452</v>
      </c>
      <c r="F269" t="n">
        <v>1.55021681</v>
      </c>
      <c r="G269" t="n">
        <v>2.82201734</v>
      </c>
      <c r="H269" t="n">
        <v>2.632805647</v>
      </c>
      <c r="I269" t="n">
        <v>2.207237931</v>
      </c>
      <c r="J269" t="n">
        <v>2.122995751</v>
      </c>
      <c r="K269" t="n">
        <v>7.5</v>
      </c>
      <c r="L269" t="n">
        <v>1.45691643</v>
      </c>
      <c r="M269" t="n">
        <v>2.920383714</v>
      </c>
      <c r="N269" t="n">
        <v>1.166224286</v>
      </c>
      <c r="O269" t="n">
        <v>1.527001639</v>
      </c>
      <c r="P269" t="n">
        <v>1.515394526</v>
      </c>
      <c r="Q269" t="n">
        <v>0.40843899</v>
      </c>
      <c r="R269" t="n">
        <v>1.078258351</v>
      </c>
      <c r="S269" t="n">
        <v>1.661464502</v>
      </c>
      <c r="U269" t="n">
        <v>-0.146658286</v>
      </c>
      <c r="V269" t="n">
        <v>1.31504655</v>
      </c>
      <c r="W269" t="n">
        <v>1.773747251</v>
      </c>
      <c r="Y269" t="n">
        <v>3.041759965</v>
      </c>
      <c r="Z269" t="n">
        <v>0.544017155</v>
      </c>
      <c r="AA269" t="n">
        <v>4.230204076</v>
      </c>
      <c r="AB269" t="n">
        <v>6.51555</v>
      </c>
      <c r="AC269" t="n">
        <v>7.574823144</v>
      </c>
      <c r="AD269" t="n">
        <v>1.982873087</v>
      </c>
      <c r="AE269" t="n">
        <v>4.917619888</v>
      </c>
      <c r="AF269" t="n">
        <v>0.221085513</v>
      </c>
      <c r="AG269" t="n">
        <v>2.572300568</v>
      </c>
      <c r="AH269" t="n">
        <v>3.80648062</v>
      </c>
      <c r="AI269" t="n">
        <v>3.277478185</v>
      </c>
      <c r="AJ269" t="n">
        <v>2.134722971</v>
      </c>
      <c r="AK269" t="n">
        <v>1.628234039</v>
      </c>
      <c r="AL269" t="n">
        <v>0.962826174</v>
      </c>
      <c r="AM269" t="n">
        <v>2.570524852</v>
      </c>
      <c r="AN269" t="n">
        <v>3.592225522</v>
      </c>
      <c r="AO269" t="n">
        <v>2.124272085</v>
      </c>
      <c r="AP269" t="n">
        <v>3.398194778</v>
      </c>
      <c r="AQ269" t="n">
        <v>1.066874721</v>
      </c>
      <c r="AR269" t="n">
        <v>0.953200272</v>
      </c>
      <c r="AS269" t="n">
        <v>1.974320713</v>
      </c>
      <c r="AT269" t="n">
        <v>2.278670413</v>
      </c>
      <c r="AU269" t="n">
        <v>1.906083529</v>
      </c>
      <c r="AV269" t="n">
        <v>7.683130316</v>
      </c>
      <c r="AW269" t="n">
        <v>1.294055859</v>
      </c>
      <c r="AX269" t="n">
        <v>1.609780985</v>
      </c>
    </row>
    <row r="270">
      <c r="A270" t="inlineStr">
        <is>
          <t>2014-Q2</t>
        </is>
      </c>
      <c r="B270" s="87" t="n">
        <v>41821</v>
      </c>
      <c r="C270" t="n">
        <v>-2.490189821</v>
      </c>
      <c r="D270" t="n">
        <v>2.880259558</v>
      </c>
      <c r="E270" t="n">
        <v>1.259457193</v>
      </c>
      <c r="F270" t="n">
        <v>1.228594186</v>
      </c>
      <c r="G270" t="n">
        <v>0.009958137000000001</v>
      </c>
      <c r="H270" t="n">
        <v>2.972572204</v>
      </c>
      <c r="I270" t="n">
        <v>2.305950232</v>
      </c>
      <c r="J270" t="n">
        <v>2.05753357</v>
      </c>
      <c r="K270" t="n">
        <v>7.6</v>
      </c>
      <c r="L270" t="n">
        <v>2.030724408</v>
      </c>
      <c r="M270" t="n">
        <v>1.832189168</v>
      </c>
      <c r="N270" t="n">
        <v>1.017899621</v>
      </c>
      <c r="O270" t="n">
        <v>1.212132479</v>
      </c>
      <c r="P270" t="n">
        <v>1.203949796</v>
      </c>
      <c r="Q270" t="n">
        <v>0.970801693</v>
      </c>
      <c r="R270" t="n">
        <v>1.751805837</v>
      </c>
      <c r="S270" t="n">
        <v>1.421305682</v>
      </c>
      <c r="U270" t="n">
        <v>-0.443643947</v>
      </c>
      <c r="V270" t="n">
        <v>0.686655736</v>
      </c>
      <c r="W270" t="n">
        <v>1.804492977</v>
      </c>
      <c r="Y270" t="n">
        <v>3.241603378</v>
      </c>
      <c r="Z270" t="n">
        <v>0.487473605</v>
      </c>
      <c r="AA270" t="n">
        <v>4.597977787</v>
      </c>
      <c r="AB270" t="n">
        <v>7.44605</v>
      </c>
      <c r="AC270" t="n">
        <v>9.078877717999999</v>
      </c>
      <c r="AD270" t="n">
        <v>0.386955027</v>
      </c>
      <c r="AE270" t="n">
        <v>3.657993101</v>
      </c>
      <c r="AF270" t="n">
        <v>0.135281596</v>
      </c>
      <c r="AG270" t="n">
        <v>-0.175071502</v>
      </c>
      <c r="AH270" t="n">
        <v>3.50424428</v>
      </c>
      <c r="AI270" t="n">
        <v>0.02544321</v>
      </c>
      <c r="AJ270" t="n">
        <v>2.773335836</v>
      </c>
      <c r="AK270" t="n">
        <v>3.5122893</v>
      </c>
      <c r="AL270" t="n">
        <v>1.737787301</v>
      </c>
      <c r="AM270" t="n">
        <v>2.583658867</v>
      </c>
      <c r="AN270" t="n">
        <v>2.8325264</v>
      </c>
      <c r="AO270" t="n">
        <v>2.081151651</v>
      </c>
      <c r="AP270" t="n">
        <v>3.742796919</v>
      </c>
      <c r="AQ270" t="n">
        <v>0.6399180330000001</v>
      </c>
      <c r="AR270" t="n">
        <v>1.095166405</v>
      </c>
      <c r="AS270" t="n">
        <v>2.420443666</v>
      </c>
      <c r="AT270" t="n">
        <v>2.977011822</v>
      </c>
      <c r="AU270" t="n">
        <v>2.825091421</v>
      </c>
      <c r="AV270" t="n">
        <v>2.914726553</v>
      </c>
      <c r="AW270" t="n">
        <v>2.451999168</v>
      </c>
      <c r="AX270" t="n">
        <v>1.274154405</v>
      </c>
    </row>
    <row r="271">
      <c r="A271" t="inlineStr">
        <is>
          <t>2014-Q3</t>
        </is>
      </c>
      <c r="B271" s="87" t="n">
        <v>41913</v>
      </c>
      <c r="C271" t="n">
        <v>-3.854511742</v>
      </c>
      <c r="D271" t="n">
        <v>2.504331532</v>
      </c>
      <c r="E271" t="n">
        <v>0.72012738</v>
      </c>
      <c r="F271" t="n">
        <v>1.612887217</v>
      </c>
      <c r="G271" t="n">
        <v>-0.49004519</v>
      </c>
      <c r="H271" t="n">
        <v>3.119733603</v>
      </c>
      <c r="I271" t="n">
        <v>2.137308009</v>
      </c>
      <c r="J271" t="n">
        <v>0.969442726</v>
      </c>
      <c r="K271" t="n">
        <v>7.2</v>
      </c>
      <c r="L271" t="n">
        <v>2.802009825</v>
      </c>
      <c r="M271" t="n">
        <v>1.78074231</v>
      </c>
      <c r="N271" t="n">
        <v>2.062368885</v>
      </c>
      <c r="O271" t="n">
        <v>1.392549378</v>
      </c>
      <c r="P271" t="n">
        <v>1.384477239</v>
      </c>
      <c r="Q271" t="n">
        <v>1.749570915</v>
      </c>
      <c r="R271" t="n">
        <v>3.372776722</v>
      </c>
      <c r="S271" t="n">
        <v>1.631960091</v>
      </c>
      <c r="U271" t="n">
        <v>-0.406204538</v>
      </c>
      <c r="V271" t="n">
        <v>1.330174537</v>
      </c>
      <c r="W271" t="n">
        <v>1.907720161</v>
      </c>
      <c r="Y271" t="n">
        <v>3.252498988</v>
      </c>
      <c r="Z271" t="n">
        <v>1.398010889</v>
      </c>
      <c r="AA271" t="n">
        <v>4.002451919</v>
      </c>
      <c r="AB271" t="n">
        <v>7.68365</v>
      </c>
      <c r="AC271" t="n">
        <v>7.645756106</v>
      </c>
      <c r="AD271" t="n">
        <v>4.089894751</v>
      </c>
      <c r="AE271" t="n">
        <v>3.557512219</v>
      </c>
      <c r="AF271" t="n">
        <v>0.056674967</v>
      </c>
      <c r="AG271" t="n">
        <v>-1.041976192</v>
      </c>
      <c r="AH271" t="n">
        <v>2.953455165</v>
      </c>
      <c r="AI271" t="n">
        <v>1.798234325</v>
      </c>
      <c r="AJ271" t="n">
        <v>1.803707617</v>
      </c>
      <c r="AK271" t="n">
        <v>2.873093785</v>
      </c>
      <c r="AL271" t="n">
        <v>1.380761087</v>
      </c>
      <c r="AM271" t="n">
        <v>2.011187032</v>
      </c>
      <c r="AN271" t="n">
        <v>3.602971836</v>
      </c>
      <c r="AO271" t="n">
        <v>2.15456535</v>
      </c>
      <c r="AP271" t="n">
        <v>3.800156423</v>
      </c>
      <c r="AQ271" t="n">
        <v>0.875727424</v>
      </c>
      <c r="AR271" t="n">
        <v>0.732738043</v>
      </c>
      <c r="AS271" t="n">
        <v>2.928880321</v>
      </c>
      <c r="AT271" t="n">
        <v>3.518524221</v>
      </c>
      <c r="AU271" t="n">
        <v>3.093233677</v>
      </c>
      <c r="AV271" t="n">
        <v>3.921101733</v>
      </c>
      <c r="AW271" t="n">
        <v>2.831456926</v>
      </c>
      <c r="AX271" t="n">
        <v>1.280322755</v>
      </c>
    </row>
    <row r="272">
      <c r="A272" t="inlineStr">
        <is>
          <t>2014-Q4</t>
        </is>
      </c>
      <c r="B272" s="87" t="n">
        <v>42005</v>
      </c>
      <c r="C272" t="n">
        <v>-2.386132829</v>
      </c>
      <c r="D272" t="n">
        <v>2.064771477</v>
      </c>
      <c r="E272" t="n">
        <v>0.519528748</v>
      </c>
      <c r="F272" t="n">
        <v>1.921343752</v>
      </c>
      <c r="G272" t="n">
        <v>-0.236623425</v>
      </c>
      <c r="H272" t="n">
        <v>2.75380714</v>
      </c>
      <c r="I272" t="n">
        <v>2.609704376</v>
      </c>
      <c r="J272" t="n">
        <v>1.768046206</v>
      </c>
      <c r="K272" t="n">
        <v>7.3</v>
      </c>
      <c r="L272" t="n">
        <v>2.739837061</v>
      </c>
      <c r="M272" t="n">
        <v>2.31007945</v>
      </c>
      <c r="N272" t="n">
        <v>2.222885506</v>
      </c>
      <c r="O272" t="n">
        <v>1.467805558</v>
      </c>
      <c r="P272" t="n">
        <v>1.463076903</v>
      </c>
      <c r="Q272" t="n">
        <v>2.453532759</v>
      </c>
      <c r="R272" t="n">
        <v>4.973339081</v>
      </c>
      <c r="S272" t="n">
        <v>1.688826099</v>
      </c>
      <c r="U272" t="n">
        <v>-0.465609267</v>
      </c>
      <c r="V272" t="n">
        <v>0.5293203399999999</v>
      </c>
      <c r="W272" t="n">
        <v>1.835170952</v>
      </c>
      <c r="Y272" t="n">
        <v>3.260636642</v>
      </c>
      <c r="Z272" t="n">
        <v>-0.190641999</v>
      </c>
      <c r="AA272" t="n">
        <v>3.737499998</v>
      </c>
      <c r="AB272" t="n">
        <v>6.9807</v>
      </c>
      <c r="AC272" t="n">
        <v>8.629755697</v>
      </c>
      <c r="AD272" t="n">
        <v>0.336470169</v>
      </c>
      <c r="AE272" t="n">
        <v>4.27329737</v>
      </c>
      <c r="AF272" t="n">
        <v>-0.09925640500000001</v>
      </c>
      <c r="AG272" t="n">
        <v>-0.459244755</v>
      </c>
      <c r="AH272" t="n">
        <v>2.565798228</v>
      </c>
      <c r="AI272" t="n">
        <v>5.420228424</v>
      </c>
      <c r="AJ272" t="n">
        <v>1.443355634</v>
      </c>
      <c r="AK272" t="n">
        <v>3.407951907</v>
      </c>
      <c r="AL272" t="n">
        <v>1.643639722</v>
      </c>
      <c r="AM272" t="n">
        <v>3.438078469</v>
      </c>
      <c r="AN272" t="n">
        <v>4.901923731</v>
      </c>
      <c r="AO272" t="n">
        <v>2.19477319</v>
      </c>
      <c r="AP272" t="n">
        <v>4.084604515</v>
      </c>
      <c r="AQ272" t="n">
        <v>0.590349244</v>
      </c>
      <c r="AR272" t="n">
        <v>-0.08116216399999999</v>
      </c>
      <c r="AS272" t="n">
        <v>3.453958703</v>
      </c>
      <c r="AT272" t="n">
        <v>1.616604555</v>
      </c>
      <c r="AU272" t="n">
        <v>3.20410933</v>
      </c>
      <c r="AV272" t="n">
        <v>5.117751062</v>
      </c>
      <c r="AW272" t="n">
        <v>2.563759666</v>
      </c>
      <c r="AX272" t="n">
        <v>1.492299283</v>
      </c>
    </row>
    <row r="273">
      <c r="A273" t="inlineStr">
        <is>
          <t>2015-Q1</t>
        </is>
      </c>
      <c r="B273" s="87" t="n">
        <v>42095</v>
      </c>
      <c r="C273" t="n">
        <v>0.54324239</v>
      </c>
      <c r="D273" t="n">
        <v>2.221006227</v>
      </c>
      <c r="E273" t="n">
        <v>0.91596238</v>
      </c>
      <c r="F273" t="n">
        <v>2.012721266</v>
      </c>
      <c r="G273" t="n">
        <v>-1.785767595</v>
      </c>
      <c r="H273" t="n">
        <v>2.022401696</v>
      </c>
      <c r="I273" t="n">
        <v>1.888161307</v>
      </c>
      <c r="J273" t="n">
        <v>2.126960725</v>
      </c>
      <c r="K273" t="n">
        <v>7.1</v>
      </c>
      <c r="L273" t="n">
        <v>5.262568084</v>
      </c>
      <c r="M273" t="n">
        <v>0.804188883</v>
      </c>
      <c r="N273" t="n">
        <v>2.662785995</v>
      </c>
      <c r="O273" t="n">
        <v>1.692994937</v>
      </c>
      <c r="P273" t="n">
        <v>1.69161302</v>
      </c>
      <c r="Q273" t="n">
        <v>3.249942639</v>
      </c>
      <c r="R273" t="n">
        <v>1.835317723</v>
      </c>
      <c r="S273" t="n">
        <v>1.979926025</v>
      </c>
      <c r="U273" t="n">
        <v>-0.471140274</v>
      </c>
      <c r="V273" t="n">
        <v>1.104835887</v>
      </c>
      <c r="W273" t="n">
        <v>2.345325294</v>
      </c>
      <c r="Y273" t="n">
        <v>2.724046353</v>
      </c>
      <c r="Z273" t="n">
        <v>0.55288079</v>
      </c>
      <c r="AA273" t="n">
        <v>4.535753758</v>
      </c>
      <c r="AB273" t="n">
        <v>7.53621</v>
      </c>
      <c r="AC273" t="n">
        <v>26.648858838</v>
      </c>
      <c r="AD273" t="n">
        <v>1.508725086</v>
      </c>
      <c r="AE273" t="n">
        <v>3.292630268</v>
      </c>
      <c r="AF273" t="n">
        <v>0.083399103</v>
      </c>
      <c r="AG273" t="n">
        <v>0.266895201</v>
      </c>
      <c r="AH273" t="n">
        <v>2.469377817</v>
      </c>
      <c r="AI273" t="n">
        <v>2.590054161</v>
      </c>
      <c r="AJ273" t="n">
        <v>3.030513728</v>
      </c>
      <c r="AK273" t="n">
        <v>3.262514165</v>
      </c>
      <c r="AL273" t="n">
        <v>2.345880125</v>
      </c>
      <c r="AM273" t="n">
        <v>2.167935216</v>
      </c>
      <c r="AN273" t="n">
        <v>3.722661703</v>
      </c>
      <c r="AO273" t="n">
        <v>2.643005273</v>
      </c>
      <c r="AP273" t="n">
        <v>4.44562505</v>
      </c>
      <c r="AQ273" t="n">
        <v>1.892985954</v>
      </c>
      <c r="AR273" t="n">
        <v>-1.090179575</v>
      </c>
      <c r="AS273" t="n">
        <v>4.786681649</v>
      </c>
      <c r="AT273" t="n">
        <v>2.047787146</v>
      </c>
      <c r="AU273" t="n">
        <v>3.750977524</v>
      </c>
      <c r="AV273" t="n">
        <v>4.08566093</v>
      </c>
      <c r="AW273" t="n">
        <v>3.761202773</v>
      </c>
      <c r="AX273" t="n">
        <v>2.366631958</v>
      </c>
    </row>
    <row r="274">
      <c r="A274" t="inlineStr">
        <is>
          <t>2015-Q2</t>
        </is>
      </c>
      <c r="B274" s="87" t="n">
        <v>42186</v>
      </c>
      <c r="C274" t="n">
        <v>3.487502724</v>
      </c>
      <c r="D274" t="n">
        <v>1.827397567</v>
      </c>
      <c r="E274" t="n">
        <v>0.520523914</v>
      </c>
      <c r="F274" t="n">
        <v>2.426382359</v>
      </c>
      <c r="G274" t="n">
        <v>-2.736999513</v>
      </c>
      <c r="H274" t="n">
        <v>0.823871439</v>
      </c>
      <c r="I274" t="n">
        <v>1.524487974</v>
      </c>
      <c r="J274" t="n">
        <v>2.235793279</v>
      </c>
      <c r="K274" t="n">
        <v>7.1</v>
      </c>
      <c r="L274" t="n">
        <v>5.703998414</v>
      </c>
      <c r="M274" t="n">
        <v>1.547263222</v>
      </c>
      <c r="N274" t="n">
        <v>3.217787663</v>
      </c>
      <c r="O274" t="n">
        <v>1.959369915</v>
      </c>
      <c r="P274" t="n">
        <v>1.959843614</v>
      </c>
      <c r="Q274" t="n">
        <v>3.87451375</v>
      </c>
      <c r="R274" t="n">
        <v>3.421863188</v>
      </c>
      <c r="S274" t="n">
        <v>2.207785674</v>
      </c>
      <c r="U274" t="n">
        <v>0.8798156579999999</v>
      </c>
      <c r="V274" t="n">
        <v>1.156883767</v>
      </c>
      <c r="W274" t="n">
        <v>2.32688964</v>
      </c>
      <c r="Y274" t="n">
        <v>2.478264064</v>
      </c>
      <c r="Z274" t="n">
        <v>0.501630329</v>
      </c>
      <c r="AA274" t="n">
        <v>3.315280292</v>
      </c>
      <c r="AB274" t="n">
        <v>7.38071</v>
      </c>
      <c r="AC274" t="n">
        <v>19.653503205</v>
      </c>
      <c r="AD274" t="n">
        <v>7.662702819</v>
      </c>
      <c r="AE274" t="n">
        <v>2.614077174</v>
      </c>
      <c r="AF274" t="n">
        <v>0.515404966</v>
      </c>
      <c r="AG274" t="n">
        <v>2.24800638</v>
      </c>
      <c r="AH274" t="n">
        <v>2.077805264</v>
      </c>
      <c r="AI274" t="n">
        <v>4.608692654</v>
      </c>
      <c r="AJ274" t="n">
        <v>4.02320883</v>
      </c>
      <c r="AK274" t="n">
        <v>3.158640565</v>
      </c>
      <c r="AL274" t="n">
        <v>2.063626505</v>
      </c>
      <c r="AM274" t="n">
        <v>1.956628098</v>
      </c>
      <c r="AN274" t="n">
        <v>4.131756506</v>
      </c>
      <c r="AO274" t="n">
        <v>2.710726705</v>
      </c>
      <c r="AP274" t="n">
        <v>3.868896513</v>
      </c>
      <c r="AQ274" t="n">
        <v>1.857353502</v>
      </c>
      <c r="AR274" t="n">
        <v>-2.223591134</v>
      </c>
      <c r="AS274" t="n">
        <v>5.283212599</v>
      </c>
      <c r="AT274" t="n">
        <v>1.949486702</v>
      </c>
      <c r="AU274" t="n">
        <v>3.9568894</v>
      </c>
      <c r="AV274" t="n">
        <v>7.414384034</v>
      </c>
      <c r="AW274" t="n">
        <v>3.039854675</v>
      </c>
      <c r="AX274" t="n">
        <v>1.103366057</v>
      </c>
    </row>
    <row r="275">
      <c r="A275" t="inlineStr">
        <is>
          <t>2015-Q3</t>
        </is>
      </c>
      <c r="B275" s="87" t="n">
        <v>42278</v>
      </c>
      <c r="C275" t="n">
        <v>4.338164789</v>
      </c>
      <c r="D275" t="n">
        <v>2.416688533</v>
      </c>
      <c r="E275" t="n">
        <v>1.244503811</v>
      </c>
      <c r="F275" t="n">
        <v>1.918418379</v>
      </c>
      <c r="G275" t="n">
        <v>-4.160536719</v>
      </c>
      <c r="H275" t="n">
        <v>0.219332497</v>
      </c>
      <c r="I275" t="n">
        <v>1.563161213</v>
      </c>
      <c r="J275" t="n">
        <v>2.331304712</v>
      </c>
      <c r="K275" t="n">
        <v>7</v>
      </c>
      <c r="L275" t="n">
        <v>5.726485961</v>
      </c>
      <c r="M275" t="n">
        <v>1.48879327</v>
      </c>
      <c r="N275" t="n">
        <v>1.824728012</v>
      </c>
      <c r="O275" t="n">
        <v>1.883648462</v>
      </c>
      <c r="P275" t="n">
        <v>1.893833123</v>
      </c>
      <c r="Q275" t="n">
        <v>4.051457818</v>
      </c>
      <c r="R275" t="n">
        <v>2.813976445</v>
      </c>
      <c r="S275" t="n">
        <v>2.170147898</v>
      </c>
      <c r="U275" t="n">
        <v>0.48184543</v>
      </c>
      <c r="V275" t="n">
        <v>0.83188702</v>
      </c>
      <c r="W275" t="n">
        <v>1.827984853</v>
      </c>
      <c r="Y275" t="n">
        <v>2.143905731</v>
      </c>
      <c r="Z275" t="n">
        <v>-2.384123613</v>
      </c>
      <c r="AA275" t="n">
        <v>3.132453571</v>
      </c>
      <c r="AB275" t="n">
        <v>7.40225</v>
      </c>
      <c r="AC275" t="n">
        <v>21.749103387</v>
      </c>
      <c r="AD275" t="n">
        <v>3.533267405</v>
      </c>
      <c r="AE275" t="n">
        <v>1.990498402</v>
      </c>
      <c r="AF275" t="n">
        <v>0.552577748</v>
      </c>
      <c r="AG275" t="n">
        <v>2.262731841</v>
      </c>
      <c r="AH275" t="n">
        <v>3.239665209</v>
      </c>
      <c r="AI275" t="n">
        <v>2.005441664</v>
      </c>
      <c r="AJ275" t="n">
        <v>4.30268054</v>
      </c>
      <c r="AK275" t="n">
        <v>4.108937881</v>
      </c>
      <c r="AL275" t="n">
        <v>2.159635363</v>
      </c>
      <c r="AM275" t="n">
        <v>2.716829049</v>
      </c>
      <c r="AN275" t="n">
        <v>3.737445804</v>
      </c>
      <c r="AO275" t="n">
        <v>2.435750577</v>
      </c>
      <c r="AP275" t="n">
        <v>4.43266963</v>
      </c>
      <c r="AQ275" t="n">
        <v>1.876774457</v>
      </c>
      <c r="AR275" t="n">
        <v>-1.72172671</v>
      </c>
      <c r="AS275" t="n">
        <v>5.486844226</v>
      </c>
      <c r="AT275" t="n">
        <v>1.94129561</v>
      </c>
      <c r="AU275" t="n">
        <v>4.629405414</v>
      </c>
      <c r="AV275" t="n">
        <v>6.306599319</v>
      </c>
      <c r="AW275" t="n">
        <v>2.182668511</v>
      </c>
      <c r="AX275" t="n">
        <v>1.07302391</v>
      </c>
    </row>
    <row r="276">
      <c r="A276" t="inlineStr">
        <is>
          <t>2015-Q4</t>
        </is>
      </c>
      <c r="B276" s="87" t="n">
        <v>42370</v>
      </c>
      <c r="C276" t="n">
        <v>2.582404214</v>
      </c>
      <c r="D276" t="n">
        <v>2.664148263</v>
      </c>
      <c r="E276" t="n">
        <v>1.254883546</v>
      </c>
      <c r="F276" t="n">
        <v>1.811273819</v>
      </c>
      <c r="G276" t="n">
        <v>-5.502734444</v>
      </c>
      <c r="H276" t="n">
        <v>-0.394869166</v>
      </c>
      <c r="I276" t="n">
        <v>1.396504689</v>
      </c>
      <c r="J276" t="n">
        <v>1.897555075</v>
      </c>
      <c r="K276" t="n">
        <v>6.9</v>
      </c>
      <c r="L276" t="n">
        <v>5.148503135</v>
      </c>
      <c r="M276" t="n">
        <v>1.115160562</v>
      </c>
      <c r="N276" t="n">
        <v>1.686875018</v>
      </c>
      <c r="O276" t="n">
        <v>1.992936343</v>
      </c>
      <c r="P276" t="n">
        <v>1.994637433</v>
      </c>
      <c r="Q276" t="n">
        <v>4.168952485</v>
      </c>
      <c r="R276" t="n">
        <v>1.109252682</v>
      </c>
      <c r="S276" t="n">
        <v>2.257788921</v>
      </c>
      <c r="U276" t="n">
        <v>1.287365939</v>
      </c>
      <c r="V276" t="n">
        <v>1.100992237</v>
      </c>
      <c r="W276" t="n">
        <v>1.600307367</v>
      </c>
      <c r="Y276" t="n">
        <v>2.233220501</v>
      </c>
      <c r="Z276" t="n">
        <v>0.331985209</v>
      </c>
      <c r="AA276" t="n">
        <v>3.6587941</v>
      </c>
      <c r="AB276" t="n">
        <v>7.92964</v>
      </c>
      <c r="AC276" t="n">
        <v>23.417343322</v>
      </c>
      <c r="AD276" t="n">
        <v>5.06014925</v>
      </c>
      <c r="AE276" t="n">
        <v>1.581218319</v>
      </c>
      <c r="AF276" t="n">
        <v>1.436892124</v>
      </c>
      <c r="AG276" t="n">
        <v>1.625050113</v>
      </c>
      <c r="AH276" t="n">
        <v>3.440104128</v>
      </c>
      <c r="AI276" t="n">
        <v>0.030767836</v>
      </c>
      <c r="AJ276" t="n">
        <v>3.583167762</v>
      </c>
      <c r="AK276" t="n">
        <v>2.730677451</v>
      </c>
      <c r="AL276" t="n">
        <v>1.26935535</v>
      </c>
      <c r="AM276" t="n">
        <v>0.591916855</v>
      </c>
      <c r="AN276" t="n">
        <v>3.213719556</v>
      </c>
      <c r="AO276" t="n">
        <v>2.197230394</v>
      </c>
      <c r="AP276" t="n">
        <v>4.409719061</v>
      </c>
      <c r="AQ276" t="n">
        <v>1.543573076</v>
      </c>
      <c r="AR276" t="n">
        <v>-1.743892844</v>
      </c>
      <c r="AS276" t="n">
        <v>5.107313185</v>
      </c>
      <c r="AT276" t="n">
        <v>1.870160613</v>
      </c>
      <c r="AU276" t="n">
        <v>4.63404165</v>
      </c>
      <c r="AV276" t="n">
        <v>6.117065331</v>
      </c>
      <c r="AW276" t="n">
        <v>1.874684059</v>
      </c>
      <c r="AX276" t="n">
        <v>0.756699682</v>
      </c>
    </row>
    <row r="277">
      <c r="A277" t="inlineStr">
        <is>
          <t>2016-Q1</t>
        </is>
      </c>
      <c r="B277" s="87" t="n">
        <v>42461</v>
      </c>
      <c r="C277" t="n">
        <v>0.197318298</v>
      </c>
      <c r="D277" t="n">
        <v>2.639201872</v>
      </c>
      <c r="E277" t="n">
        <v>1.81597691</v>
      </c>
      <c r="F277" t="n">
        <v>1.34272954</v>
      </c>
      <c r="G277" t="n">
        <v>-6.04373497</v>
      </c>
      <c r="H277" t="n">
        <v>0.704858556</v>
      </c>
      <c r="I277" t="n">
        <v>1.969827882</v>
      </c>
      <c r="J277" t="n">
        <v>2.417149857</v>
      </c>
      <c r="K277" t="n">
        <v>6.9</v>
      </c>
      <c r="L277" t="n">
        <v>3.356089114</v>
      </c>
      <c r="M277" t="n">
        <v>2.489167636</v>
      </c>
      <c r="N277" t="n">
        <v>2.158906178</v>
      </c>
      <c r="O277" t="n">
        <v>1.910290077</v>
      </c>
      <c r="P277" t="n">
        <v>1.920279393</v>
      </c>
      <c r="Q277" t="n">
        <v>3.687758945</v>
      </c>
      <c r="R277" t="n">
        <v>4.206503548</v>
      </c>
      <c r="S277" t="n">
        <v>2.022356062</v>
      </c>
      <c r="U277" t="n">
        <v>3.340424309</v>
      </c>
      <c r="V277" t="n">
        <v>1.207724302</v>
      </c>
      <c r="W277" t="n">
        <v>1.572679328</v>
      </c>
      <c r="Y277" t="n">
        <v>2.185047622</v>
      </c>
      <c r="Z277" t="n">
        <v>-1.212179468</v>
      </c>
      <c r="AA277" t="n">
        <v>1.494109656</v>
      </c>
      <c r="AB277" t="n">
        <v>9.222580000000001</v>
      </c>
      <c r="AC277" t="n">
        <v>-1.640389099</v>
      </c>
      <c r="AD277" t="n">
        <v>3.77282261</v>
      </c>
      <c r="AE277" t="n">
        <v>2.294765595</v>
      </c>
      <c r="AF277" t="n">
        <v>1.460613213</v>
      </c>
      <c r="AG277" t="n">
        <v>0.8137919689999999</v>
      </c>
      <c r="AH277" t="n">
        <v>2.938103701</v>
      </c>
      <c r="AI277" t="n">
        <v>3.808727858</v>
      </c>
      <c r="AJ277" t="n">
        <v>3.961389308</v>
      </c>
      <c r="AK277" t="n">
        <v>2.763546582</v>
      </c>
      <c r="AL277" t="n">
        <v>1.594959914</v>
      </c>
      <c r="AM277" t="n">
        <v>1.311824403</v>
      </c>
      <c r="AN277" t="n">
        <v>3.98923284</v>
      </c>
      <c r="AO277" t="n">
        <v>1.93303481</v>
      </c>
      <c r="AP277" t="n">
        <v>2.509605067</v>
      </c>
      <c r="AQ277" t="n">
        <v>1.363934323</v>
      </c>
      <c r="AR277" t="n">
        <v>-0.545475916</v>
      </c>
      <c r="AS277" t="n">
        <v>3.132255246</v>
      </c>
      <c r="AT277" t="n">
        <v>2.573165025</v>
      </c>
      <c r="AU277" t="n">
        <v>3.072129781</v>
      </c>
      <c r="AV277" t="n">
        <v>4.524423533</v>
      </c>
      <c r="AW277" t="n">
        <v>1.648190603</v>
      </c>
      <c r="AX277" t="n">
        <v>0.273046192</v>
      </c>
    </row>
    <row r="278">
      <c r="A278" t="inlineStr">
        <is>
          <t>2016-Q2</t>
        </is>
      </c>
      <c r="B278" s="87" t="n">
        <v>42552</v>
      </c>
      <c r="C278" t="n">
        <v>-3.655010264</v>
      </c>
      <c r="D278" t="n">
        <v>3.197330849</v>
      </c>
      <c r="E278" t="n">
        <v>1.891934715</v>
      </c>
      <c r="F278" t="n">
        <v>1.219500485</v>
      </c>
      <c r="G278" t="n">
        <v>-3.55628126</v>
      </c>
      <c r="H278" t="n">
        <v>0.483168091</v>
      </c>
      <c r="I278" t="n">
        <v>2.167494586</v>
      </c>
      <c r="J278" t="n">
        <v>0.9893011860000001</v>
      </c>
      <c r="K278" t="n">
        <v>6.8</v>
      </c>
      <c r="L278" t="n">
        <v>2.309209407</v>
      </c>
      <c r="M278" t="n">
        <v>2.190305049</v>
      </c>
      <c r="N278" t="n">
        <v>3.058665445</v>
      </c>
      <c r="O278" t="n">
        <v>1.674688378</v>
      </c>
      <c r="P278" t="n">
        <v>1.681517121</v>
      </c>
      <c r="Q278" t="n">
        <v>3.006353288</v>
      </c>
      <c r="R278" t="n">
        <v>2.008568329</v>
      </c>
      <c r="S278" t="n">
        <v>1.829390712</v>
      </c>
      <c r="U278" t="n">
        <v>1.950050025</v>
      </c>
      <c r="V278" t="n">
        <v>0.683805103</v>
      </c>
      <c r="W278" t="n">
        <v>1.298168886</v>
      </c>
      <c r="Y278" t="n">
        <v>2.181574415</v>
      </c>
      <c r="Z278" t="n">
        <v>-1.322160629</v>
      </c>
      <c r="AA278" t="n">
        <v>2.642237827</v>
      </c>
      <c r="AB278" t="n">
        <v>8.83672</v>
      </c>
      <c r="AC278" t="n">
        <v>2.364343177</v>
      </c>
      <c r="AD278" t="n">
        <v>4.495068324</v>
      </c>
      <c r="AE278" t="n">
        <v>4.469233481</v>
      </c>
      <c r="AF278" t="n">
        <v>1.234831805</v>
      </c>
      <c r="AG278" t="n">
        <v>0.514586675</v>
      </c>
      <c r="AH278" t="n">
        <v>3.702682495</v>
      </c>
      <c r="AI278" t="n">
        <v>4.579394043</v>
      </c>
      <c r="AJ278" t="n">
        <v>1.483528247</v>
      </c>
      <c r="AK278" t="n">
        <v>1.972126199</v>
      </c>
      <c r="AL278" t="n">
        <v>1.521442237</v>
      </c>
      <c r="AM278" t="n">
        <v>0.747349285</v>
      </c>
      <c r="AN278" t="n">
        <v>4.124463749</v>
      </c>
      <c r="AO278" t="n">
        <v>1.743414398</v>
      </c>
      <c r="AP278" t="n">
        <v>3.442166</v>
      </c>
      <c r="AQ278" t="n">
        <v>1.365879963</v>
      </c>
      <c r="AR278" t="n">
        <v>0.179086243</v>
      </c>
      <c r="AS278" t="n">
        <v>2.129495599</v>
      </c>
      <c r="AT278" t="n">
        <v>3.080138128</v>
      </c>
      <c r="AU278" t="n">
        <v>2.133509301</v>
      </c>
      <c r="AV278" t="n">
        <v>4.428795264</v>
      </c>
      <c r="AW278" t="n">
        <v>1.36762965</v>
      </c>
      <c r="AX278" t="n">
        <v>1.224121386</v>
      </c>
    </row>
    <row r="279">
      <c r="A279" t="inlineStr">
        <is>
          <t>2016-Q3</t>
        </is>
      </c>
      <c r="B279" s="87" t="n">
        <v>42644</v>
      </c>
      <c r="C279" t="n">
        <v>-3.249332332</v>
      </c>
      <c r="D279" t="n">
        <v>2.2381782</v>
      </c>
      <c r="E279" t="n">
        <v>1.727918196</v>
      </c>
      <c r="F279" t="n">
        <v>1.203756948</v>
      </c>
      <c r="G279" t="n">
        <v>-2.503117887</v>
      </c>
      <c r="H279" t="n">
        <v>1.161554002</v>
      </c>
      <c r="I279" t="n">
        <v>2.244729051</v>
      </c>
      <c r="J279" t="n">
        <v>2.005879982</v>
      </c>
      <c r="K279" t="n">
        <v>6.8</v>
      </c>
      <c r="L279" t="n">
        <v>1.99187093</v>
      </c>
      <c r="M279" t="n">
        <v>1.990878004</v>
      </c>
      <c r="N279" t="n">
        <v>3.620422425</v>
      </c>
      <c r="O279" t="n">
        <v>1.740924397</v>
      </c>
      <c r="P279" t="n">
        <v>1.741987312</v>
      </c>
      <c r="Q279" t="n">
        <v>2.956099795</v>
      </c>
      <c r="R279" t="n">
        <v>2.353003906</v>
      </c>
      <c r="S279" t="n">
        <v>1.802400345</v>
      </c>
      <c r="U279" t="n">
        <v>3.111312491</v>
      </c>
      <c r="V279" t="n">
        <v>0.819934758</v>
      </c>
      <c r="W279" t="n">
        <v>1.493760423</v>
      </c>
      <c r="Y279" t="n">
        <v>2.192470556</v>
      </c>
      <c r="Z279" t="n">
        <v>0.879032768</v>
      </c>
      <c r="AA279" t="n">
        <v>2.394226963</v>
      </c>
      <c r="AB279" t="n">
        <v>9.31263</v>
      </c>
      <c r="AC279" t="n">
        <v>-0.725853532</v>
      </c>
      <c r="AD279" t="n">
        <v>7.490462133</v>
      </c>
      <c r="AE279" t="n">
        <v>5.264332072</v>
      </c>
      <c r="AF279" t="n">
        <v>1.593572544</v>
      </c>
      <c r="AG279" t="n">
        <v>0.617771109</v>
      </c>
      <c r="AH279" t="n">
        <v>2.626270856</v>
      </c>
      <c r="AI279" t="n">
        <v>5.857659482</v>
      </c>
      <c r="AJ279" t="n">
        <v>0.920065756</v>
      </c>
      <c r="AK279" t="n">
        <v>1.71021833</v>
      </c>
      <c r="AL279" t="n">
        <v>2.30265309</v>
      </c>
      <c r="AM279" t="n">
        <v>-0.721279354</v>
      </c>
      <c r="AN279" t="n">
        <v>4.089514337</v>
      </c>
      <c r="AO279" t="n">
        <v>1.633713625</v>
      </c>
      <c r="AP279" t="n">
        <v>2.65152916</v>
      </c>
      <c r="AQ279" t="n">
        <v>2.439463797</v>
      </c>
      <c r="AR279" t="n">
        <v>0.08629020699999999</v>
      </c>
      <c r="AS279" t="n">
        <v>1.337607034</v>
      </c>
      <c r="AT279" t="n">
        <v>3.397708159</v>
      </c>
      <c r="AU279" t="n">
        <v>1.024133829</v>
      </c>
      <c r="AV279" t="n">
        <v>0.03215391</v>
      </c>
      <c r="AW279" t="n">
        <v>1.648263356</v>
      </c>
      <c r="AX279" t="n">
        <v>0.7579511249999999</v>
      </c>
    </row>
    <row r="280">
      <c r="A280" t="inlineStr">
        <is>
          <t>2016-Q4</t>
        </is>
      </c>
      <c r="B280" s="87" t="n">
        <v>42736</v>
      </c>
      <c r="C280" t="n">
        <v>-1.557302856</v>
      </c>
      <c r="D280" t="n">
        <v>2.702175066</v>
      </c>
      <c r="E280" t="n">
        <v>2.47807006</v>
      </c>
      <c r="F280" t="n">
        <v>1.300882844</v>
      </c>
      <c r="G280" t="n">
        <v>-1.674901899</v>
      </c>
      <c r="H280" t="n">
        <v>1.653443587</v>
      </c>
      <c r="I280" t="n">
        <v>1.908333352</v>
      </c>
      <c r="J280" t="n">
        <v>1.188210328</v>
      </c>
      <c r="K280" t="n">
        <v>6.9</v>
      </c>
      <c r="L280" t="n">
        <v>2.172213369</v>
      </c>
      <c r="M280" t="n">
        <v>1.91264489</v>
      </c>
      <c r="N280" t="n">
        <v>4.134965567</v>
      </c>
      <c r="O280" t="n">
        <v>2.038401558</v>
      </c>
      <c r="P280" t="n">
        <v>2.049980916</v>
      </c>
      <c r="Q280" t="n">
        <v>2.518368437</v>
      </c>
      <c r="R280" t="n">
        <v>3.782518879</v>
      </c>
      <c r="S280" t="n">
        <v>2.143863321</v>
      </c>
      <c r="U280" t="n">
        <v>2.851778842</v>
      </c>
      <c r="V280" t="n">
        <v>1.231543715</v>
      </c>
      <c r="W280" t="n">
        <v>1.741125637</v>
      </c>
      <c r="Y280" t="n">
        <v>2.102475325</v>
      </c>
      <c r="Z280" t="n">
        <v>-0.229263979</v>
      </c>
      <c r="AA280" t="n">
        <v>2.205904892</v>
      </c>
      <c r="AB280" t="n">
        <v>8.59624</v>
      </c>
      <c r="AC280" t="n">
        <v>8.952878092000001</v>
      </c>
      <c r="AD280" t="n">
        <v>9.298764480999999</v>
      </c>
      <c r="AE280" t="n">
        <v>5.481633077</v>
      </c>
      <c r="AF280" t="n">
        <v>1.381725003</v>
      </c>
      <c r="AG280" t="n">
        <v>0.941881607</v>
      </c>
      <c r="AH280" t="n">
        <v>2.534036418</v>
      </c>
      <c r="AI280" t="n">
        <v>5.705556546</v>
      </c>
      <c r="AJ280" t="n">
        <v>2.268146221</v>
      </c>
      <c r="AK280" t="n">
        <v>3.141802816</v>
      </c>
      <c r="AL280" t="n">
        <v>3.142404666</v>
      </c>
      <c r="AM280" t="n">
        <v>1.496757708</v>
      </c>
      <c r="AN280" t="n">
        <v>3.378944429</v>
      </c>
      <c r="AO280" t="n">
        <v>2.140237337</v>
      </c>
      <c r="AP280" t="n">
        <v>3.820208478</v>
      </c>
      <c r="AQ280" t="n">
        <v>2.901011108</v>
      </c>
      <c r="AR280" t="n">
        <v>1.172923142</v>
      </c>
      <c r="AS280" t="n">
        <v>1.211671061</v>
      </c>
      <c r="AT280" t="n">
        <v>4.189754249</v>
      </c>
      <c r="AU280" t="n">
        <v>1.192031816</v>
      </c>
      <c r="AV280" t="n">
        <v>4.326189325</v>
      </c>
      <c r="AW280" t="n">
        <v>2.004177046</v>
      </c>
      <c r="AX280" t="n">
        <v>0.408272378</v>
      </c>
    </row>
    <row r="281">
      <c r="A281" t="inlineStr">
        <is>
          <t>2017-Q1</t>
        </is>
      </c>
      <c r="B281" s="87" t="n">
        <v>42826</v>
      </c>
      <c r="C281" t="n">
        <v>0.198001805</v>
      </c>
      <c r="D281" t="n">
        <v>2.106996473</v>
      </c>
      <c r="E281" t="n">
        <v>2.03270268</v>
      </c>
      <c r="F281" t="n">
        <v>1.902990414</v>
      </c>
      <c r="G281" t="n">
        <v>0.66826983</v>
      </c>
      <c r="H281" t="n">
        <v>2.197779092</v>
      </c>
      <c r="I281" t="n">
        <v>1.66819799</v>
      </c>
      <c r="J281" t="n">
        <v>-0.573521917</v>
      </c>
      <c r="K281" t="n">
        <v>7</v>
      </c>
      <c r="L281" t="n">
        <v>3.695055354</v>
      </c>
      <c r="M281" t="n">
        <v>2.281000431</v>
      </c>
      <c r="N281" t="n">
        <v>3.622621239</v>
      </c>
      <c r="O281" t="n">
        <v>2.166835979</v>
      </c>
      <c r="P281" t="n">
        <v>2.172713567</v>
      </c>
      <c r="Q281" t="n">
        <v>2.625222038</v>
      </c>
      <c r="R281" t="n">
        <v>4.239473419</v>
      </c>
      <c r="S281" t="n">
        <v>2.392485724</v>
      </c>
      <c r="U281" t="n">
        <v>2.635288009</v>
      </c>
      <c r="V281" t="n">
        <v>1.244695635</v>
      </c>
      <c r="W281" t="n">
        <v>1.772732645</v>
      </c>
      <c r="Y281" t="n">
        <v>2.482722829</v>
      </c>
      <c r="Z281" t="n">
        <v>0.657324323</v>
      </c>
      <c r="AA281" t="n">
        <v>4.08791751</v>
      </c>
      <c r="AB281" t="n">
        <v>6.37718</v>
      </c>
      <c r="AC281" t="n">
        <v>8.068993537000001</v>
      </c>
      <c r="AD281" t="n">
        <v>7.979591009</v>
      </c>
      <c r="AE281" t="n">
        <v>4.787051686</v>
      </c>
      <c r="AF281" t="n">
        <v>1.523321185</v>
      </c>
      <c r="AG281" t="n">
        <v>0.997844822</v>
      </c>
      <c r="AH281" t="n">
        <v>3.255061378</v>
      </c>
      <c r="AI281" t="n">
        <v>1.241052902</v>
      </c>
      <c r="AJ281" t="n">
        <v>1.899793435</v>
      </c>
      <c r="AK281" t="n">
        <v>3.032077791</v>
      </c>
      <c r="AL281" t="n">
        <v>2.739201872</v>
      </c>
      <c r="AM281" t="n">
        <v>2.140633171</v>
      </c>
      <c r="AN281" t="n">
        <v>3.318492441</v>
      </c>
      <c r="AO281" t="n">
        <v>2.227662499</v>
      </c>
      <c r="AP281" t="n">
        <v>5.285063474</v>
      </c>
      <c r="AQ281" t="n">
        <v>3.622093142</v>
      </c>
      <c r="AR281" t="n">
        <v>1.184664665</v>
      </c>
      <c r="AS281" t="n">
        <v>2.015211566</v>
      </c>
      <c r="AT281" t="n">
        <v>4.815401375</v>
      </c>
      <c r="AU281" t="n">
        <v>1.719392922</v>
      </c>
      <c r="AV281" t="n">
        <v>5.373309812</v>
      </c>
      <c r="AW281" t="n">
        <v>1.842416355</v>
      </c>
      <c r="AX281" t="n">
        <v>0.64192886</v>
      </c>
    </row>
    <row r="282">
      <c r="A282" t="inlineStr">
        <is>
          <t>2017-Q2</t>
        </is>
      </c>
      <c r="B282" s="87" t="n">
        <v>42917</v>
      </c>
      <c r="C282" t="n">
        <v>2.960905605</v>
      </c>
      <c r="D282" t="n">
        <v>2.085296964</v>
      </c>
      <c r="E282" t="n">
        <v>2.445399477</v>
      </c>
      <c r="F282" t="n">
        <v>1.590915559</v>
      </c>
      <c r="G282" t="n">
        <v>1.14114149</v>
      </c>
      <c r="H282" t="n">
        <v>3.75347556</v>
      </c>
      <c r="I282" t="n">
        <v>1.150451709</v>
      </c>
      <c r="J282" t="n">
        <v>1.164324472</v>
      </c>
      <c r="K282" t="n">
        <v>7</v>
      </c>
      <c r="L282" t="n">
        <v>5.915502996</v>
      </c>
      <c r="M282" t="n">
        <v>2.692704845</v>
      </c>
      <c r="N282" t="n">
        <v>3.382501008</v>
      </c>
      <c r="O282" t="n">
        <v>2.733271193</v>
      </c>
      <c r="P282" t="n">
        <v>2.735181678</v>
      </c>
      <c r="Q282" t="n">
        <v>3.248165016</v>
      </c>
      <c r="R282" t="n">
        <v>6.26113103</v>
      </c>
      <c r="S282" t="n">
        <v>2.95538462</v>
      </c>
      <c r="U282" t="n">
        <v>3.781061364</v>
      </c>
      <c r="V282" t="n">
        <v>2.505511518</v>
      </c>
      <c r="W282" t="n">
        <v>2.165524053</v>
      </c>
      <c r="Y282" t="n">
        <v>2.387746705</v>
      </c>
      <c r="Z282" t="n">
        <v>1.271051877</v>
      </c>
      <c r="AA282" t="n">
        <v>4.007634401</v>
      </c>
      <c r="AB282" t="n">
        <v>6.6675</v>
      </c>
      <c r="AC282" t="n">
        <v>8.509475782000001</v>
      </c>
      <c r="AD282" t="n">
        <v>4.342677395</v>
      </c>
      <c r="AE282" t="n">
        <v>3.876007846</v>
      </c>
      <c r="AF282" t="n">
        <v>1.79734768</v>
      </c>
      <c r="AG282" t="n">
        <v>1.520829194</v>
      </c>
      <c r="AH282" t="n">
        <v>2.772623491</v>
      </c>
      <c r="AI282" t="n">
        <v>1.188037854</v>
      </c>
      <c r="AJ282" t="n">
        <v>3.822442102</v>
      </c>
      <c r="AK282" t="n">
        <v>2.915941585</v>
      </c>
      <c r="AL282" t="n">
        <v>3.399306024</v>
      </c>
      <c r="AM282" t="n">
        <v>3.157501977</v>
      </c>
      <c r="AN282" t="n">
        <v>3.393510446</v>
      </c>
      <c r="AO282" t="n">
        <v>2.581454106</v>
      </c>
      <c r="AP282" t="n">
        <v>4.770537703</v>
      </c>
      <c r="AQ282" t="n">
        <v>3.834601568</v>
      </c>
      <c r="AR282" t="n">
        <v>1.828467195</v>
      </c>
      <c r="AS282" t="n">
        <v>2.719077271</v>
      </c>
      <c r="AT282" t="n">
        <v>4.723480512</v>
      </c>
      <c r="AU282" t="n">
        <v>2.983488827</v>
      </c>
      <c r="AV282" t="n">
        <v>6.255758034</v>
      </c>
      <c r="AW282" t="n">
        <v>2.046912859</v>
      </c>
      <c r="AX282" t="n">
        <v>1.093464986</v>
      </c>
    </row>
    <row r="283">
      <c r="A283" t="inlineStr">
        <is>
          <t>2017-Q3</t>
        </is>
      </c>
      <c r="B283" s="87" t="n">
        <v>43009</v>
      </c>
      <c r="C283" t="n">
        <v>3.874596692</v>
      </c>
      <c r="D283" t="n">
        <v>2.961230435</v>
      </c>
      <c r="E283" t="n">
        <v>2.602504435</v>
      </c>
      <c r="F283" t="n">
        <v>1.347588924</v>
      </c>
      <c r="G283" t="n">
        <v>2.023495405</v>
      </c>
      <c r="H283" t="n">
        <v>3.12771636</v>
      </c>
      <c r="I283" t="n">
        <v>1.001635746</v>
      </c>
      <c r="J283" t="n">
        <v>2.44283458</v>
      </c>
      <c r="K283" t="n">
        <v>6.9</v>
      </c>
      <c r="L283" t="n">
        <v>5.85167887</v>
      </c>
      <c r="M283" t="n">
        <v>3.184849767</v>
      </c>
      <c r="N283" t="n">
        <v>2.136810628</v>
      </c>
      <c r="O283" t="n">
        <v>3.041253315</v>
      </c>
      <c r="P283" t="n">
        <v>3.045511005</v>
      </c>
      <c r="Q283" t="n">
        <v>3.015771106</v>
      </c>
      <c r="R283" t="n">
        <v>5.490322746</v>
      </c>
      <c r="S283" t="n">
        <v>3.262681897</v>
      </c>
      <c r="U283" t="n">
        <v>3.004614033</v>
      </c>
      <c r="V283" t="n">
        <v>3.040282841</v>
      </c>
      <c r="W283" t="n">
        <v>2.434454758</v>
      </c>
      <c r="Y283" t="n">
        <v>2.463519151</v>
      </c>
      <c r="Z283" t="n">
        <v>1.948528068</v>
      </c>
      <c r="AA283" t="n">
        <v>4.45915415</v>
      </c>
      <c r="AB283" t="n">
        <v>5.99656</v>
      </c>
      <c r="AC283" t="n">
        <v>13.757133326</v>
      </c>
      <c r="AD283" t="n">
        <v>2.485508144</v>
      </c>
      <c r="AE283" t="n">
        <v>4.31182672</v>
      </c>
      <c r="AF283" t="n">
        <v>1.704210812</v>
      </c>
      <c r="AG283" t="n">
        <v>2.16879049</v>
      </c>
      <c r="AH283" t="n">
        <v>3.782633651</v>
      </c>
      <c r="AI283" t="n">
        <v>1.595685011</v>
      </c>
      <c r="AJ283" t="n">
        <v>4.015585438</v>
      </c>
      <c r="AK283" t="n">
        <v>1.568607685</v>
      </c>
      <c r="AL283" t="n">
        <v>2.99034564</v>
      </c>
      <c r="AM283" t="n">
        <v>4.184257017</v>
      </c>
      <c r="AN283" t="n">
        <v>3.220669208</v>
      </c>
      <c r="AO283" t="n">
        <v>2.981226856</v>
      </c>
      <c r="AP283" t="n">
        <v>5.702007307</v>
      </c>
      <c r="AQ283" t="n">
        <v>3.342891869</v>
      </c>
      <c r="AR283" t="n">
        <v>2.41722483</v>
      </c>
      <c r="AS283" t="n">
        <v>3.199712143</v>
      </c>
      <c r="AT283" t="n">
        <v>4.711999406</v>
      </c>
      <c r="AU283" t="n">
        <v>3.596286103</v>
      </c>
      <c r="AV283" t="n">
        <v>11.051091386</v>
      </c>
      <c r="AW283" t="n">
        <v>2.276539538</v>
      </c>
      <c r="AX283" t="n">
        <v>1.291712289</v>
      </c>
    </row>
    <row r="284">
      <c r="A284" t="inlineStr">
        <is>
          <t>2017-Q4</t>
        </is>
      </c>
      <c r="B284" s="87" t="n">
        <v>43101</v>
      </c>
      <c r="C284" t="n">
        <v>4.265832634</v>
      </c>
      <c r="D284" t="n">
        <v>2.364540977</v>
      </c>
      <c r="E284" t="n">
        <v>2.243747658</v>
      </c>
      <c r="F284" t="n">
        <v>1.638432983</v>
      </c>
      <c r="G284" t="n">
        <v>2.681091122</v>
      </c>
      <c r="H284" t="n">
        <v>3.083114067</v>
      </c>
      <c r="I284" t="n">
        <v>1.890894093</v>
      </c>
      <c r="J284" t="n">
        <v>3.3220368</v>
      </c>
      <c r="K284" t="n">
        <v>6.8</v>
      </c>
      <c r="L284" t="n">
        <v>5.895675336</v>
      </c>
      <c r="M284" t="n">
        <v>3.748530941</v>
      </c>
      <c r="N284" t="n">
        <v>2.171760752</v>
      </c>
      <c r="O284" t="n">
        <v>3.091212099</v>
      </c>
      <c r="P284" t="n">
        <v>3.090582473</v>
      </c>
      <c r="Q284" t="n">
        <v>3.01123371</v>
      </c>
      <c r="R284" t="n">
        <v>5.820499711</v>
      </c>
      <c r="S284" t="n">
        <v>3.253220556</v>
      </c>
      <c r="U284" t="n">
        <v>3.353168808</v>
      </c>
      <c r="V284" t="n">
        <v>3.023433087</v>
      </c>
      <c r="W284" t="n">
        <v>2.759313741</v>
      </c>
      <c r="Y284" t="n">
        <v>2.44048367</v>
      </c>
      <c r="Z284" t="n">
        <v>0.360858743</v>
      </c>
      <c r="AA284" t="n">
        <v>5.034368931</v>
      </c>
      <c r="AB284" t="n">
        <v>6.53471</v>
      </c>
      <c r="AC284" t="n">
        <v>7.778904415</v>
      </c>
      <c r="AD284" t="n">
        <v>2.349372934</v>
      </c>
      <c r="AE284" t="n">
        <v>4.615842555</v>
      </c>
      <c r="AF284" t="n">
        <v>1.938158862</v>
      </c>
      <c r="AG284" t="n">
        <v>2.140308718</v>
      </c>
      <c r="AH284" t="n">
        <v>2.830172037</v>
      </c>
      <c r="AI284" t="n">
        <v>1.270707959</v>
      </c>
      <c r="AJ284" t="n">
        <v>3.474530003</v>
      </c>
      <c r="AK284" t="n">
        <v>1.844074335</v>
      </c>
      <c r="AL284" t="n">
        <v>2.908079104</v>
      </c>
      <c r="AM284" t="n">
        <v>2.221528172</v>
      </c>
      <c r="AN284" t="n">
        <v>3.864465154</v>
      </c>
      <c r="AO284" t="n">
        <v>2.989873437</v>
      </c>
      <c r="AP284" t="n">
        <v>5.081328121</v>
      </c>
      <c r="AQ284" t="n">
        <v>3.233822787</v>
      </c>
      <c r="AR284" t="n">
        <v>1.600415896</v>
      </c>
      <c r="AS284" t="n">
        <v>3.806633576</v>
      </c>
      <c r="AT284" t="n">
        <v>6.29616358</v>
      </c>
      <c r="AU284" t="n">
        <v>2.929753333</v>
      </c>
      <c r="AV284" t="n">
        <v>7.233754818</v>
      </c>
      <c r="AW284" t="n">
        <v>2.794320412</v>
      </c>
      <c r="AX284" t="n">
        <v>1.603878997</v>
      </c>
    </row>
    <row r="285">
      <c r="A285" t="inlineStr">
        <is>
          <t>2018-Q1</t>
        </is>
      </c>
      <c r="B285" s="87" t="n">
        <v>43191</v>
      </c>
      <c r="C285" t="n">
        <v>2.982233969</v>
      </c>
      <c r="D285" t="n">
        <v>3.037917327</v>
      </c>
      <c r="E285" t="n">
        <v>2.699224239</v>
      </c>
      <c r="F285" t="n">
        <v>1.356360573</v>
      </c>
      <c r="G285" t="n">
        <v>2.162623462</v>
      </c>
      <c r="H285" t="n">
        <v>2.867253653</v>
      </c>
      <c r="I285" t="n">
        <v>2.89623712</v>
      </c>
      <c r="J285" t="n">
        <v>5.002292992</v>
      </c>
      <c r="K285" t="n">
        <v>6.9</v>
      </c>
      <c r="L285" t="n">
        <v>4.740865159</v>
      </c>
      <c r="M285" t="n">
        <v>1.919385872</v>
      </c>
      <c r="N285" t="n">
        <v>2.027279546</v>
      </c>
      <c r="O285" t="n">
        <v>2.391919803</v>
      </c>
      <c r="P285" t="n">
        <v>2.387908366</v>
      </c>
      <c r="Q285" t="n">
        <v>2.645141195</v>
      </c>
      <c r="R285" t="n">
        <v>4.386085698</v>
      </c>
      <c r="S285" t="n">
        <v>2.625940347</v>
      </c>
      <c r="U285" t="n">
        <v>2.591113601</v>
      </c>
      <c r="V285" t="n">
        <v>2.377836328</v>
      </c>
      <c r="W285" t="n">
        <v>2.446180026</v>
      </c>
      <c r="Y285" t="n">
        <v>1.841136146</v>
      </c>
      <c r="Z285" t="n">
        <v>1.815563267</v>
      </c>
      <c r="AA285" t="n">
        <v>5.41456553</v>
      </c>
      <c r="AB285" t="n">
        <v>7.95814</v>
      </c>
      <c r="AC285" t="n">
        <v>12.340429119</v>
      </c>
      <c r="AD285" t="n">
        <v>6.381647655</v>
      </c>
      <c r="AE285" t="n">
        <v>5.724426487</v>
      </c>
      <c r="AF285" t="n">
        <v>1.303587336</v>
      </c>
      <c r="AG285" t="n">
        <v>1.404859477</v>
      </c>
      <c r="AH285" t="n">
        <v>3.1111625</v>
      </c>
      <c r="AI285" t="n">
        <v>2.769469567</v>
      </c>
      <c r="AJ285" t="n">
        <v>3.206723584</v>
      </c>
      <c r="AK285" t="n">
        <v>2.51452845</v>
      </c>
      <c r="AL285" t="n">
        <v>2.828043051</v>
      </c>
      <c r="AM285" t="n">
        <v>1.571475541</v>
      </c>
      <c r="AN285" t="n">
        <v>3.626129512</v>
      </c>
      <c r="AO285" t="n">
        <v>2.890533157</v>
      </c>
      <c r="AP285" t="n">
        <v>5.758662667</v>
      </c>
      <c r="AQ285" t="n">
        <v>2.781332358</v>
      </c>
      <c r="AR285" t="n">
        <v>2.770876817</v>
      </c>
      <c r="AS285" t="n">
        <v>3.935699785</v>
      </c>
      <c r="AT285" t="n">
        <v>4.508457567</v>
      </c>
      <c r="AU285" t="n">
        <v>2.80333137</v>
      </c>
      <c r="AV285" t="n">
        <v>7.339411257</v>
      </c>
      <c r="AW285" t="n">
        <v>3.063503384</v>
      </c>
      <c r="AX285" t="n">
        <v>1.661417862</v>
      </c>
    </row>
    <row r="286">
      <c r="A286" t="inlineStr">
        <is>
          <t>2018-Q2</t>
        </is>
      </c>
      <c r="B286" s="87" t="n">
        <v>43282</v>
      </c>
      <c r="C286" t="n">
        <v>-2.703590405</v>
      </c>
      <c r="D286" t="n">
        <v>3.166411107</v>
      </c>
      <c r="E286" t="n">
        <v>2.256436273</v>
      </c>
      <c r="F286" t="n">
        <v>1.569737039</v>
      </c>
      <c r="G286" t="n">
        <v>1.395238518</v>
      </c>
      <c r="H286" t="n">
        <v>2.624971128</v>
      </c>
      <c r="I286" t="n">
        <v>3.728153854</v>
      </c>
      <c r="J286" t="n">
        <v>5.10355938</v>
      </c>
      <c r="K286" t="n">
        <v>6.9</v>
      </c>
      <c r="L286" t="n">
        <v>2.821316363</v>
      </c>
      <c r="M286" t="n">
        <v>1.779096704</v>
      </c>
      <c r="N286" t="n">
        <v>1.406567485</v>
      </c>
      <c r="O286" t="n">
        <v>2.135005054</v>
      </c>
      <c r="P286" t="n">
        <v>2.141498432</v>
      </c>
      <c r="Q286" t="n">
        <v>2.199627206</v>
      </c>
      <c r="R286" t="n">
        <v>3.475384793</v>
      </c>
      <c r="S286" t="n">
        <v>2.382411527</v>
      </c>
      <c r="U286" t="n">
        <v>1.18113046</v>
      </c>
      <c r="V286" t="n">
        <v>1.958006969</v>
      </c>
      <c r="W286" t="n">
        <v>2.451304803</v>
      </c>
      <c r="Y286" t="n">
        <v>1.758723245</v>
      </c>
      <c r="Z286" t="n">
        <v>1.667608232</v>
      </c>
      <c r="AA286" t="n">
        <v>5.141107024</v>
      </c>
      <c r="AB286" t="n">
        <v>7.16524</v>
      </c>
      <c r="AC286" t="n">
        <v>12.836612419</v>
      </c>
      <c r="AD286" t="n">
        <v>5.750776034</v>
      </c>
      <c r="AE286" t="n">
        <v>4.549567675</v>
      </c>
      <c r="AF286" t="n">
        <v>0.914460971</v>
      </c>
      <c r="AG286" t="n">
        <v>1.37540322</v>
      </c>
      <c r="AH286" t="n">
        <v>3.038227715</v>
      </c>
      <c r="AI286" t="n">
        <v>0.797587513</v>
      </c>
      <c r="AJ286" t="n">
        <v>3.907609455</v>
      </c>
      <c r="AK286" t="n">
        <v>2.114797568</v>
      </c>
      <c r="AL286" t="n">
        <v>2.585526693</v>
      </c>
      <c r="AM286" t="n">
        <v>0.904835286</v>
      </c>
      <c r="AN286" t="n">
        <v>3.796359067</v>
      </c>
      <c r="AO286" t="n">
        <v>2.777129307</v>
      </c>
      <c r="AP286" t="n">
        <v>6.205951262</v>
      </c>
      <c r="AQ286" t="n">
        <v>3.061834708</v>
      </c>
      <c r="AR286" t="n">
        <v>2.635629215</v>
      </c>
      <c r="AS286" t="n">
        <v>4.185615112</v>
      </c>
      <c r="AT286" t="n">
        <v>4.637820296</v>
      </c>
      <c r="AU286" t="n">
        <v>2.566208554</v>
      </c>
      <c r="AV286" t="n">
        <v>5.636345808</v>
      </c>
      <c r="AW286" t="n">
        <v>3.261982807</v>
      </c>
      <c r="AX286" t="n">
        <v>0.858646682</v>
      </c>
    </row>
    <row r="287">
      <c r="A287" t="inlineStr">
        <is>
          <t>2018-Q3</t>
        </is>
      </c>
      <c r="B287" s="87" t="n">
        <v>43374</v>
      </c>
      <c r="C287" t="n">
        <v>-4.151938011</v>
      </c>
      <c r="D287" t="n">
        <v>2.662082814</v>
      </c>
      <c r="E287" t="n">
        <v>2.044401434</v>
      </c>
      <c r="F287" t="n">
        <v>2.032349396</v>
      </c>
      <c r="G287" t="n">
        <v>1.972362097</v>
      </c>
      <c r="H287" t="n">
        <v>2.899105586</v>
      </c>
      <c r="I287" t="n">
        <v>2.821541101</v>
      </c>
      <c r="J287" t="n">
        <v>2.743728063</v>
      </c>
      <c r="K287" t="n">
        <v>6.7</v>
      </c>
      <c r="L287" t="n">
        <v>2.695851198</v>
      </c>
      <c r="M287" t="n">
        <v>0.239433443</v>
      </c>
      <c r="N287" t="n">
        <v>2.392719949</v>
      </c>
      <c r="O287" t="n">
        <v>1.356797368</v>
      </c>
      <c r="P287" t="n">
        <v>1.363464255</v>
      </c>
      <c r="Q287" t="n">
        <v>2.088722846</v>
      </c>
      <c r="R287" t="n">
        <v>4.00255519</v>
      </c>
      <c r="S287" t="n">
        <v>1.674636616</v>
      </c>
      <c r="U287" t="n">
        <v>0.711022628</v>
      </c>
      <c r="V287" t="n">
        <v>1.505113811</v>
      </c>
      <c r="W287" t="n">
        <v>2.005010501</v>
      </c>
      <c r="Y287" t="n">
        <v>1.799071447</v>
      </c>
      <c r="Z287" t="n">
        <v>0.509430246</v>
      </c>
      <c r="AA287" t="n">
        <v>5.715152196</v>
      </c>
      <c r="AB287" t="n">
        <v>6.90279</v>
      </c>
      <c r="AC287" t="n">
        <v>7.507762122</v>
      </c>
      <c r="AD287" t="n">
        <v>3.674482902</v>
      </c>
      <c r="AE287" t="n">
        <v>3.925401467</v>
      </c>
      <c r="AF287" t="n">
        <v>0.601064089</v>
      </c>
      <c r="AG287" t="n">
        <v>0.007673404</v>
      </c>
      <c r="AH287" t="n">
        <v>2.247361657</v>
      </c>
      <c r="AI287" t="n">
        <v>0.602796818</v>
      </c>
      <c r="AJ287" t="n">
        <v>4.782237365</v>
      </c>
      <c r="AK287" t="n">
        <v>2.818984661</v>
      </c>
      <c r="AL287" t="n">
        <v>2.107270945</v>
      </c>
      <c r="AM287" t="n">
        <v>0.849469284</v>
      </c>
      <c r="AN287" t="n">
        <v>3.077503857</v>
      </c>
      <c r="AO287" t="n">
        <v>2.249444944</v>
      </c>
      <c r="AP287" t="n">
        <v>5.964257235</v>
      </c>
      <c r="AQ287" t="n">
        <v>2.888588151</v>
      </c>
      <c r="AR287" t="n">
        <v>2.189001208</v>
      </c>
      <c r="AS287" t="n">
        <v>4.352716091</v>
      </c>
      <c r="AT287" t="n">
        <v>5.109243823</v>
      </c>
      <c r="AU287" t="n">
        <v>0.790628428</v>
      </c>
      <c r="AV287" t="n">
        <v>2.364885926</v>
      </c>
      <c r="AW287" t="n">
        <v>3.153983833</v>
      </c>
      <c r="AX287" t="n">
        <v>1.911616153</v>
      </c>
    </row>
    <row r="288">
      <c r="A288" t="inlineStr">
        <is>
          <t>2018-Q4</t>
        </is>
      </c>
      <c r="B288" s="87" t="n">
        <v>43466</v>
      </c>
      <c r="C288" t="n">
        <v>-6.430896781</v>
      </c>
      <c r="D288" t="n">
        <v>2.406606005</v>
      </c>
      <c r="E288" t="n">
        <v>2.677040105</v>
      </c>
      <c r="F288" t="n">
        <v>2.209924266</v>
      </c>
      <c r="G288" t="n">
        <v>1.115783573</v>
      </c>
      <c r="H288" t="n">
        <v>2.717788724</v>
      </c>
      <c r="I288" t="n">
        <v>2.031205294</v>
      </c>
      <c r="J288" t="n">
        <v>3.290834262</v>
      </c>
      <c r="K288" t="n">
        <v>6.5</v>
      </c>
      <c r="L288" t="n">
        <v>2.619965863</v>
      </c>
      <c r="M288" t="n">
        <v>0.124539175</v>
      </c>
      <c r="N288" t="n">
        <v>2.132945885</v>
      </c>
      <c r="O288" t="n">
        <v>1.193595407</v>
      </c>
      <c r="P288" t="n">
        <v>1.202637676</v>
      </c>
      <c r="Q288" t="n">
        <v>2.210501527</v>
      </c>
      <c r="R288" t="n">
        <v>3.574116813</v>
      </c>
      <c r="S288" t="n">
        <v>1.547016003</v>
      </c>
      <c r="U288" t="n">
        <v>0.102435492</v>
      </c>
      <c r="V288" t="n">
        <v>1.459624277</v>
      </c>
      <c r="W288" t="n">
        <v>1.491577534</v>
      </c>
      <c r="Y288" t="n">
        <v>1.424608878</v>
      </c>
      <c r="Z288" t="n">
        <v>2.218459531</v>
      </c>
      <c r="AA288" t="n">
        <v>5.322497357</v>
      </c>
      <c r="AB288" t="n">
        <v>6.48324</v>
      </c>
      <c r="AC288" t="n">
        <v>3.313303158</v>
      </c>
      <c r="AD288" t="n">
        <v>3.837564402</v>
      </c>
      <c r="AE288" t="n">
        <v>3.181039403</v>
      </c>
      <c r="AF288" t="n">
        <v>0.355304536</v>
      </c>
      <c r="AG288" t="n">
        <v>-0.238103996</v>
      </c>
      <c r="AH288" t="n">
        <v>3.240034708</v>
      </c>
      <c r="AI288" t="n">
        <v>0.855487775</v>
      </c>
      <c r="AJ288" t="n">
        <v>4.936996561</v>
      </c>
      <c r="AK288" t="n">
        <v>1.296055736</v>
      </c>
      <c r="AL288" t="n">
        <v>1.758861066</v>
      </c>
      <c r="AM288" t="n">
        <v>1.461456694</v>
      </c>
      <c r="AN288" t="n">
        <v>3.602022074</v>
      </c>
      <c r="AO288" t="n">
        <v>1.643645436</v>
      </c>
      <c r="AP288" t="n">
        <v>5.54649463</v>
      </c>
      <c r="AQ288" t="n">
        <v>2.667707197</v>
      </c>
      <c r="AR288" t="n">
        <v>2.84590986</v>
      </c>
      <c r="AS288" t="n">
        <v>3.65166425</v>
      </c>
      <c r="AT288" t="n">
        <v>3.992270404</v>
      </c>
      <c r="AU288" t="n">
        <v>1.966830797</v>
      </c>
      <c r="AV288" t="n">
        <v>-2.725967819</v>
      </c>
      <c r="AW288" t="n">
        <v>2.312583628</v>
      </c>
      <c r="AX288" t="n">
        <v>1.79399773</v>
      </c>
    </row>
    <row r="289">
      <c r="A289" t="inlineStr">
        <is>
          <t>2019-Q1</t>
        </is>
      </c>
      <c r="B289" s="87" t="n">
        <v>43556</v>
      </c>
      <c r="C289" t="n">
        <v>-6.050076073</v>
      </c>
      <c r="D289" t="n">
        <v>1.962700888</v>
      </c>
      <c r="E289" t="n">
        <v>2.407279851</v>
      </c>
      <c r="F289" t="n">
        <v>2.10936562</v>
      </c>
      <c r="G289" t="n">
        <v>0.935256288</v>
      </c>
      <c r="H289" t="n">
        <v>1.898614382</v>
      </c>
      <c r="I289" t="n">
        <v>1.030355507</v>
      </c>
      <c r="J289" t="n">
        <v>1.878248842</v>
      </c>
      <c r="K289" t="n">
        <v>6.3</v>
      </c>
      <c r="L289" t="n">
        <v>2.997899456</v>
      </c>
      <c r="M289" t="n">
        <v>1.429591262</v>
      </c>
      <c r="N289" t="n">
        <v>1.390963869</v>
      </c>
      <c r="O289" t="n">
        <v>1.829639975</v>
      </c>
      <c r="P289" t="n">
        <v>1.845351112</v>
      </c>
      <c r="Q289" t="n">
        <v>2.395591587</v>
      </c>
      <c r="R289" t="n">
        <v>4.436882653</v>
      </c>
      <c r="S289" t="n">
        <v>2.082056581</v>
      </c>
      <c r="U289" t="n">
        <v>0.459693186</v>
      </c>
      <c r="V289" t="n">
        <v>2.120133516</v>
      </c>
      <c r="W289" t="n">
        <v>1.649236408</v>
      </c>
      <c r="Y289" t="n">
        <v>1.91132407</v>
      </c>
      <c r="Z289" t="n">
        <v>1.582838999</v>
      </c>
      <c r="AA289" t="n">
        <v>5.506454335</v>
      </c>
      <c r="AB289" t="n">
        <v>5.32123</v>
      </c>
      <c r="AC289" t="n">
        <v>5.212444015</v>
      </c>
      <c r="AD289" t="n">
        <v>3.239011978</v>
      </c>
      <c r="AE289" t="n">
        <v>3.656471869</v>
      </c>
      <c r="AF289" t="n">
        <v>0.644396071</v>
      </c>
      <c r="AG289" t="n">
        <v>-0.125506124</v>
      </c>
      <c r="AH289" t="n">
        <v>1.892694759</v>
      </c>
      <c r="AI289" t="n">
        <v>0.98906459</v>
      </c>
      <c r="AJ289" t="n">
        <v>4.024783781</v>
      </c>
      <c r="AK289" t="n">
        <v>0.204222634</v>
      </c>
      <c r="AL289" t="n">
        <v>2.013218194</v>
      </c>
      <c r="AM289" t="n">
        <v>0.519304557</v>
      </c>
      <c r="AN289" t="n">
        <v>3.478288901</v>
      </c>
      <c r="AO289" t="n">
        <v>1.657740079</v>
      </c>
      <c r="AP289" t="n">
        <v>5.114726458</v>
      </c>
      <c r="AQ289" t="n">
        <v>2.826324588</v>
      </c>
      <c r="AR289" t="n">
        <v>1.431307172</v>
      </c>
      <c r="AS289" t="n">
        <v>3.497932377</v>
      </c>
      <c r="AT289" t="n">
        <v>4.596147058</v>
      </c>
      <c r="AU289" t="n">
        <v>2.106034111</v>
      </c>
      <c r="AV289" t="n">
        <v>-2.333831514</v>
      </c>
      <c r="AW289" t="n">
        <v>2.160228109</v>
      </c>
      <c r="AX289" t="n">
        <v>0.373891353</v>
      </c>
    </row>
    <row r="290">
      <c r="A290" t="inlineStr">
        <is>
          <t>2019-Q2</t>
        </is>
      </c>
      <c r="B290" s="87" t="n">
        <v>43647</v>
      </c>
      <c r="C290" t="n">
        <v>-0.7672061</v>
      </c>
      <c r="D290" t="n">
        <v>1.667268593</v>
      </c>
      <c r="E290" t="n">
        <v>1.719174426</v>
      </c>
      <c r="F290" t="n">
        <v>2.212027324</v>
      </c>
      <c r="G290" t="n">
        <v>1.613945959</v>
      </c>
      <c r="H290" t="n">
        <v>2.103862034</v>
      </c>
      <c r="I290" t="n">
        <v>0.511942254</v>
      </c>
      <c r="J290" t="n">
        <v>1.69691154</v>
      </c>
      <c r="K290" t="n">
        <v>6</v>
      </c>
      <c r="L290" t="n">
        <v>3.071200908</v>
      </c>
      <c r="M290" t="n">
        <v>0.546687404</v>
      </c>
      <c r="N290" t="n">
        <v>1.897969603</v>
      </c>
      <c r="O290" t="n">
        <v>1.601028164</v>
      </c>
      <c r="P290" t="n">
        <v>1.611042639</v>
      </c>
      <c r="Q290" t="n">
        <v>2.151599301</v>
      </c>
      <c r="R290" t="n">
        <v>3.709120053</v>
      </c>
      <c r="S290" t="n">
        <v>1.839932398</v>
      </c>
      <c r="U290" t="n">
        <v>1.44947981</v>
      </c>
      <c r="V290" t="n">
        <v>2.350059452</v>
      </c>
      <c r="W290" t="n">
        <v>1.555814853</v>
      </c>
      <c r="Y290" t="n">
        <v>1.561445046</v>
      </c>
      <c r="Z290" t="n">
        <v>2.403189797</v>
      </c>
      <c r="AA290" t="n">
        <v>4.868863867</v>
      </c>
      <c r="AB290" t="n">
        <v>5.46795</v>
      </c>
      <c r="AC290" t="n">
        <v>4.67421747</v>
      </c>
      <c r="AD290" t="n">
        <v>1.212902847</v>
      </c>
      <c r="AE290" t="n">
        <v>3.865965707</v>
      </c>
      <c r="AF290" t="n">
        <v>0.831265064</v>
      </c>
      <c r="AG290" t="n">
        <v>-0.095170617</v>
      </c>
      <c r="AH290" t="n">
        <v>2.301766838</v>
      </c>
      <c r="AI290" t="n">
        <v>3.311741401</v>
      </c>
      <c r="AJ290" t="n">
        <v>3.050462493</v>
      </c>
      <c r="AK290" t="n">
        <v>-0.151058035</v>
      </c>
      <c r="AL290" t="n">
        <v>1.784663356</v>
      </c>
      <c r="AM290" t="n">
        <v>1.079638776</v>
      </c>
      <c r="AN290" t="n">
        <v>2.754281163</v>
      </c>
      <c r="AO290" t="n">
        <v>1.629389936</v>
      </c>
      <c r="AP290" t="n">
        <v>4.607432703</v>
      </c>
      <c r="AQ290" t="n">
        <v>2.613557611</v>
      </c>
      <c r="AR290" t="n">
        <v>3.149877706</v>
      </c>
      <c r="AS290" t="n">
        <v>2.589879027</v>
      </c>
      <c r="AT290" t="n">
        <v>2.841093913</v>
      </c>
      <c r="AU290" t="n">
        <v>1.6577945</v>
      </c>
      <c r="AV290" t="n">
        <v>-0.480322923</v>
      </c>
      <c r="AW290" t="n">
        <v>2.135540616</v>
      </c>
      <c r="AX290" t="n">
        <v>1.079131969</v>
      </c>
    </row>
    <row r="291">
      <c r="A291" t="inlineStr">
        <is>
          <t>2019-Q3</t>
        </is>
      </c>
      <c r="B291" s="87" t="n">
        <v>43739</v>
      </c>
      <c r="C291" t="n">
        <v>-0.449458747</v>
      </c>
      <c r="D291" t="n">
        <v>1.928836731</v>
      </c>
      <c r="E291" t="n">
        <v>1.772890208</v>
      </c>
      <c r="F291" t="n">
        <v>2.555085444</v>
      </c>
      <c r="G291" t="n">
        <v>0.660683599</v>
      </c>
      <c r="H291" t="n">
        <v>1.783327917</v>
      </c>
      <c r="I291" t="n">
        <v>1.384764794</v>
      </c>
      <c r="J291" t="n">
        <v>2.2369981</v>
      </c>
      <c r="K291" t="n">
        <v>5.9</v>
      </c>
      <c r="L291" t="n">
        <v>3.029280961</v>
      </c>
      <c r="M291" t="n">
        <v>1.459185005</v>
      </c>
      <c r="N291" t="n">
        <v>1.751284845</v>
      </c>
      <c r="O291" t="n">
        <v>1.806624188</v>
      </c>
      <c r="P291" t="n">
        <v>1.812582998</v>
      </c>
      <c r="Q291" t="n">
        <v>1.922525988</v>
      </c>
      <c r="R291" t="n">
        <v>3.124939846</v>
      </c>
      <c r="S291" t="n">
        <v>2.015914426</v>
      </c>
      <c r="U291" t="n">
        <v>1.609686358</v>
      </c>
      <c r="V291" t="n">
        <v>2.027598321</v>
      </c>
      <c r="W291" t="n">
        <v>1.80104059</v>
      </c>
      <c r="Y291" t="n">
        <v>1.617062864</v>
      </c>
      <c r="Z291" t="n">
        <v>2.148618997</v>
      </c>
      <c r="AA291" t="n">
        <v>4.798934828</v>
      </c>
      <c r="AB291" t="n">
        <v>4.59277</v>
      </c>
      <c r="AC291" t="n">
        <v>6.154101872</v>
      </c>
      <c r="AD291" t="n">
        <v>1.343312877</v>
      </c>
      <c r="AE291" t="n">
        <v>4.157418555</v>
      </c>
      <c r="AF291" t="n">
        <v>0.7639813519999999</v>
      </c>
      <c r="AG291" t="n">
        <v>0.626823873</v>
      </c>
      <c r="AH291" t="n">
        <v>2.097048658</v>
      </c>
      <c r="AI291" t="n">
        <v>2.374720312</v>
      </c>
      <c r="AJ291" t="n">
        <v>1.871666347</v>
      </c>
      <c r="AK291" t="n">
        <v>-0.193654793</v>
      </c>
      <c r="AL291" t="n">
        <v>1.928462646</v>
      </c>
      <c r="AM291" t="n">
        <v>1.017557564</v>
      </c>
      <c r="AN291" t="n">
        <v>3.426697027</v>
      </c>
      <c r="AO291" t="n">
        <v>1.858497728</v>
      </c>
      <c r="AP291" t="n">
        <v>4.087408585</v>
      </c>
      <c r="AQ291" t="n">
        <v>2.538182964</v>
      </c>
      <c r="AR291" t="n">
        <v>1.894762912</v>
      </c>
      <c r="AS291" t="n">
        <v>1.931590684</v>
      </c>
      <c r="AT291" t="n">
        <v>3.116811511</v>
      </c>
      <c r="AU291" t="n">
        <v>2.590955687</v>
      </c>
      <c r="AV291" t="n">
        <v>0.8095794039999999</v>
      </c>
      <c r="AW291" t="n">
        <v>2.305827865</v>
      </c>
      <c r="AX291" t="n">
        <v>-0.04390633</v>
      </c>
    </row>
    <row r="292">
      <c r="A292" t="inlineStr">
        <is>
          <t>2019-Q4</t>
        </is>
      </c>
      <c r="B292" s="87" t="n">
        <v>43831</v>
      </c>
      <c r="C292" t="n">
        <v>-0.517635794</v>
      </c>
      <c r="D292" t="n">
        <v>2.215428766</v>
      </c>
      <c r="E292" t="n">
        <v>0.04531655</v>
      </c>
      <c r="F292" t="n">
        <v>2.167584187</v>
      </c>
      <c r="G292" t="n">
        <v>1.66272814</v>
      </c>
      <c r="H292" t="n">
        <v>1.769125483</v>
      </c>
      <c r="I292" t="n">
        <v>1.71252461</v>
      </c>
      <c r="J292" t="n">
        <v>-2.945345977</v>
      </c>
      <c r="K292" t="n">
        <v>5.8</v>
      </c>
      <c r="L292" t="n">
        <v>2.768091424</v>
      </c>
      <c r="M292" t="n">
        <v>0.922106651</v>
      </c>
      <c r="N292" t="n">
        <v>0.937789314</v>
      </c>
      <c r="O292" t="n">
        <v>1.177601414</v>
      </c>
      <c r="P292" t="n">
        <v>1.182185806</v>
      </c>
      <c r="Q292" t="n">
        <v>1.474888274</v>
      </c>
      <c r="R292" t="n">
        <v>3.173819102</v>
      </c>
      <c r="S292" t="n">
        <v>1.37193564</v>
      </c>
      <c r="U292" t="n">
        <v>1.377935391</v>
      </c>
      <c r="V292" t="n">
        <v>1.05259254</v>
      </c>
      <c r="W292" t="n">
        <v>1.373531433</v>
      </c>
      <c r="Y292" t="n">
        <v>1.330948109</v>
      </c>
      <c r="Z292" t="n">
        <v>1.048002881</v>
      </c>
      <c r="AA292" t="n">
        <v>4.295560664</v>
      </c>
      <c r="AB292" t="n">
        <v>3.22364</v>
      </c>
      <c r="AC292" t="n">
        <v>6.389244257</v>
      </c>
      <c r="AD292" t="n">
        <v>1.458737903</v>
      </c>
      <c r="AE292" t="n">
        <v>4.194471695</v>
      </c>
      <c r="AF292" t="n">
        <v>-0.336220244</v>
      </c>
      <c r="AG292" t="n">
        <v>-1.986483612</v>
      </c>
      <c r="AH292" t="n">
        <v>2.677446185</v>
      </c>
      <c r="AI292" t="n">
        <v>2.615040234</v>
      </c>
      <c r="AJ292" t="n">
        <v>1.176767383</v>
      </c>
      <c r="AK292" t="n">
        <v>-0.604020653</v>
      </c>
      <c r="AL292" t="n">
        <v>1.906003627</v>
      </c>
      <c r="AM292" t="n">
        <v>1.820659175</v>
      </c>
      <c r="AN292" t="n">
        <v>2.646814252</v>
      </c>
      <c r="AO292" t="n">
        <v>1.664263612</v>
      </c>
      <c r="AP292" t="n">
        <v>3.749980923</v>
      </c>
      <c r="AQ292" t="n">
        <v>2.754035553</v>
      </c>
      <c r="AR292" t="n">
        <v>0.764657988</v>
      </c>
      <c r="AS292" t="n">
        <v>2.04385319</v>
      </c>
      <c r="AT292" t="n">
        <v>3.096402304</v>
      </c>
      <c r="AU292" t="n">
        <v>1.736994422</v>
      </c>
      <c r="AV292" t="n">
        <v>5.457745974</v>
      </c>
      <c r="AW292" t="n">
        <v>2.572630848</v>
      </c>
      <c r="AX292" t="n">
        <v>-0.356607762</v>
      </c>
    </row>
    <row r="293">
      <c r="A293" t="inlineStr">
        <is>
          <t>2020-Q1</t>
        </is>
      </c>
      <c r="B293" s="87" t="n">
        <v>43922</v>
      </c>
      <c r="C293" t="n">
        <v>-4.938635793</v>
      </c>
      <c r="D293" t="n">
        <v>1.454619593</v>
      </c>
      <c r="E293" t="n">
        <v>-2.797499522</v>
      </c>
      <c r="F293" t="n">
        <v>-1.056411277</v>
      </c>
      <c r="G293" t="n">
        <v>-0.911586374</v>
      </c>
      <c r="H293" t="n">
        <v>-0.467293746</v>
      </c>
      <c r="I293" t="n">
        <v>0.0516199</v>
      </c>
      <c r="J293" t="n">
        <v>0.010545718</v>
      </c>
      <c r="K293" t="n">
        <v>-6.9</v>
      </c>
      <c r="L293" t="n">
        <v>-1.462892348</v>
      </c>
      <c r="M293" t="n">
        <v>-1.220669794</v>
      </c>
      <c r="N293" t="n">
        <v>0.653877715</v>
      </c>
      <c r="O293" t="n">
        <v>-2.830501143</v>
      </c>
      <c r="P293" t="n">
        <v>-2.820372204</v>
      </c>
      <c r="Q293" t="n">
        <v>-4.673702928</v>
      </c>
      <c r="R293" t="n">
        <v>2.350498244</v>
      </c>
      <c r="S293" t="n">
        <v>-2.189233778</v>
      </c>
      <c r="U293" t="n">
        <v>0.43129142</v>
      </c>
      <c r="V293" t="n">
        <v>-4.911838271</v>
      </c>
      <c r="W293" t="n">
        <v>-0.920623147</v>
      </c>
      <c r="Y293" t="n">
        <v>-1.963017842</v>
      </c>
      <c r="Z293" t="n">
        <v>-1.501090568</v>
      </c>
      <c r="AA293" t="n">
        <v>1.949610372</v>
      </c>
      <c r="AB293" t="n">
        <v>2.2733</v>
      </c>
      <c r="AC293" t="n">
        <v>7.636476433</v>
      </c>
      <c r="AD293" t="n">
        <v>-4.087754069</v>
      </c>
      <c r="AE293" t="n">
        <v>1.191024155</v>
      </c>
      <c r="AF293" t="n">
        <v>-6.270228269</v>
      </c>
      <c r="AG293" t="n">
        <v>-1.80360537</v>
      </c>
      <c r="AH293" t="n">
        <v>1.435724735</v>
      </c>
      <c r="AI293" t="n">
        <v>1.220813955</v>
      </c>
      <c r="AJ293" t="n">
        <v>0.438345663</v>
      </c>
      <c r="AK293" t="n">
        <v>-1.632544218</v>
      </c>
      <c r="AL293" t="n">
        <v>-0.236829353</v>
      </c>
      <c r="AM293" t="n">
        <v>1.042674196</v>
      </c>
      <c r="AN293" t="n">
        <v>1</v>
      </c>
      <c r="AO293" t="n">
        <v>-0.510026308</v>
      </c>
      <c r="AP293" t="n">
        <v>3.067799913</v>
      </c>
      <c r="AQ293" t="n">
        <v>-2.581598301</v>
      </c>
      <c r="AR293" t="n">
        <v>0.605141744</v>
      </c>
      <c r="AS293" t="n">
        <v>-1.904845305</v>
      </c>
      <c r="AT293" t="n">
        <v>-2.347643882</v>
      </c>
      <c r="AU293" t="n">
        <v>0.9155646710000001</v>
      </c>
      <c r="AV293" t="n">
        <v>4.393142145</v>
      </c>
      <c r="AW293" t="n">
        <v>0.820082981</v>
      </c>
      <c r="AX293" t="n">
        <v>0.7585403469999999</v>
      </c>
    </row>
    <row r="294">
      <c r="A294" t="inlineStr">
        <is>
          <t>2020-Q2</t>
        </is>
      </c>
      <c r="B294" s="87" t="n">
        <v>44013</v>
      </c>
      <c r="C294" t="n">
        <v>-19.543420284</v>
      </c>
      <c r="D294" t="n">
        <v>-5.749892649</v>
      </c>
      <c r="E294" t="n">
        <v>-13.589441933</v>
      </c>
      <c r="F294" t="n">
        <v>-12.81673038</v>
      </c>
      <c r="G294" t="n">
        <v>-10.078588332</v>
      </c>
      <c r="H294" t="n">
        <v>-12.211942682</v>
      </c>
      <c r="I294" t="n">
        <v>-7.40912351</v>
      </c>
      <c r="J294" t="n">
        <v>-14.229924862</v>
      </c>
      <c r="K294" t="n">
        <v>3.1</v>
      </c>
      <c r="L294" t="n">
        <v>-10.782890147</v>
      </c>
      <c r="M294" t="n">
        <v>-10.435831326</v>
      </c>
      <c r="N294" t="n">
        <v>-6.396251669</v>
      </c>
      <c r="O294" t="n">
        <v>-14.23533105</v>
      </c>
      <c r="P294" t="n">
        <v>-14.24618769</v>
      </c>
      <c r="Q294" t="n">
        <v>-21.937066645</v>
      </c>
      <c r="R294" t="n">
        <v>-4.697399442</v>
      </c>
      <c r="S294" t="n">
        <v>-13.286400583</v>
      </c>
      <c r="U294" t="n">
        <v>-6.662379198</v>
      </c>
      <c r="V294" t="n">
        <v>-17.95723386</v>
      </c>
      <c r="W294" t="n">
        <v>-11.41009214</v>
      </c>
      <c r="Y294" t="n">
        <v>-22.627407624</v>
      </c>
      <c r="Z294" t="n">
        <v>-15.605622603</v>
      </c>
      <c r="AA294" t="n">
        <v>-13.190654387</v>
      </c>
      <c r="AB294" t="n">
        <v>-21.92147</v>
      </c>
      <c r="AC294" t="n">
        <v>-0.006577845</v>
      </c>
      <c r="AD294" t="n">
        <v>-10.862233095</v>
      </c>
      <c r="AE294" t="n">
        <v>-8.060647259</v>
      </c>
      <c r="AF294" t="n">
        <v>-17.744343162</v>
      </c>
      <c r="AG294" t="n">
        <v>-9.882148551</v>
      </c>
      <c r="AH294" t="n">
        <v>-2.686169257</v>
      </c>
      <c r="AI294" t="n">
        <v>-6.240717569</v>
      </c>
      <c r="AJ294" t="n">
        <v>-7.064433019</v>
      </c>
      <c r="AK294" t="n">
        <v>-18.802103359</v>
      </c>
      <c r="AL294" t="n">
        <v>-8.539066305</v>
      </c>
      <c r="AM294" t="n">
        <v>-5.281468508</v>
      </c>
      <c r="AN294" t="n">
        <v>-9.86760511</v>
      </c>
      <c r="AO294" t="n">
        <v>-11.267649803</v>
      </c>
      <c r="AP294" t="n">
        <v>-7.251032849</v>
      </c>
      <c r="AQ294" t="n">
        <v>-17.780252575</v>
      </c>
      <c r="AR294" t="n">
        <v>-6.032287087</v>
      </c>
      <c r="AS294" t="n">
        <v>-9.489708268999999</v>
      </c>
      <c r="AT294" t="n">
        <v>-11.567462141</v>
      </c>
      <c r="AU294" t="n">
        <v>-7.917767291</v>
      </c>
      <c r="AV294" t="n">
        <v>-8.776688735</v>
      </c>
      <c r="AW294" t="n">
        <v>-8.350640156000001</v>
      </c>
      <c r="AX294" t="n">
        <v>-16.63649273</v>
      </c>
    </row>
    <row r="295">
      <c r="A295" t="inlineStr">
        <is>
          <t>2020-Q3</t>
        </is>
      </c>
      <c r="B295" s="87" t="n">
        <v>44105</v>
      </c>
      <c r="C295" t="n">
        <v>-10.41959131</v>
      </c>
      <c r="D295" t="n">
        <v>-2.859341413</v>
      </c>
      <c r="E295" t="n">
        <v>-4.284247736</v>
      </c>
      <c r="F295" t="n">
        <v>-3.271003</v>
      </c>
      <c r="G295" t="n">
        <v>-2.947370018</v>
      </c>
      <c r="H295" t="n">
        <v>-4.651911857</v>
      </c>
      <c r="I295" t="n">
        <v>-1.210892053</v>
      </c>
      <c r="J295" t="n">
        <v>-10.324296901</v>
      </c>
      <c r="K295" t="n">
        <v>4.8</v>
      </c>
      <c r="L295" t="n">
        <v>-5.216009106</v>
      </c>
      <c r="M295" t="n">
        <v>-2.480089589</v>
      </c>
      <c r="N295" t="n">
        <v>-1.368163052</v>
      </c>
      <c r="O295" t="n">
        <v>-3.840982005</v>
      </c>
      <c r="P295" t="n">
        <v>-3.87696598</v>
      </c>
      <c r="Q295" t="n">
        <v>-9.216818083</v>
      </c>
      <c r="R295" t="n">
        <v>-0.538748908</v>
      </c>
      <c r="S295" t="n">
        <v>-3.728227856</v>
      </c>
      <c r="U295" t="n">
        <v>-2.077506992</v>
      </c>
      <c r="V295" t="n">
        <v>-3.781218649</v>
      </c>
      <c r="W295" t="n">
        <v>-3.607300739</v>
      </c>
      <c r="Y295" t="n">
        <v>-10.324677638</v>
      </c>
      <c r="Z295" t="n">
        <v>-10.729607248</v>
      </c>
      <c r="AA295" t="n">
        <v>-4.251286747</v>
      </c>
      <c r="AB295" t="n">
        <v>-4.83845</v>
      </c>
      <c r="AC295" t="n">
        <v>10.794219241</v>
      </c>
      <c r="AD295" t="n">
        <v>-7.042936885</v>
      </c>
      <c r="AE295" t="n">
        <v>-1.067959197</v>
      </c>
      <c r="AF295" t="n">
        <v>-6.115878937</v>
      </c>
      <c r="AG295" t="n">
        <v>-5.032477202</v>
      </c>
      <c r="AH295" t="n">
        <v>-0.845217168</v>
      </c>
      <c r="AI295" t="n">
        <v>1.449462647</v>
      </c>
      <c r="AJ295" t="n">
        <v>-1.625050007</v>
      </c>
      <c r="AK295" t="n">
        <v>-8.325491627</v>
      </c>
      <c r="AL295" t="n">
        <v>-3.163897913</v>
      </c>
      <c r="AM295" t="n">
        <v>-1.854516387</v>
      </c>
      <c r="AN295" t="n">
        <v>1.779748433</v>
      </c>
      <c r="AO295" t="n">
        <v>-3.425332354</v>
      </c>
      <c r="AP295" t="n">
        <v>-1.714618586</v>
      </c>
      <c r="AQ295" t="n">
        <v>-6.209848891</v>
      </c>
      <c r="AR295" t="n">
        <v>-2.467576233</v>
      </c>
      <c r="AS295" t="n">
        <v>-1.060276751</v>
      </c>
      <c r="AT295" t="n">
        <v>-1.70204291</v>
      </c>
      <c r="AU295" t="n">
        <v>-1.181327642</v>
      </c>
      <c r="AV295" t="n">
        <v>5.87277036</v>
      </c>
      <c r="AW295" t="n">
        <v>-2.024010121</v>
      </c>
      <c r="AX295" t="n">
        <v>-5.290198811</v>
      </c>
    </row>
    <row r="296">
      <c r="A296" t="inlineStr">
        <is>
          <t>2020-Q4</t>
        </is>
      </c>
      <c r="B296" s="87" t="n">
        <v>44197</v>
      </c>
      <c r="C296" t="n">
        <v>-4.581396087</v>
      </c>
      <c r="D296" t="n">
        <v>-0.117626415</v>
      </c>
      <c r="E296" t="n">
        <v>-5.518586202</v>
      </c>
      <c r="F296" t="n">
        <v>-4.312433978</v>
      </c>
      <c r="G296" t="n">
        <v>-0.349140732</v>
      </c>
      <c r="H296" t="n">
        <v>-2.937785714</v>
      </c>
      <c r="I296" t="n">
        <v>-1.463503296</v>
      </c>
      <c r="J296" t="n">
        <v>-0.408208766</v>
      </c>
      <c r="K296" t="n">
        <v>6.4</v>
      </c>
      <c r="L296" t="n">
        <v>-4.596123382</v>
      </c>
      <c r="M296" t="n">
        <v>-2.129545468</v>
      </c>
      <c r="N296" t="n">
        <v>-0.8460995609999999</v>
      </c>
      <c r="O296" t="n">
        <v>-4.110001652</v>
      </c>
      <c r="P296" t="n">
        <v>-4.116235475</v>
      </c>
      <c r="Q296" t="n">
        <v>-9.466967619</v>
      </c>
      <c r="R296" t="n">
        <v>0.987661145</v>
      </c>
      <c r="S296" t="n">
        <v>-3.809828265</v>
      </c>
      <c r="U296" t="n">
        <v>-1.089453533</v>
      </c>
      <c r="V296" t="n">
        <v>-4.033859913</v>
      </c>
      <c r="W296" t="n">
        <v>-2.599059522</v>
      </c>
      <c r="Y296" t="n">
        <v>-9.213327419000001</v>
      </c>
      <c r="Z296" t="n">
        <v>-6.816333982</v>
      </c>
      <c r="AA296" t="n">
        <v>-3.253006755</v>
      </c>
      <c r="AB296" t="n">
        <v>1.01488</v>
      </c>
      <c r="AC296" t="n">
        <v>4.056266759</v>
      </c>
      <c r="AD296" t="n">
        <v>-6.963664331</v>
      </c>
      <c r="AE296" t="n">
        <v>0.413125129</v>
      </c>
      <c r="AF296" t="n">
        <v>-6.016558375</v>
      </c>
      <c r="AG296" t="n">
        <v>-0.495409647</v>
      </c>
      <c r="AH296" t="n">
        <v>-0.718111407</v>
      </c>
      <c r="AI296" t="n">
        <v>0.476803976</v>
      </c>
      <c r="AJ296" t="n">
        <v>-0.799620632</v>
      </c>
      <c r="AK296" t="n">
        <v>-3.913199148</v>
      </c>
      <c r="AL296" t="n">
        <v>-3.652686397</v>
      </c>
      <c r="AM296" t="n">
        <v>-1.422971304</v>
      </c>
      <c r="AN296" t="n">
        <v>0.975177305</v>
      </c>
      <c r="AO296" t="n">
        <v>-2.413584907</v>
      </c>
      <c r="AP296" t="n">
        <v>-2.22427225</v>
      </c>
      <c r="AQ296" t="n">
        <v>-6.628679994</v>
      </c>
      <c r="AR296" t="n">
        <v>-1.299478987</v>
      </c>
      <c r="AS296" t="n">
        <v>-0.917369466</v>
      </c>
      <c r="AT296" t="n">
        <v>-4.084480985</v>
      </c>
      <c r="AU296" t="n">
        <v>-1.09774713</v>
      </c>
      <c r="AV296" t="n">
        <v>5.668655009</v>
      </c>
      <c r="AW296" t="n">
        <v>-1.516619933</v>
      </c>
      <c r="AX296" t="n">
        <v>-2.65800476</v>
      </c>
    </row>
    <row r="297">
      <c r="A297" t="inlineStr">
        <is>
          <t>2021-Q1</t>
        </is>
      </c>
      <c r="B297" s="87" t="n">
        <v>44287</v>
      </c>
      <c r="C297" t="n">
        <v>3.272832396</v>
      </c>
      <c r="D297" t="n">
        <v>2.136733144</v>
      </c>
      <c r="E297" t="n">
        <v>-4.253613042</v>
      </c>
      <c r="F297" t="n">
        <v>-0.060331825</v>
      </c>
      <c r="G297" t="n">
        <v>2.862363914</v>
      </c>
      <c r="H297" t="n">
        <v>0.471026779</v>
      </c>
      <c r="I297" t="n">
        <v>-0.106374227</v>
      </c>
      <c r="J297" t="n">
        <v>1.276917047</v>
      </c>
      <c r="K297" t="n">
        <v>18.7</v>
      </c>
      <c r="L297" t="n">
        <v>-1.887117389</v>
      </c>
      <c r="M297" t="n">
        <v>-2.174503908</v>
      </c>
      <c r="N297" t="n">
        <v>0.27591628</v>
      </c>
      <c r="O297" t="n">
        <v>-0.810361822</v>
      </c>
      <c r="P297" t="n">
        <v>-0.785422574</v>
      </c>
      <c r="Q297" t="n">
        <v>-4.429802869</v>
      </c>
      <c r="R297" t="n">
        <v>3.136891934</v>
      </c>
      <c r="S297" t="n">
        <v>-0.713009656</v>
      </c>
      <c r="U297" t="n">
        <v>-0.942671601</v>
      </c>
      <c r="V297" t="n">
        <v>1.306511321</v>
      </c>
      <c r="W297" t="n">
        <v>-0.24468054</v>
      </c>
      <c r="Y297" t="n">
        <v>-7.732633139</v>
      </c>
      <c r="Z297" t="n">
        <v>-1.926463409</v>
      </c>
      <c r="AA297" t="n">
        <v>-1.800975508</v>
      </c>
      <c r="AB297" t="n">
        <v>2.30078</v>
      </c>
      <c r="AC297" t="n">
        <v>10.933362543</v>
      </c>
      <c r="AD297" t="n">
        <v>-3.334001264</v>
      </c>
      <c r="AE297" t="n">
        <v>1.293463668</v>
      </c>
      <c r="AF297" t="n">
        <v>0.231864709</v>
      </c>
      <c r="AG297" t="n">
        <v>-1.131058893</v>
      </c>
      <c r="AH297" t="n">
        <v>2.36246407</v>
      </c>
      <c r="AI297" t="n">
        <v>3.761400114</v>
      </c>
      <c r="AJ297" t="n">
        <v>-0.9008292</v>
      </c>
      <c r="AK297" t="n">
        <v>-2.633320125</v>
      </c>
      <c r="AL297" t="n">
        <v>-1.935069465</v>
      </c>
      <c r="AM297" t="n">
        <v>-0.444818288</v>
      </c>
      <c r="AN297" t="n">
        <v>4.196354215</v>
      </c>
      <c r="AO297" t="n">
        <v>0.030885684</v>
      </c>
      <c r="AP297" t="n">
        <v>-0.401168083</v>
      </c>
      <c r="AQ297" t="n">
        <v>-4.875826803</v>
      </c>
      <c r="AR297" t="n">
        <v>-0.432061294</v>
      </c>
      <c r="AS297" t="n">
        <v>2.147203794</v>
      </c>
      <c r="AT297" t="n">
        <v>2.4292122</v>
      </c>
      <c r="AU297" t="n">
        <v>0.522032036</v>
      </c>
      <c r="AV297" t="n">
        <v>7.520444916</v>
      </c>
      <c r="AW297" t="n">
        <v>1.19193505</v>
      </c>
      <c r="AX297" t="n">
        <v>-2.264399561</v>
      </c>
    </row>
    <row r="298">
      <c r="A298" t="inlineStr">
        <is>
          <t>2021-Q2</t>
        </is>
      </c>
      <c r="B298" s="87" t="n">
        <v>44378</v>
      </c>
      <c r="C298" t="n">
        <v>20.699062924</v>
      </c>
      <c r="D298" t="n">
        <v>10.314756638</v>
      </c>
      <c r="E298" t="n">
        <v>12.478279033</v>
      </c>
      <c r="F298" t="n">
        <v>14.790665043</v>
      </c>
      <c r="G298" t="n">
        <v>12.373818665</v>
      </c>
      <c r="H298" t="n">
        <v>12.133964192</v>
      </c>
      <c r="I298" t="n">
        <v>9.611912814</v>
      </c>
      <c r="J298" t="n">
        <v>17.839793212</v>
      </c>
      <c r="K298" t="n">
        <v>8.300000000000001</v>
      </c>
      <c r="L298" t="n">
        <v>9.133409697999999</v>
      </c>
      <c r="M298" t="n">
        <v>10.156264055</v>
      </c>
      <c r="N298" t="n">
        <v>9.005470710999999</v>
      </c>
      <c r="O298" t="n">
        <v>14.238179624</v>
      </c>
      <c r="P298" t="n">
        <v>14.275410017</v>
      </c>
      <c r="Q298" t="n">
        <v>17.875245592</v>
      </c>
      <c r="R298" t="n">
        <v>13.461213962</v>
      </c>
      <c r="S298" t="n">
        <v>13.705875916</v>
      </c>
      <c r="U298" t="n">
        <v>7.134211065</v>
      </c>
      <c r="V298" t="n">
        <v>17.776943635</v>
      </c>
      <c r="W298" t="n">
        <v>13.044125812</v>
      </c>
      <c r="Y298" t="n">
        <v>24.405387754</v>
      </c>
      <c r="Z298" t="n">
        <v>14.735912577</v>
      </c>
      <c r="AA298" t="n">
        <v>17.648014751</v>
      </c>
      <c r="AB298" t="n">
        <v>22.16486</v>
      </c>
      <c r="AC298" t="n">
        <v>19.595305463</v>
      </c>
      <c r="AD298" t="n">
        <v>7.113262245</v>
      </c>
      <c r="AE298" t="n">
        <v>15.430105366</v>
      </c>
      <c r="AF298" t="n">
        <v>16.753780491</v>
      </c>
      <c r="AG298" t="n">
        <v>7.822610182</v>
      </c>
      <c r="AH298" t="n">
        <v>6.474653901</v>
      </c>
      <c r="AI298" t="n">
        <v>10.405949466</v>
      </c>
      <c r="AJ298" t="n">
        <v>8.955922287</v>
      </c>
      <c r="AK298" t="n">
        <v>19.352032863</v>
      </c>
      <c r="AL298" t="n">
        <v>10.31542676</v>
      </c>
      <c r="AM298" t="n">
        <v>6.5761357</v>
      </c>
      <c r="AN298" t="n">
        <v>18.404169318</v>
      </c>
      <c r="AO298" t="n">
        <v>13.431842233</v>
      </c>
      <c r="AP298" t="n">
        <v>12.025250824</v>
      </c>
      <c r="AQ298" t="n">
        <v>17.028683501</v>
      </c>
      <c r="AR298" t="n">
        <v>7.569583717</v>
      </c>
      <c r="AS298" t="n">
        <v>12.272602092</v>
      </c>
      <c r="AT298" t="n">
        <v>15.73912118</v>
      </c>
      <c r="AU298" t="n">
        <v>10.950283833</v>
      </c>
      <c r="AV298" t="n">
        <v>22.355880781</v>
      </c>
      <c r="AW298" t="n">
        <v>12.460854406</v>
      </c>
      <c r="AX298" t="n">
        <v>19.124050365</v>
      </c>
    </row>
    <row r="299">
      <c r="A299" t="inlineStr">
        <is>
          <t>2021-Q3</t>
        </is>
      </c>
      <c r="B299" s="87" t="n">
        <v>44470</v>
      </c>
      <c r="C299" t="n">
        <v>11.490517743</v>
      </c>
      <c r="D299" t="n">
        <v>4.036546408</v>
      </c>
      <c r="E299" t="n">
        <v>5.286193373</v>
      </c>
      <c r="F299" t="n">
        <v>5.125506596</v>
      </c>
      <c r="G299" t="n">
        <v>4.539035415</v>
      </c>
      <c r="H299" t="n">
        <v>4.330050305</v>
      </c>
      <c r="I299" t="n">
        <v>3.94703398</v>
      </c>
      <c r="J299" t="n">
        <v>17.338896358</v>
      </c>
      <c r="K299" t="n">
        <v>5.2</v>
      </c>
      <c r="L299" t="n">
        <v>3.770834769</v>
      </c>
      <c r="M299" t="n">
        <v>1.849972384</v>
      </c>
      <c r="N299" t="n">
        <v>3.862955013</v>
      </c>
      <c r="O299" t="n">
        <v>3.985852983</v>
      </c>
      <c r="P299" t="n">
        <v>4.04604569</v>
      </c>
      <c r="Q299" t="n">
        <v>4.201974928</v>
      </c>
      <c r="R299" t="n">
        <v>9.188407007</v>
      </c>
      <c r="S299" t="n">
        <v>4.311988404</v>
      </c>
      <c r="U299" t="n">
        <v>3.056427722</v>
      </c>
      <c r="V299" t="n">
        <v>3.370896191</v>
      </c>
      <c r="W299" t="n">
        <v>4.329586028</v>
      </c>
      <c r="Y299" t="n">
        <v>8.535696482000001</v>
      </c>
      <c r="Z299" t="n">
        <v>12.387307593</v>
      </c>
      <c r="AA299" t="n">
        <v>6.713796723</v>
      </c>
      <c r="AB299" t="n">
        <v>8.99123</v>
      </c>
      <c r="AC299" t="n">
        <v>9.882986427000001</v>
      </c>
      <c r="AD299" t="n">
        <v>6.596420266</v>
      </c>
      <c r="AE299" t="n">
        <v>8.203584026</v>
      </c>
      <c r="AF299" t="n">
        <v>5.187446871</v>
      </c>
      <c r="AG299" t="n">
        <v>1.705868106</v>
      </c>
      <c r="AH299" t="n">
        <v>4.197985358</v>
      </c>
      <c r="AI299" t="n">
        <v>2.013230234</v>
      </c>
      <c r="AJ299" t="n">
        <v>4.219282925</v>
      </c>
      <c r="AK299" t="n">
        <v>4.305235154</v>
      </c>
      <c r="AL299" t="n">
        <v>5.503162307</v>
      </c>
      <c r="AM299" t="n">
        <v>5.489377876</v>
      </c>
      <c r="AN299" t="n">
        <v>-0.219334735</v>
      </c>
      <c r="AO299" t="n">
        <v>4.895885076</v>
      </c>
      <c r="AP299" t="n">
        <v>7.157190195</v>
      </c>
      <c r="AQ299" t="n">
        <v>4.992497499</v>
      </c>
      <c r="AR299" t="n">
        <v>3.830445643</v>
      </c>
      <c r="AS299" t="n">
        <v>2.986364692</v>
      </c>
      <c r="AT299" t="n">
        <v>5.37845816</v>
      </c>
      <c r="AU299" t="n">
        <v>5.562793687</v>
      </c>
      <c r="AV299" t="n">
        <v>8.670948119</v>
      </c>
      <c r="AW299" t="n">
        <v>4.955654481</v>
      </c>
      <c r="AX299" t="n">
        <v>2.778628378</v>
      </c>
    </row>
    <row r="300">
      <c r="A300" t="inlineStr">
        <is>
          <t>2021-Q4</t>
        </is>
      </c>
      <c r="B300" s="87" t="n">
        <v>44562</v>
      </c>
      <c r="C300" t="n">
        <v>8.903466069</v>
      </c>
      <c r="D300" t="n">
        <v>4.56348785</v>
      </c>
      <c r="E300" t="n">
        <v>6.283701184</v>
      </c>
      <c r="F300" t="n">
        <v>6.24808661</v>
      </c>
      <c r="G300" t="n">
        <v>2.205116699</v>
      </c>
      <c r="H300" t="n">
        <v>3.861233437</v>
      </c>
      <c r="I300" t="n">
        <v>3.804532365</v>
      </c>
      <c r="J300" t="n">
        <v>12.564841139</v>
      </c>
      <c r="K300" t="n">
        <v>4.3</v>
      </c>
      <c r="L300" t="n">
        <v>3.472666594</v>
      </c>
      <c r="M300" t="n">
        <v>1.192414352</v>
      </c>
      <c r="N300" t="n">
        <v>6.530510743</v>
      </c>
      <c r="O300" t="n">
        <v>4.834372011</v>
      </c>
      <c r="P300" t="n">
        <v>4.87345268</v>
      </c>
      <c r="Q300" t="n">
        <v>6.625335158</v>
      </c>
      <c r="R300" t="n">
        <v>6.801463799</v>
      </c>
      <c r="S300" t="n">
        <v>5.095305293</v>
      </c>
      <c r="U300" t="n">
        <v>3.198789457</v>
      </c>
      <c r="V300" t="n">
        <v>4.620146743</v>
      </c>
      <c r="W300" t="n">
        <v>4.755441556</v>
      </c>
      <c r="Y300" t="n">
        <v>8.869336232</v>
      </c>
      <c r="Z300" t="n">
        <v>8.529281852</v>
      </c>
      <c r="AA300" t="n">
        <v>7.594706169</v>
      </c>
      <c r="AB300" t="n">
        <v>4.55666</v>
      </c>
      <c r="AC300" t="n">
        <v>13.791128175</v>
      </c>
      <c r="AD300" t="n">
        <v>7.256251389</v>
      </c>
      <c r="AE300" t="n">
        <v>10.494252036</v>
      </c>
      <c r="AF300" t="n">
        <v>6.871669328</v>
      </c>
      <c r="AG300" t="n">
        <v>1.005741375</v>
      </c>
      <c r="AH300" t="n">
        <v>4.24876323</v>
      </c>
      <c r="AI300" t="n">
        <v>4.581139713</v>
      </c>
      <c r="AJ300" t="n">
        <v>4.066378841</v>
      </c>
      <c r="AK300" t="n">
        <v>1.155722573</v>
      </c>
      <c r="AL300" t="n">
        <v>6.021597779</v>
      </c>
      <c r="AM300" t="n">
        <v>4.666830935</v>
      </c>
      <c r="AN300" t="n">
        <v>3.304471557</v>
      </c>
      <c r="AO300" t="n">
        <v>5.25145129</v>
      </c>
      <c r="AP300" t="n">
        <v>8.935384921000001</v>
      </c>
      <c r="AQ300" t="n">
        <v>6.620946188</v>
      </c>
      <c r="AS300" t="n">
        <v>2.677987815</v>
      </c>
      <c r="AT300" t="n">
        <v>10.325107451</v>
      </c>
      <c r="AU300" t="n">
        <v>7.143529797</v>
      </c>
      <c r="AV300" t="n">
        <v>9.198787073</v>
      </c>
      <c r="AW300" t="n">
        <v>5.717100091</v>
      </c>
      <c r="AX300" t="n">
        <v>1.409127325</v>
      </c>
    </row>
    <row r="301">
      <c r="A301" t="inlineStr">
        <is>
          <t>2022-Q1</t>
        </is>
      </c>
      <c r="B301" s="87" t="n">
        <v>44652</v>
      </c>
      <c r="C301" t="n">
        <v>5.918593398</v>
      </c>
      <c r="D301" t="n">
        <v>3.062183939</v>
      </c>
      <c r="E301" t="n">
        <v>8.73543257</v>
      </c>
      <c r="F301" t="n">
        <v>5.401128703</v>
      </c>
      <c r="G301" t="n">
        <v>2.330098197</v>
      </c>
      <c r="H301" t="n">
        <v>3.177893481</v>
      </c>
      <c r="I301" t="n">
        <v>4.29391824</v>
      </c>
      <c r="J301" t="n">
        <v>7.141102033</v>
      </c>
      <c r="K301" t="n">
        <v>4.8</v>
      </c>
      <c r="L301" t="n">
        <v>4.658431783</v>
      </c>
      <c r="M301" t="n">
        <v>3.751249588</v>
      </c>
      <c r="N301" t="n">
        <v>5.346174952</v>
      </c>
      <c r="O301" t="n">
        <v>5.516465298</v>
      </c>
      <c r="P301" t="n">
        <v>5.495608102</v>
      </c>
      <c r="Q301" t="n">
        <v>6.333704223</v>
      </c>
      <c r="R301" t="n">
        <v>3.024685885</v>
      </c>
      <c r="S301" t="n">
        <v>5.697744572</v>
      </c>
      <c r="U301" t="n">
        <v>3.894684901</v>
      </c>
      <c r="V301" t="n">
        <v>4.485760558</v>
      </c>
      <c r="W301" t="n">
        <v>4.021570745</v>
      </c>
      <c r="Y301" t="n">
        <v>10.563901201</v>
      </c>
      <c r="Z301" t="n">
        <v>7.764453211</v>
      </c>
      <c r="AA301" t="n">
        <v>7.999813787</v>
      </c>
      <c r="AB301" t="n">
        <v>3.60888</v>
      </c>
      <c r="AC301" t="n">
        <v>12.074051151</v>
      </c>
      <c r="AD301" t="n">
        <v>8.261514582</v>
      </c>
      <c r="AE301" t="n">
        <v>10.008201983</v>
      </c>
      <c r="AF301" t="n">
        <v>6.511725283</v>
      </c>
      <c r="AG301" t="n">
        <v>0.592394779</v>
      </c>
      <c r="AH301" t="n">
        <v>3.095079906</v>
      </c>
      <c r="AI301" t="n">
        <v>2.525661323</v>
      </c>
      <c r="AJ301" t="n">
        <v>6.030278345</v>
      </c>
      <c r="AK301" t="n">
        <v>1.847927711</v>
      </c>
      <c r="AL301" t="n">
        <v>6.233193716</v>
      </c>
      <c r="AM301" t="n">
        <v>4.506815846</v>
      </c>
      <c r="AN301" t="n">
        <v>1.07455264</v>
      </c>
      <c r="AO301" t="n">
        <v>4.591770489</v>
      </c>
      <c r="AP301" t="n">
        <v>10.868606472</v>
      </c>
      <c r="AQ301" t="n">
        <v>11.894717201</v>
      </c>
      <c r="AS301" t="n">
        <v>3.060657329</v>
      </c>
      <c r="AT301" t="n">
        <v>9.651445588</v>
      </c>
      <c r="AU301" t="n">
        <v>5.344569315</v>
      </c>
      <c r="AV301" t="n">
        <v>7.194225325</v>
      </c>
      <c r="AW301" t="n">
        <v>3.683678958</v>
      </c>
      <c r="AX301" t="n">
        <v>2.306764583</v>
      </c>
    </row>
    <row r="302">
      <c r="A302" t="inlineStr">
        <is>
          <t>2022-Q2</t>
        </is>
      </c>
      <c r="B302" s="87" t="n">
        <v>44743</v>
      </c>
      <c r="C302" t="n">
        <v>7.608059963</v>
      </c>
      <c r="D302" t="n">
        <v>3.11082076</v>
      </c>
      <c r="E302" t="n">
        <v>6.339217955</v>
      </c>
      <c r="F302" t="n">
        <v>4.122701372</v>
      </c>
      <c r="G302" t="n">
        <v>3.600583049</v>
      </c>
      <c r="H302" t="n">
        <v>4.719747391</v>
      </c>
      <c r="I302" t="n">
        <v>2.546653957</v>
      </c>
      <c r="J302" t="n">
        <v>5.448451446</v>
      </c>
      <c r="K302" t="n">
        <v>0.4</v>
      </c>
      <c r="L302" t="n">
        <v>3.50017778</v>
      </c>
      <c r="M302" t="n">
        <v>1.665132765</v>
      </c>
      <c r="N302" t="n">
        <v>4.484746224</v>
      </c>
      <c r="O302" t="n">
        <v>4.38896357</v>
      </c>
      <c r="P302" t="n">
        <v>4.408759458</v>
      </c>
      <c r="Q302" t="n">
        <v>7.688772663</v>
      </c>
      <c r="R302" t="n">
        <v>-0.647910854</v>
      </c>
      <c r="S302" t="n">
        <v>4.408009914</v>
      </c>
      <c r="U302" t="n">
        <v>3.045367634</v>
      </c>
      <c r="V302" t="n">
        <v>4.028529029</v>
      </c>
      <c r="W302" t="n">
        <v>2.398045985</v>
      </c>
      <c r="Y302" t="n">
        <v>3.84139247</v>
      </c>
      <c r="Z302" t="n">
        <v>7.311140116</v>
      </c>
      <c r="AA302" t="n">
        <v>6.167688085</v>
      </c>
      <c r="AB302" t="n">
        <v>13.31081</v>
      </c>
      <c r="AC302" t="n">
        <v>12.374521974</v>
      </c>
      <c r="AD302" t="n">
        <v>8.054736906</v>
      </c>
      <c r="AE302" t="n">
        <v>7.480382954</v>
      </c>
      <c r="AF302" t="n">
        <v>5.034046541</v>
      </c>
      <c r="AG302" t="n">
        <v>1.525782183</v>
      </c>
      <c r="AH302" t="n">
        <v>2.962012176</v>
      </c>
      <c r="AI302" t="n">
        <v>2.242341354</v>
      </c>
      <c r="AJ302" t="n">
        <v>3.346600676</v>
      </c>
      <c r="AK302" t="n">
        <v>2.201488958</v>
      </c>
      <c r="AL302" t="n">
        <v>5.235593143</v>
      </c>
      <c r="AM302" t="n">
        <v>4.234818363</v>
      </c>
      <c r="AN302" t="n">
        <v>0.716163802</v>
      </c>
      <c r="AO302" t="n">
        <v>3.305128362</v>
      </c>
      <c r="AP302" t="n">
        <v>5.859655581</v>
      </c>
      <c r="AQ302" t="n">
        <v>7.359559455</v>
      </c>
      <c r="AS302" t="n">
        <v>1.503717863</v>
      </c>
      <c r="AT302" t="n">
        <v>8.341627109999999</v>
      </c>
      <c r="AU302" t="n">
        <v>4.123787868</v>
      </c>
      <c r="AV302" t="n">
        <v>7.037160017</v>
      </c>
      <c r="AW302" t="n">
        <v>1.796042498</v>
      </c>
      <c r="AX302" t="n">
        <v>0.150880863</v>
      </c>
    </row>
    <row r="303">
      <c r="A303" t="inlineStr">
        <is>
          <t>2022-Q3</t>
        </is>
      </c>
      <c r="B303" s="87" t="n">
        <v>44835</v>
      </c>
      <c r="C303" t="n">
        <v>5.389032027</v>
      </c>
      <c r="D303" t="n">
        <v>5.988289244</v>
      </c>
      <c r="E303" t="n">
        <v>2.106247819</v>
      </c>
      <c r="F303" t="n">
        <v>2.054920833</v>
      </c>
      <c r="G303" t="n">
        <v>3.640295076</v>
      </c>
      <c r="H303" t="n">
        <v>3.818949563</v>
      </c>
      <c r="I303" t="n">
        <v>0.995039655</v>
      </c>
      <c r="J303" t="n">
        <v>0.003833924</v>
      </c>
      <c r="K303" t="n">
        <v>3.9</v>
      </c>
      <c r="L303" t="n">
        <v>1.496898796</v>
      </c>
      <c r="M303" t="n">
        <v>1.351777836</v>
      </c>
      <c r="N303" t="n">
        <v>3.952739015</v>
      </c>
      <c r="O303" t="n">
        <v>2.440713154</v>
      </c>
      <c r="P303" t="n">
        <v>2.466928358</v>
      </c>
      <c r="Q303" t="n">
        <v>4.891740744</v>
      </c>
      <c r="R303" t="n">
        <v>-2.444281274</v>
      </c>
      <c r="S303" t="n">
        <v>2.6195504</v>
      </c>
      <c r="U303" t="n">
        <v>1.607683834</v>
      </c>
      <c r="V303" t="n">
        <v>1.104783142</v>
      </c>
      <c r="W303" t="n">
        <v>1.882150022</v>
      </c>
      <c r="Y303" t="n">
        <v>1.976076284</v>
      </c>
      <c r="Z303" t="n">
        <v>4.162144606</v>
      </c>
      <c r="AA303" t="n">
        <v>3.741770998</v>
      </c>
      <c r="AB303" t="n">
        <v>5.58541</v>
      </c>
      <c r="AC303" t="n">
        <v>11.27917811</v>
      </c>
      <c r="AD303" t="n">
        <v>5.520859319</v>
      </c>
      <c r="AE303" t="n">
        <v>5.798669487</v>
      </c>
      <c r="AF303" t="n">
        <v>2.477597769</v>
      </c>
      <c r="AG303" t="n">
        <v>1.557614171</v>
      </c>
      <c r="AH303" t="n">
        <v>3.071525756</v>
      </c>
      <c r="AI303" t="n">
        <v>3.801750092</v>
      </c>
      <c r="AJ303" t="n">
        <v>0.809707384</v>
      </c>
      <c r="AK303" t="n">
        <v>4.285373531</v>
      </c>
      <c r="AL303" t="n">
        <v>3.332995922</v>
      </c>
      <c r="AM303" t="n">
        <v>2.275836012</v>
      </c>
      <c r="AN303" t="n">
        <v>6.611181857</v>
      </c>
      <c r="AO303" t="n">
        <v>2.578989319</v>
      </c>
      <c r="AP303" t="n">
        <v>4.729540141</v>
      </c>
      <c r="AQ303" t="n">
        <v>4.78009419</v>
      </c>
      <c r="AS303" t="n">
        <v>1.172209368</v>
      </c>
      <c r="AT303" t="n">
        <v>3.918861158</v>
      </c>
      <c r="AU303" t="n">
        <v>2.552614942</v>
      </c>
      <c r="AV303" t="n">
        <v>4.124520936</v>
      </c>
      <c r="AW303" t="n">
        <v>1.942138388</v>
      </c>
      <c r="AX303" t="n">
        <v>3.875443997</v>
      </c>
    </row>
    <row r="304">
      <c r="A304" t="inlineStr">
        <is>
          <t>2022-Q4</t>
        </is>
      </c>
      <c r="B304" s="87" t="n">
        <v>44927</v>
      </c>
      <c r="C304" t="n">
        <v>1.106336661</v>
      </c>
      <c r="D304" t="n">
        <v>2.621399914</v>
      </c>
      <c r="E304" t="n">
        <v>2.941385571</v>
      </c>
      <c r="F304" t="n">
        <v>1.527137469</v>
      </c>
      <c r="G304" t="n">
        <v>2.500839746</v>
      </c>
      <c r="H304" t="n">
        <v>2.074066049</v>
      </c>
      <c r="I304" t="n">
        <v>0.7420775040000001</v>
      </c>
      <c r="J304" t="n">
        <v>-2.112602329</v>
      </c>
      <c r="K304" t="n">
        <v>2.9</v>
      </c>
      <c r="L304" t="n">
        <v>0.287334353</v>
      </c>
      <c r="M304" t="n">
        <v>0.835724025</v>
      </c>
      <c r="N304" t="n">
        <v>1.604269449</v>
      </c>
      <c r="O304" t="n">
        <v>1.841567223</v>
      </c>
      <c r="P304" t="n">
        <v>1.840640263</v>
      </c>
      <c r="Q304" t="n">
        <v>3.052524169</v>
      </c>
      <c r="R304" t="n">
        <v>-3.868566226</v>
      </c>
      <c r="S304" t="n">
        <v>1.696621251</v>
      </c>
      <c r="U304" t="n">
        <v>0.07842869800000001</v>
      </c>
      <c r="V304" t="n">
        <v>0.57556132</v>
      </c>
      <c r="W304" t="n">
        <v>0.868155563</v>
      </c>
      <c r="Y304" t="n">
        <v>0.5738787829999999</v>
      </c>
      <c r="Z304" t="n">
        <v>4.794468711</v>
      </c>
      <c r="AA304" t="n">
        <v>0.697310423</v>
      </c>
      <c r="AB304" t="n">
        <v>4.56887</v>
      </c>
      <c r="AC304" t="n">
        <v>12.800366097</v>
      </c>
      <c r="AD304" t="n">
        <v>4.167850622</v>
      </c>
      <c r="AE304" t="n">
        <v>2.531511034</v>
      </c>
      <c r="AF304" t="n">
        <v>1.475340896</v>
      </c>
      <c r="AG304" t="n">
        <v>0.419783608</v>
      </c>
      <c r="AH304" t="n">
        <v>1.345043666</v>
      </c>
      <c r="AI304" t="n">
        <v>-2.165978577</v>
      </c>
      <c r="AJ304" t="n">
        <v>1.227577251</v>
      </c>
      <c r="AK304" t="n">
        <v>3.663755537</v>
      </c>
      <c r="AL304" t="n">
        <v>3.376218608</v>
      </c>
      <c r="AM304" t="n">
        <v>1.762464551</v>
      </c>
      <c r="AN304" t="n">
        <v>2.338632867</v>
      </c>
      <c r="AO304" t="n">
        <v>1.370533081</v>
      </c>
      <c r="AP304" t="n">
        <v>0.561857011</v>
      </c>
      <c r="AQ304" t="n">
        <v>3.15799097</v>
      </c>
      <c r="AS304" t="n">
        <v>0.972346975</v>
      </c>
      <c r="AT304" t="n">
        <v>1.271685773</v>
      </c>
      <c r="AU304" t="n">
        <v>-0.199000435</v>
      </c>
      <c r="AV304" t="n">
        <v>3.470315636</v>
      </c>
      <c r="AW304" t="n">
        <v>0.8812776409999999</v>
      </c>
      <c r="AX304" t="n">
        <v>1.347490652</v>
      </c>
    </row>
    <row r="305">
      <c r="A305" t="inlineStr">
        <is>
          <t>2023-Q1</t>
        </is>
      </c>
      <c r="B305" s="87" t="n">
        <v>45017</v>
      </c>
      <c r="C305" t="n">
        <v>1.159061157</v>
      </c>
      <c r="D305" t="n">
        <v>2.267040897</v>
      </c>
      <c r="E305" t="n">
        <v>1.76628382</v>
      </c>
      <c r="F305" t="n">
        <v>1.308641547</v>
      </c>
      <c r="G305" t="n">
        <v>3.445338019</v>
      </c>
      <c r="H305" t="n">
        <v>2.211854773</v>
      </c>
      <c r="I305" t="n">
        <v>0.6910636959999999</v>
      </c>
      <c r="J305" t="n">
        <v>-0.708532239</v>
      </c>
      <c r="K305" t="n">
        <v>4.5</v>
      </c>
      <c r="L305" t="n">
        <v>-0.396801521</v>
      </c>
      <c r="M305" t="n">
        <v>-0.520495275</v>
      </c>
      <c r="N305" t="n">
        <v>2.35536246</v>
      </c>
      <c r="P305" t="n">
        <v>1.302122308</v>
      </c>
      <c r="Q305" t="n">
        <v>4.181050216</v>
      </c>
      <c r="R305" t="n">
        <v>-3.707812221</v>
      </c>
      <c r="S305" t="n">
        <v>0.969036185</v>
      </c>
      <c r="U305" t="n">
        <v>-0.271398039</v>
      </c>
      <c r="V305" t="n">
        <v>0.871599534</v>
      </c>
      <c r="W305" t="n">
        <v>1.289051402</v>
      </c>
      <c r="Y305" t="n">
        <v>0.211829446</v>
      </c>
      <c r="Z305" t="n">
        <v>2.07150305</v>
      </c>
      <c r="AA305" t="n">
        <v>-1.122835777</v>
      </c>
      <c r="AB305" t="n">
        <v>6.09355</v>
      </c>
      <c r="AC305" t="n">
        <v>-0.252638417</v>
      </c>
      <c r="AD305" t="n">
        <v>6.077665992</v>
      </c>
      <c r="AE305" t="n">
        <v>4.141475781</v>
      </c>
      <c r="AF305" t="n">
        <v>1.89713829</v>
      </c>
      <c r="AG305" t="n">
        <v>1.793672432</v>
      </c>
      <c r="AH305" t="n">
        <v>1.012111697</v>
      </c>
      <c r="AI305" t="n">
        <v>-0.411866286</v>
      </c>
      <c r="AJ305" t="n">
        <v>0.36839458</v>
      </c>
      <c r="AK305" t="n">
        <v>3.666961722</v>
      </c>
      <c r="AL305" t="n">
        <v>2.14822061</v>
      </c>
      <c r="AM305" t="n">
        <v>2.392481117</v>
      </c>
      <c r="AN305" t="n">
        <v>2.206797581</v>
      </c>
      <c r="AO305" t="n">
        <v>1.51776933</v>
      </c>
      <c r="AP305" t="n">
        <v>-0.039101311</v>
      </c>
      <c r="AQ305" t="n">
        <v>2.536898297</v>
      </c>
      <c r="AS305" t="n">
        <v>1.000528874</v>
      </c>
      <c r="AT305" t="n">
        <v>0.685169102</v>
      </c>
      <c r="AU305" t="n">
        <v>0.829732345</v>
      </c>
      <c r="AV305" t="n">
        <v>3.04073772</v>
      </c>
      <c r="AW305" t="n">
        <v>1.617895886</v>
      </c>
      <c r="AX305" t="n">
        <v>0.176133045</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zoomScale="110" zoomScaleNormal="110" workbookViewId="0">
      <pane ySplit="1" topLeftCell="A166" activePane="bottomLeft" state="frozen"/>
      <selection activeCell="T15" sqref="T15"/>
      <selection pane="bottomLeft" activeCell="T15" sqref="T1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-17.3</v>
      </c>
      <c r="D2" t="n">
        <v>7.4</v>
      </c>
      <c r="E2" t="n">
        <v>15</v>
      </c>
      <c r="F2" t="n">
        <v/>
      </c>
      <c r="G2" t="n">
        <v>-0.207</v>
      </c>
      <c r="H2" t="n">
        <v>-4.5</v>
      </c>
      <c r="I2" t="n">
        <v>-1</v>
      </c>
      <c r="J2" t="n">
        <v>0.0156</v>
      </c>
      <c r="K2" t="n">
        <v>14.94</v>
      </c>
      <c r="L2" t="n">
        <v>0.15</v>
      </c>
      <c r="M2" t="n">
        <v>13.3</v>
      </c>
      <c r="N2" t="n">
        <v>0.112</v>
      </c>
      <c r="O2" t="n">
        <v>34.3</v>
      </c>
    </row>
    <row r="3">
      <c r="A3" t="inlineStr">
        <is>
          <t>Albania</t>
        </is>
      </c>
      <c r="B3" t="n">
        <v>107.3</v>
      </c>
      <c r="C3" t="n">
        <v>-7.8</v>
      </c>
      <c r="D3" t="n">
        <v>67</v>
      </c>
      <c r="E3" t="n">
        <v>18</v>
      </c>
      <c r="F3" t="n">
        <v>0.002</v>
      </c>
      <c r="G3" t="n">
        <v>0.0473</v>
      </c>
      <c r="H3" t="n">
        <v>-3.8</v>
      </c>
      <c r="I3" t="n">
        <v>4.7</v>
      </c>
      <c r="J3" t="n">
        <v>0.031</v>
      </c>
      <c r="K3" t="n">
        <v>3</v>
      </c>
      <c r="L3" t="n">
        <v>0.005</v>
      </c>
      <c r="M3" t="n">
        <v>10.9</v>
      </c>
      <c r="N3" t="n">
        <v>0.116</v>
      </c>
      <c r="O3" t="n">
        <v>2.79</v>
      </c>
    </row>
    <row r="4">
      <c r="A4" t="inlineStr">
        <is>
          <t>Algeria</t>
        </is>
      </c>
      <c r="B4" t="n">
        <v>134.37</v>
      </c>
      <c r="C4" t="n">
        <v>7.2</v>
      </c>
      <c r="D4" t="n">
        <v>52.4</v>
      </c>
      <c r="E4" t="n">
        <v>163</v>
      </c>
      <c r="F4" t="n">
        <v>0.008</v>
      </c>
      <c r="G4" t="n">
        <v>0.038</v>
      </c>
      <c r="H4" t="n">
        <v>2.2</v>
      </c>
      <c r="I4" t="n">
        <v>9.9</v>
      </c>
      <c r="J4" t="n">
        <v>0.0412</v>
      </c>
      <c r="K4" t="n">
        <v>3</v>
      </c>
      <c r="L4" t="n">
        <v>0.03</v>
      </c>
      <c r="M4" t="n">
        <v>12.7</v>
      </c>
      <c r="N4" t="n">
        <v>0.114</v>
      </c>
      <c r="O4" t="n">
        <v>44.7</v>
      </c>
    </row>
    <row r="5">
      <c r="A5" t="inlineStr">
        <is>
          <t>Angola</t>
        </is>
      </c>
      <c r="B5" t="n">
        <v>456.04</v>
      </c>
      <c r="C5" t="n">
        <v>11.4</v>
      </c>
      <c r="D5" t="n">
        <v>56.1</v>
      </c>
      <c r="E5" t="n">
        <v>67</v>
      </c>
      <c r="F5" t="n">
        <v>0.002</v>
      </c>
      <c r="G5" t="n">
        <v>0.026</v>
      </c>
      <c r="H5" t="n">
        <v>2.7</v>
      </c>
      <c r="I5" t="n">
        <v>10.62</v>
      </c>
      <c r="J5" t="n">
        <v>0.2698</v>
      </c>
      <c r="K5" t="n">
        <v>17</v>
      </c>
      <c r="L5" t="n">
        <v>0.2</v>
      </c>
      <c r="M5" t="n">
        <v>29.6</v>
      </c>
      <c r="N5" t="n">
        <v>0.341</v>
      </c>
      <c r="O5" t="n">
        <v>33</v>
      </c>
    </row>
    <row r="6">
      <c r="A6" t="inlineStr">
        <is>
          <t>Argentina</t>
        </is>
      </c>
      <c r="B6" t="n">
        <v>96.12</v>
      </c>
      <c r="C6" t="n">
        <v>-0.7</v>
      </c>
      <c r="D6" t="n">
        <v>85</v>
      </c>
      <c r="E6" t="n">
        <v>487</v>
      </c>
      <c r="F6" t="n">
        <v>0.006999999999999999</v>
      </c>
      <c r="G6" t="n">
        <v>0.013</v>
      </c>
      <c r="H6" t="n">
        <v>-4.5</v>
      </c>
      <c r="I6" t="n">
        <v>114.2</v>
      </c>
      <c r="J6" t="n">
        <v>0.512</v>
      </c>
      <c r="K6" t="n">
        <v>97</v>
      </c>
      <c r="L6" t="n">
        <v>0.38</v>
      </c>
      <c r="M6" t="n">
        <v>6.9</v>
      </c>
      <c r="N6" t="n">
        <v>0.08199999999999999</v>
      </c>
      <c r="O6" t="n">
        <v>46.24</v>
      </c>
    </row>
    <row r="7">
      <c r="A7" t="inlineStr">
        <is>
          <t>Armenia</t>
        </is>
      </c>
      <c r="B7" t="n">
        <v>495.16</v>
      </c>
      <c r="C7" t="n">
        <v>0.1</v>
      </c>
      <c r="D7" t="n">
        <v>60.25</v>
      </c>
      <c r="E7" t="n">
        <v>14</v>
      </c>
      <c r="F7" t="n">
        <v/>
      </c>
      <c r="G7" t="n">
        <v>0.121</v>
      </c>
      <c r="H7" t="n">
        <v>-2.5</v>
      </c>
      <c r="I7" t="n">
        <v>1.3</v>
      </c>
      <c r="J7" t="n">
        <v>0.096</v>
      </c>
      <c r="K7" t="n">
        <v>10.5</v>
      </c>
      <c r="L7" t="n">
        <v>0.0775</v>
      </c>
      <c r="M7" t="n">
        <v>12.7</v>
      </c>
      <c r="N7" t="n">
        <v>0.15</v>
      </c>
      <c r="O7" t="n">
        <v>2.98</v>
      </c>
    </row>
    <row r="8">
      <c r="A8" t="inlineStr">
        <is>
          <t>Australia</t>
        </is>
      </c>
      <c r="B8" t="n">
        <v>0.68</v>
      </c>
      <c r="C8" t="n">
        <v>1.9</v>
      </c>
      <c r="D8" t="n">
        <v>22.3</v>
      </c>
      <c r="E8" t="n">
        <v>1553</v>
      </c>
      <c r="F8" t="n">
        <v>0.002</v>
      </c>
      <c r="G8" t="n">
        <v>0.023</v>
      </c>
      <c r="H8" t="n">
        <v>-1.4</v>
      </c>
      <c r="I8" t="n">
        <v>7</v>
      </c>
      <c r="J8" t="n">
        <v>0.03</v>
      </c>
      <c r="K8" t="n">
        <v>4.1</v>
      </c>
      <c r="L8" t="n">
        <v>0.001</v>
      </c>
      <c r="M8" t="n">
        <v>3.6</v>
      </c>
      <c r="N8" t="n">
        <v>0.046</v>
      </c>
      <c r="O8" t="n">
        <v>26.27</v>
      </c>
    </row>
    <row r="9">
      <c r="A9" t="inlineStr">
        <is>
          <t>Austria</t>
        </is>
      </c>
      <c r="B9" t="n">
        <v>1.11</v>
      </c>
      <c r="C9" t="n">
        <v>0.7</v>
      </c>
      <c r="D9" t="n">
        <v>78.40000000000001</v>
      </c>
      <c r="E9" t="n">
        <v>480</v>
      </c>
      <c r="F9" t="n">
        <v>0</v>
      </c>
      <c r="G9" t="n">
        <v>0.019</v>
      </c>
      <c r="H9" t="n">
        <v>-3.2</v>
      </c>
      <c r="I9" t="n">
        <v>9</v>
      </c>
      <c r="J9" t="n">
        <v>0.043</v>
      </c>
      <c r="K9" t="n">
        <v>4</v>
      </c>
      <c r="L9" t="n">
        <v>0</v>
      </c>
      <c r="M9" t="n">
        <v>5.9</v>
      </c>
      <c r="N9" t="n">
        <v>0.07000000000000001</v>
      </c>
      <c r="O9" t="n">
        <v>8.98</v>
      </c>
    </row>
    <row r="10">
      <c r="A10" t="inlineStr">
        <is>
          <t>Azerbaijan</t>
        </is>
      </c>
      <c r="B10" t="n">
        <v>1.7</v>
      </c>
      <c r="C10" t="n">
        <v>30.5</v>
      </c>
      <c r="D10" t="n">
        <v>11.7</v>
      </c>
      <c r="E10" t="n">
        <v>55</v>
      </c>
      <c r="F10" t="n">
        <v/>
      </c>
      <c r="G10" t="n">
        <v>0.046</v>
      </c>
      <c r="H10" t="n">
        <v>-1</v>
      </c>
      <c r="I10" t="n">
        <v>11.5</v>
      </c>
      <c r="J10" t="n">
        <v>0.062</v>
      </c>
      <c r="K10" t="n">
        <v>9</v>
      </c>
      <c r="L10" t="n">
        <v>0.0725</v>
      </c>
      <c r="M10" t="n">
        <v>5.5</v>
      </c>
      <c r="N10" t="n">
        <v>0.06269999999999999</v>
      </c>
      <c r="O10" t="n">
        <v>10.06</v>
      </c>
    </row>
    <row r="11">
      <c r="A11" t="inlineStr">
        <is>
          <t>Bahamas</t>
        </is>
      </c>
      <c r="B11" t="n">
        <v>1</v>
      </c>
      <c r="C11" t="n">
        <v>-14.2</v>
      </c>
      <c r="D11" t="n">
        <v>95.59999999999999</v>
      </c>
      <c r="E11" t="n">
        <v>11</v>
      </c>
      <c r="F11" t="n">
        <v/>
      </c>
      <c r="G11" t="n">
        <v>0.1225</v>
      </c>
      <c r="H11" t="n">
        <v>-13.6</v>
      </c>
      <c r="I11" t="n">
        <v>5.7</v>
      </c>
      <c r="J11" t="n">
        <v>0.027</v>
      </c>
      <c r="K11" t="n">
        <v>4</v>
      </c>
      <c r="L11" t="n">
        <v>0.04</v>
      </c>
      <c r="M11" t="n">
        <v>10.1</v>
      </c>
      <c r="N11" t="n">
        <v>0.256</v>
      </c>
      <c r="O11" t="n">
        <v>0.4</v>
      </c>
    </row>
    <row r="12">
      <c r="A12" t="inlineStr">
        <is>
          <t>Bahrain</t>
        </is>
      </c>
      <c r="B12" t="n">
        <v>0.38</v>
      </c>
      <c r="C12" t="n">
        <v>9.1</v>
      </c>
      <c r="D12" t="n">
        <v>119.5</v>
      </c>
      <c r="E12" t="n">
        <v>39</v>
      </c>
      <c r="F12" t="n">
        <v>0.032</v>
      </c>
      <c r="G12" t="n">
        <v>0.04099999999999999</v>
      </c>
      <c r="H12" t="n">
        <v>-35</v>
      </c>
      <c r="I12" t="n">
        <v>0.7</v>
      </c>
      <c r="J12" t="n">
        <v>0.006999999999999999</v>
      </c>
      <c r="K12" t="n">
        <v>6</v>
      </c>
      <c r="L12" t="n">
        <v>0.01</v>
      </c>
      <c r="M12" t="n">
        <v>6.6</v>
      </c>
      <c r="N12" t="n">
        <v>0.049</v>
      </c>
      <c r="O12" t="n">
        <v>1.46</v>
      </c>
    </row>
    <row r="13">
      <c r="A13" t="inlineStr">
        <is>
          <t>Bangladesh</t>
        </is>
      </c>
      <c r="B13" t="n">
        <v>84.8</v>
      </c>
      <c r="C13" t="n">
        <v>-4.1</v>
      </c>
      <c r="D13" t="n">
        <v>33.9</v>
      </c>
      <c r="E13" t="n">
        <v>416</v>
      </c>
      <c r="F13" t="n">
        <v>0.0725</v>
      </c>
      <c r="G13" t="n">
        <v>0.0725</v>
      </c>
      <c r="H13" t="n">
        <v>5.06</v>
      </c>
      <c r="I13" t="n">
        <v>9.94</v>
      </c>
      <c r="J13" t="n">
        <v>0.057</v>
      </c>
      <c r="K13" t="n">
        <v>6</v>
      </c>
      <c r="L13" t="n">
        <v>0.0475</v>
      </c>
      <c r="M13" t="n">
        <v>4.7</v>
      </c>
      <c r="N13" t="n">
        <v>0.053</v>
      </c>
      <c r="O13" t="n">
        <v>166.3</v>
      </c>
    </row>
    <row r="14">
      <c r="A14" t="inlineStr">
        <is>
          <t>Belarus</t>
        </is>
      </c>
      <c r="B14" t="n">
        <v>2.57</v>
      </c>
      <c r="C14" t="n">
        <v>4.2</v>
      </c>
      <c r="D14" t="n">
        <v>32.8</v>
      </c>
      <c r="E14" t="n">
        <v>68</v>
      </c>
      <c r="F14" t="n">
        <v/>
      </c>
      <c r="G14" t="n">
        <v>-0.0545</v>
      </c>
      <c r="H14" t="n">
        <v>-0.3</v>
      </c>
      <c r="I14" t="n">
        <v>3.7</v>
      </c>
      <c r="J14" t="n">
        <v>0.103</v>
      </c>
      <c r="K14" t="n">
        <v>9.5</v>
      </c>
      <c r="L14" t="n">
        <v>0.0925</v>
      </c>
      <c r="M14" t="n">
        <v>3.6</v>
      </c>
      <c r="N14" t="n">
        <v>0.002</v>
      </c>
      <c r="O14" t="n">
        <v>9.26</v>
      </c>
    </row>
    <row r="15">
      <c r="A15" t="inlineStr">
        <is>
          <t>Belgium</t>
        </is>
      </c>
      <c r="B15" t="n">
        <v>1.11</v>
      </c>
      <c r="C15" t="n">
        <v>-3.5</v>
      </c>
      <c r="D15" t="n">
        <v>105.1</v>
      </c>
      <c r="E15" t="n">
        <v>594</v>
      </c>
      <c r="F15" t="n">
        <v>0.005</v>
      </c>
      <c r="G15" t="n">
        <v>0.014</v>
      </c>
      <c r="H15" t="n">
        <v>-3.9</v>
      </c>
      <c r="I15" t="n">
        <v>5.2</v>
      </c>
      <c r="J15" t="n">
        <v>0.0564</v>
      </c>
      <c r="K15" t="n">
        <v>4</v>
      </c>
      <c r="L15" t="n">
        <v>0</v>
      </c>
      <c r="M15" t="n">
        <v>5.6</v>
      </c>
      <c r="N15" t="n">
        <v>0.063</v>
      </c>
      <c r="O15" t="n">
        <v>11.63</v>
      </c>
    </row>
    <row r="16">
      <c r="A16" t="inlineStr">
        <is>
          <t>Benin</t>
        </is>
      </c>
      <c r="B16" t="n">
        <v>588.96</v>
      </c>
      <c r="C16" t="n">
        <v>-5.7</v>
      </c>
      <c r="D16" t="n">
        <v>47.2</v>
      </c>
      <c r="E16" t="n">
        <v>17</v>
      </c>
      <c r="F16" t="n">
        <v/>
      </c>
      <c r="G16" t="n">
        <v>0.06</v>
      </c>
      <c r="H16" t="n">
        <v>-6.1</v>
      </c>
      <c r="I16" t="n">
        <v>3.6</v>
      </c>
      <c r="J16" t="n">
        <v>0.025</v>
      </c>
      <c r="K16" t="n">
        <v>5</v>
      </c>
      <c r="L16" t="n">
        <v>0.04</v>
      </c>
      <c r="M16" t="n">
        <v>1.7</v>
      </c>
      <c r="N16" t="n">
        <v>0.025</v>
      </c>
      <c r="O16" t="n">
        <v>12.91</v>
      </c>
    </row>
    <row r="17">
      <c r="A17" t="inlineStr">
        <is>
          <t>Bhutan</t>
        </is>
      </c>
      <c r="B17" t="n">
        <v>71.01000000000001</v>
      </c>
      <c r="C17" t="n">
        <v>-33.8</v>
      </c>
      <c r="D17" t="n">
        <v>124.8</v>
      </c>
      <c r="E17" t="n">
        <v>3</v>
      </c>
      <c r="F17" t="n">
        <v/>
      </c>
      <c r="G17" t="n">
        <v>0.04099999999999999</v>
      </c>
      <c r="H17" t="n">
        <v>-7.8</v>
      </c>
      <c r="I17" t="n">
        <v>3.29</v>
      </c>
      <c r="J17" t="n">
        <v>0.04969999999999999</v>
      </c>
      <c r="K17" t="n">
        <v>6.88</v>
      </c>
      <c r="L17" t="n">
        <v>0.07139999999999999</v>
      </c>
      <c r="M17" t="n">
        <v>4.8</v>
      </c>
      <c r="N17" t="n">
        <v>0.05</v>
      </c>
      <c r="O17" t="n">
        <v>0.78</v>
      </c>
    </row>
    <row r="18">
      <c r="A18" t="inlineStr">
        <is>
          <t>Bolivia</t>
        </is>
      </c>
      <c r="B18" t="n">
        <v>6.83</v>
      </c>
      <c r="C18" t="n">
        <v>-1.5</v>
      </c>
      <c r="D18" t="n">
        <v>82.59999999999999</v>
      </c>
      <c r="E18" t="n">
        <v>40</v>
      </c>
      <c r="F18" t="n">
        <v>0.1404</v>
      </c>
      <c r="G18" t="n">
        <v>0.0137</v>
      </c>
      <c r="H18" t="n">
        <v>-9.5</v>
      </c>
      <c r="I18" t="n">
        <v>2.9</v>
      </c>
      <c r="J18" t="n">
        <v>0.009599999999999999</v>
      </c>
      <c r="K18" t="n">
        <v>3.26</v>
      </c>
      <c r="L18" t="n">
        <v>0.0385</v>
      </c>
      <c r="M18" t="n">
        <v>6.9</v>
      </c>
      <c r="N18" t="n">
        <v>0.05599999999999999</v>
      </c>
      <c r="O18" t="n">
        <v>12.01</v>
      </c>
    </row>
    <row r="19">
      <c r="A19" t="inlineStr">
        <is>
          <t>Bosniaand Herzegovina</t>
        </is>
      </c>
      <c r="B19" t="n">
        <v>1.77</v>
      </c>
      <c r="C19" t="n">
        <v>-4.3</v>
      </c>
      <c r="D19" t="n">
        <v>19.6</v>
      </c>
      <c r="E19" t="n">
        <v>23</v>
      </c>
      <c r="F19" t="n">
        <v>0.011</v>
      </c>
      <c r="G19" t="n">
        <v>0.017</v>
      </c>
      <c r="H19" t="n">
        <v>-0.3</v>
      </c>
      <c r="I19" t="n">
        <v>7.9</v>
      </c>
      <c r="J19" t="n">
        <v>0.043</v>
      </c>
      <c r="K19" t="n">
        <v>3.88</v>
      </c>
      <c r="L19" t="n">
        <v>0.0344</v>
      </c>
      <c r="M19" t="n">
        <v>29.28</v>
      </c>
      <c r="N19" t="n">
        <v>0.3173</v>
      </c>
      <c r="O19" t="n">
        <v>3.46</v>
      </c>
    </row>
    <row r="20">
      <c r="A20" t="inlineStr">
        <is>
          <t>Botswana</t>
        </is>
      </c>
      <c r="B20" t="n">
        <v>11.03</v>
      </c>
      <c r="C20" t="n">
        <v>3.1</v>
      </c>
      <c r="D20" t="n">
        <v>26.1</v>
      </c>
      <c r="E20" t="n">
        <v>18</v>
      </c>
      <c r="F20" t="n">
        <v>-0.023</v>
      </c>
      <c r="G20" t="n">
        <v>0.059</v>
      </c>
      <c r="H20" t="n">
        <v>-3.2</v>
      </c>
      <c r="I20" t="n">
        <v>5.7</v>
      </c>
      <c r="J20" t="n">
        <v>0.08599999999999999</v>
      </c>
      <c r="K20" t="n">
        <v>2.65</v>
      </c>
      <c r="L20" t="n">
        <v>0.0375</v>
      </c>
      <c r="M20" t="n">
        <v>25.4</v>
      </c>
      <c r="N20" t="n">
        <v>0.233</v>
      </c>
      <c r="O20" t="n">
        <v>2.34</v>
      </c>
    </row>
    <row r="21">
      <c r="A21" t="inlineStr">
        <is>
          <t>Brazil</t>
        </is>
      </c>
      <c r="B21" t="n">
        <v>5.69</v>
      </c>
      <c r="C21" t="n">
        <v>-2.92</v>
      </c>
      <c r="D21" t="n">
        <v>72.87</v>
      </c>
      <c r="E21" t="n">
        <v>1609</v>
      </c>
      <c r="F21" t="n">
        <v>0.019</v>
      </c>
      <c r="G21" t="n">
        <v>0.04</v>
      </c>
      <c r="H21" t="n">
        <v>-4.5</v>
      </c>
      <c r="I21" t="n">
        <v>3.94</v>
      </c>
      <c r="J21" t="n">
        <v>0.1074</v>
      </c>
      <c r="K21" t="n">
        <v>13.75</v>
      </c>
      <c r="L21" t="n">
        <v>0.0925</v>
      </c>
      <c r="M21" t="n">
        <v>8.5</v>
      </c>
      <c r="N21" t="n">
        <v>0.126</v>
      </c>
      <c r="O21" t="n">
        <v>214.83</v>
      </c>
    </row>
    <row r="22">
      <c r="A22" t="inlineStr">
        <is>
          <t>Brunei</t>
        </is>
      </c>
      <c r="B22" t="n">
        <v>1.35</v>
      </c>
      <c r="C22" t="n">
        <v>11.2</v>
      </c>
      <c r="D22" t="n">
        <v>1.9</v>
      </c>
      <c r="E22" t="n">
        <v>14</v>
      </c>
      <c r="F22" t="n">
        <v/>
      </c>
      <c r="G22" t="n">
        <v>-0.016</v>
      </c>
      <c r="H22" t="n">
        <v>-19.3</v>
      </c>
      <c r="I22" t="n">
        <v>0.2</v>
      </c>
      <c r="J22" t="n">
        <v>0.022</v>
      </c>
      <c r="K22" t="n">
        <v>5.5</v>
      </c>
      <c r="L22" t="n">
        <v>0.055</v>
      </c>
      <c r="M22" t="n">
        <v>4.9</v>
      </c>
      <c r="N22" t="n">
        <v>0.08400000000000001</v>
      </c>
      <c r="O22" t="n">
        <v>0.43</v>
      </c>
    </row>
    <row r="23">
      <c r="A23" t="inlineStr">
        <is>
          <t>Bulgaria</t>
        </is>
      </c>
      <c r="B23" t="n">
        <v>1.66</v>
      </c>
      <c r="C23" t="n">
        <v>-0.7</v>
      </c>
      <c r="D23" t="n">
        <v>20.5</v>
      </c>
      <c r="E23" t="n">
        <v>84</v>
      </c>
      <c r="F23" t="n">
        <v>0.0049</v>
      </c>
      <c r="G23" t="n">
        <v>0.0228</v>
      </c>
      <c r="H23" t="n">
        <v>-2.8</v>
      </c>
      <c r="I23" t="n">
        <v>10.1</v>
      </c>
      <c r="J23" t="n">
        <v>0.073</v>
      </c>
      <c r="K23" t="n">
        <v>2.47</v>
      </c>
      <c r="L23" t="n">
        <v>0</v>
      </c>
      <c r="M23" t="n">
        <v>5.1</v>
      </c>
      <c r="N23" t="n">
        <v>0.047</v>
      </c>
      <c r="O23" t="n">
        <v>6.44</v>
      </c>
    </row>
    <row r="24">
      <c r="A24" t="inlineStr">
        <is>
          <t>Burkina Faso</t>
        </is>
      </c>
      <c r="B24" t="n">
        <v>588.96</v>
      </c>
      <c r="C24" t="n">
        <v>-5.2</v>
      </c>
      <c r="D24" t="n">
        <v>59.6</v>
      </c>
      <c r="E24" t="n">
        <v>20</v>
      </c>
      <c r="F24" t="n">
        <v/>
      </c>
      <c r="G24" t="n">
        <v>-0.04099999999999999</v>
      </c>
      <c r="H24" t="n">
        <v>-5.6</v>
      </c>
      <c r="I24" t="n">
        <v>-0.3</v>
      </c>
      <c r="J24" t="n">
        <v>0.039</v>
      </c>
      <c r="K24" t="n">
        <v>5</v>
      </c>
      <c r="L24" t="n">
        <v>0.04</v>
      </c>
      <c r="M24" t="n">
        <v>5.2</v>
      </c>
      <c r="N24" t="n">
        <v>0.05</v>
      </c>
      <c r="O24" t="n">
        <v>21.51</v>
      </c>
    </row>
    <row r="25">
      <c r="A25" t="inlineStr">
        <is>
          <t>Burundi</t>
        </is>
      </c>
      <c r="B25" t="n">
        <v>1877.75</v>
      </c>
      <c r="C25" t="n">
        <v>-11</v>
      </c>
      <c r="D25" t="n">
        <v>17.2</v>
      </c>
      <c r="E25" t="n">
        <v>3</v>
      </c>
      <c r="F25" t="n">
        <v/>
      </c>
      <c r="G25" t="n">
        <v>0.031</v>
      </c>
      <c r="H25" t="n">
        <v>-5.8</v>
      </c>
      <c r="I25" t="n">
        <v>28.9</v>
      </c>
      <c r="J25" t="n">
        <v>0.0987</v>
      </c>
      <c r="K25" t="n">
        <v>7.54</v>
      </c>
      <c r="L25" t="n">
        <v>0.0706</v>
      </c>
      <c r="M25" t="n">
        <v>1</v>
      </c>
      <c r="N25" t="n">
        <v>0.008</v>
      </c>
      <c r="O25" t="n">
        <v>12.55</v>
      </c>
    </row>
    <row r="26">
      <c r="A26" t="inlineStr">
        <is>
          <t>Cambodia</t>
        </is>
      </c>
      <c r="B26" t="n">
        <v>4061</v>
      </c>
      <c r="C26" t="n">
        <v>-26.9</v>
      </c>
      <c r="D26" t="n">
        <v>36.8</v>
      </c>
      <c r="E26" t="n">
        <v>27</v>
      </c>
      <c r="F26" t="n">
        <v/>
      </c>
      <c r="G26" t="n">
        <v>0.053</v>
      </c>
      <c r="H26" t="n">
        <v>-7.3</v>
      </c>
      <c r="I26" t="n">
        <v>1.1</v>
      </c>
      <c r="J26" t="n">
        <v>0.0296</v>
      </c>
      <c r="K26" t="n">
        <v>0.89</v>
      </c>
      <c r="L26" t="n">
        <v>0.0089</v>
      </c>
      <c r="M26" t="n">
        <v>0.36</v>
      </c>
      <c r="N26" t="n">
        <v>0.0031</v>
      </c>
      <c r="O26" t="n">
        <v>16.59</v>
      </c>
    </row>
    <row r="27">
      <c r="A27" t="inlineStr">
        <is>
          <t>Cameroon</t>
        </is>
      </c>
      <c r="B27" t="n">
        <v>551.3200000000001</v>
      </c>
      <c r="C27" t="n">
        <v>-1.6</v>
      </c>
      <c r="D27" t="n">
        <v>45</v>
      </c>
      <c r="E27" t="n">
        <v>45</v>
      </c>
      <c r="F27" t="n">
        <v>0.027</v>
      </c>
      <c r="G27" t="n">
        <v>0.039</v>
      </c>
      <c r="H27" t="n">
        <v>-1.9</v>
      </c>
      <c r="I27" t="n">
        <v>7.32</v>
      </c>
      <c r="J27" t="n">
        <v>0.0239</v>
      </c>
      <c r="K27" t="n">
        <v>5</v>
      </c>
      <c r="L27" t="n">
        <v>0.0325</v>
      </c>
      <c r="M27" t="n">
        <v>4</v>
      </c>
      <c r="N27" t="n">
        <v>0.036</v>
      </c>
      <c r="O27" t="n">
        <v>27.2</v>
      </c>
    </row>
    <row r="28">
      <c r="A28" t="inlineStr">
        <is>
          <t>Canada</t>
        </is>
      </c>
      <c r="B28" t="n">
        <v>1.33</v>
      </c>
      <c r="C28" t="n">
        <v>-0.4</v>
      </c>
      <c r="D28" t="n">
        <v>112.8</v>
      </c>
      <c r="E28" t="n">
        <v>1988</v>
      </c>
      <c r="F28" t="n">
        <v>0.008</v>
      </c>
      <c r="G28" t="n">
        <v>0.0221</v>
      </c>
      <c r="H28" t="n">
        <v>-3.6</v>
      </c>
      <c r="I28" t="n">
        <v>4.4</v>
      </c>
      <c r="J28" t="n">
        <v>0.047</v>
      </c>
      <c r="K28" t="n">
        <v>4.75</v>
      </c>
      <c r="L28" t="n">
        <v>0.0025</v>
      </c>
      <c r="M28" t="n">
        <v>5.2</v>
      </c>
      <c r="N28" t="n">
        <v>0.06</v>
      </c>
      <c r="O28" t="n">
        <v>39.29</v>
      </c>
    </row>
    <row r="29">
      <c r="A29" t="inlineStr">
        <is>
          <t>Cape Verde</t>
        </is>
      </c>
      <c r="B29" t="n">
        <v>99.94</v>
      </c>
      <c r="C29" t="n">
        <v>-3.4</v>
      </c>
      <c r="D29" t="n">
        <v>129.8</v>
      </c>
      <c r="E29" t="n">
        <v>2</v>
      </c>
      <c r="F29" t="n">
        <v>0.006999999999999999</v>
      </c>
      <c r="G29" t="n">
        <v>0.091</v>
      </c>
      <c r="H29" t="n">
        <v>-4.2</v>
      </c>
      <c r="I29" t="n">
        <v>3.8</v>
      </c>
      <c r="J29" t="n">
        <v>0.048</v>
      </c>
      <c r="K29" t="n">
        <v>1</v>
      </c>
      <c r="L29" t="n">
        <v>0.0025</v>
      </c>
      <c r="M29" t="n">
        <v>13.6</v>
      </c>
      <c r="N29" t="n">
        <v>0.145</v>
      </c>
      <c r="O29" t="n">
        <v>0.58</v>
      </c>
    </row>
    <row r="30">
      <c r="A30" t="inlineStr">
        <is>
          <t>Cayman Islands</t>
        </is>
      </c>
      <c r="B30" t="n">
        <v>0.82</v>
      </c>
      <c r="C30" t="n">
        <v>-13.6</v>
      </c>
      <c r="D30" t="n">
        <v>4.5</v>
      </c>
      <c r="E30" t="n">
        <v>6</v>
      </c>
      <c r="F30" t="n">
        <v/>
      </c>
      <c r="G30" t="n">
        <v>0.038</v>
      </c>
      <c r="H30" t="n">
        <v>-2.1</v>
      </c>
      <c r="I30" t="n">
        <v>6.6</v>
      </c>
      <c r="J30" t="n">
        <v>-0.01</v>
      </c>
      <c r="K30" t="n">
        <v/>
      </c>
      <c r="L30" t="n">
        <v/>
      </c>
      <c r="M30" t="n">
        <v>2.1</v>
      </c>
      <c r="N30" t="n">
        <v>0.052</v>
      </c>
      <c r="O30" t="n">
        <v>0.07000000000000001</v>
      </c>
    </row>
    <row r="31">
      <c r="A31" t="inlineStr">
        <is>
          <t>Central African Republic</t>
        </is>
      </c>
      <c r="B31" t="n">
        <v>551.3200000000001</v>
      </c>
      <c r="C31" t="n">
        <v>-13.8</v>
      </c>
      <c r="D31" t="n">
        <v>52.1</v>
      </c>
      <c r="E31" t="n">
        <v>3</v>
      </c>
      <c r="F31" t="n">
        <v/>
      </c>
      <c r="G31" t="n">
        <v>0.009000000000000001</v>
      </c>
      <c r="H31" t="n">
        <v>-2.4</v>
      </c>
      <c r="I31" t="n">
        <v>5.3</v>
      </c>
      <c r="J31" t="n">
        <v>0.0478</v>
      </c>
      <c r="K31" t="n">
        <v>5</v>
      </c>
      <c r="L31" t="n">
        <v>0.0325</v>
      </c>
      <c r="M31" t="n">
        <v>6.4</v>
      </c>
      <c r="N31" t="n">
        <v>0.043</v>
      </c>
      <c r="O31" t="n">
        <v>5.46</v>
      </c>
    </row>
    <row r="32">
      <c r="A32" t="inlineStr">
        <is>
          <t>Chad</t>
        </is>
      </c>
      <c r="B32" t="n">
        <v>551.3200000000001</v>
      </c>
      <c r="C32" t="n">
        <v>0.5</v>
      </c>
      <c r="D32" t="n">
        <v>44.7</v>
      </c>
      <c r="E32" t="n">
        <v>12</v>
      </c>
      <c r="F32" t="n">
        <v/>
      </c>
      <c r="G32" t="n">
        <v>-0.012</v>
      </c>
      <c r="H32" t="n">
        <v>-0.2</v>
      </c>
      <c r="I32" t="n">
        <v>12.5</v>
      </c>
      <c r="J32" t="n">
        <v>-0.009000000000000001</v>
      </c>
      <c r="K32" t="n">
        <v>5</v>
      </c>
      <c r="L32" t="n">
        <v>0.0325</v>
      </c>
      <c r="M32" t="n">
        <v>1.4</v>
      </c>
      <c r="N32" t="n">
        <v>0.023</v>
      </c>
      <c r="O32" t="n">
        <v>17.41</v>
      </c>
    </row>
    <row r="33">
      <c r="A33" t="inlineStr">
        <is>
          <t>Chile</t>
        </is>
      </c>
      <c r="B33" t="n">
        <v>749.27</v>
      </c>
      <c r="C33" t="n">
        <v>-9</v>
      </c>
      <c r="D33" t="n">
        <v>38</v>
      </c>
      <c r="E33" t="n">
        <v>317</v>
      </c>
      <c r="F33" t="n">
        <v>0.008</v>
      </c>
      <c r="G33" t="n">
        <v>-0.006</v>
      </c>
      <c r="H33" t="n">
        <v>-7.5</v>
      </c>
      <c r="I33" t="n">
        <v>8.699999999999999</v>
      </c>
      <c r="J33" t="n">
        <v>0.067</v>
      </c>
      <c r="K33" t="n">
        <v>11.25</v>
      </c>
      <c r="L33" t="n">
        <v>0.04</v>
      </c>
      <c r="M33" t="n">
        <v>8.699999999999999</v>
      </c>
      <c r="N33" t="n">
        <v>0.081</v>
      </c>
      <c r="O33" t="n">
        <v>19.69</v>
      </c>
    </row>
    <row r="34">
      <c r="A34" t="inlineStr">
        <is>
          <t>China</t>
        </is>
      </c>
      <c r="B34" t="n">
        <v>6.37</v>
      </c>
      <c r="C34" t="n">
        <v>2.2</v>
      </c>
      <c r="D34" t="n">
        <v>76.90000000000001</v>
      </c>
      <c r="E34" t="n">
        <v>17734</v>
      </c>
      <c r="F34" t="n">
        <v>0.022</v>
      </c>
      <c r="G34" t="n">
        <v>0.045</v>
      </c>
      <c r="H34" t="n">
        <v>-7.4</v>
      </c>
      <c r="I34" t="n">
        <v>0.2</v>
      </c>
      <c r="J34" t="n">
        <v>0.023</v>
      </c>
      <c r="K34" t="n">
        <v>3.55</v>
      </c>
      <c r="L34" t="n">
        <v>0.038</v>
      </c>
      <c r="M34" t="n">
        <v>5.2</v>
      </c>
      <c r="N34" t="n">
        <v>0.05</v>
      </c>
      <c r="O34" t="n">
        <v>1411.75</v>
      </c>
    </row>
    <row r="35">
      <c r="A35" t="inlineStr">
        <is>
          <t>Colombia</t>
        </is>
      </c>
      <c r="B35" t="n">
        <v>3354</v>
      </c>
      <c r="C35" t="n">
        <v>-6.2</v>
      </c>
      <c r="D35" t="n">
        <v>61.1</v>
      </c>
      <c r="E35" t="n">
        <v>314</v>
      </c>
      <c r="F35" t="n">
        <v>0.014</v>
      </c>
      <c r="G35" t="n">
        <v>0.03</v>
      </c>
      <c r="H35" t="n">
        <v>-4.3</v>
      </c>
      <c r="I35" t="n">
        <v>12.36</v>
      </c>
      <c r="J35" t="n">
        <v>0.0526</v>
      </c>
      <c r="K35" t="n">
        <v>13.25</v>
      </c>
      <c r="L35" t="n">
        <v>0.03</v>
      </c>
      <c r="M35" t="n">
        <v>10.7</v>
      </c>
      <c r="N35" t="n">
        <v>0.118</v>
      </c>
      <c r="O35" t="n">
        <v>51.41</v>
      </c>
    </row>
    <row r="36">
      <c r="A36" t="inlineStr">
        <is>
          <t>Comoros</t>
        </is>
      </c>
      <c r="B36" t="n">
        <v>417.02</v>
      </c>
      <c r="C36" t="n">
        <v>-3.2</v>
      </c>
      <c r="D36" t="n">
        <v>31.7</v>
      </c>
      <c r="E36" t="n">
        <v>1</v>
      </c>
      <c r="F36" t="n">
        <v/>
      </c>
      <c r="G36" t="n">
        <v>0.022</v>
      </c>
      <c r="H36" t="n">
        <v>-3.7</v>
      </c>
      <c r="I36" t="n">
        <v>20.2</v>
      </c>
      <c r="J36" t="n">
        <v>-0.0246</v>
      </c>
      <c r="K36" t="n">
        <v>3.08</v>
      </c>
      <c r="L36" t="n">
        <v>0.009399999999999999</v>
      </c>
      <c r="M36" t="n">
        <v>8.800000000000001</v>
      </c>
      <c r="N36" t="n">
        <v>0.08400000000000001</v>
      </c>
      <c r="O36" t="n">
        <v>0.82</v>
      </c>
    </row>
    <row r="37">
      <c r="A37" t="inlineStr">
        <is>
          <t>Congo</t>
        </is>
      </c>
      <c r="B37" t="n">
        <v>1666.65</v>
      </c>
      <c r="C37" t="n">
        <v>-0.5</v>
      </c>
      <c r="D37" t="n">
        <v>14.6</v>
      </c>
      <c r="E37" t="n">
        <v>54</v>
      </c>
      <c r="F37" t="n">
        <v/>
      </c>
      <c r="G37" t="n">
        <v>0.08500000000000001</v>
      </c>
      <c r="H37" t="n">
        <v>-1.6</v>
      </c>
      <c r="I37" t="n">
        <v>24.93</v>
      </c>
      <c r="J37" t="n">
        <v>0.0492</v>
      </c>
      <c r="K37" t="n">
        <v>9</v>
      </c>
      <c r="L37" t="n">
        <v>0.08500000000000001</v>
      </c>
      <c r="M37" t="n">
        <v>46.1</v>
      </c>
      <c r="N37" t="n">
        <v>0.461</v>
      </c>
      <c r="O37" t="n">
        <v>95.01000000000001</v>
      </c>
    </row>
    <row r="38">
      <c r="A38" t="inlineStr">
        <is>
          <t>Costa Rica</t>
        </is>
      </c>
      <c r="B38" t="n">
        <v>566.5700000000001</v>
      </c>
      <c r="C38" t="n">
        <v>-4.3</v>
      </c>
      <c r="D38" t="n">
        <v>82.36</v>
      </c>
      <c r="E38" t="n">
        <v>64</v>
      </c>
      <c r="F38" t="n">
        <v>0.003</v>
      </c>
      <c r="G38" t="n">
        <v>0.03</v>
      </c>
      <c r="H38" t="n">
        <v>-1.8</v>
      </c>
      <c r="I38" t="n">
        <v>0.88</v>
      </c>
      <c r="J38" t="n">
        <v>0.0335</v>
      </c>
      <c r="K38" t="n">
        <v>7</v>
      </c>
      <c r="L38" t="n">
        <v>0.0075</v>
      </c>
      <c r="M38" t="n">
        <v>11.7</v>
      </c>
      <c r="N38" t="n">
        <v>0.153</v>
      </c>
      <c r="O38" t="n">
        <v>5.21</v>
      </c>
    </row>
    <row r="39">
      <c r="A39" t="inlineStr">
        <is>
          <t>Croatia</t>
        </is>
      </c>
      <c r="B39" t="n">
        <v>6.68</v>
      </c>
      <c r="C39" t="n">
        <v>-3.3</v>
      </c>
      <c r="D39" t="n">
        <v>68.40000000000001</v>
      </c>
      <c r="E39" t="n">
        <v>69</v>
      </c>
      <c r="F39" t="n">
        <v>0.014</v>
      </c>
      <c r="G39" t="n">
        <v>0.028</v>
      </c>
      <c r="H39" t="n">
        <v>0.4</v>
      </c>
      <c r="I39" t="n">
        <v>7.9</v>
      </c>
      <c r="J39" t="n">
        <v>0.048</v>
      </c>
      <c r="K39" t="n">
        <v>4</v>
      </c>
      <c r="L39" t="n">
        <v>0.025</v>
      </c>
      <c r="M39" t="n">
        <v>5.6</v>
      </c>
      <c r="N39" t="n">
        <v>0.07400000000000001</v>
      </c>
      <c r="O39" t="n">
        <v>3.85</v>
      </c>
    </row>
    <row r="40">
      <c r="A40" t="inlineStr">
        <is>
          <t>Cuba</t>
        </is>
      </c>
      <c r="B40" t="n">
        <v>1</v>
      </c>
      <c r="C40" t="n">
        <v>0.9</v>
      </c>
      <c r="D40" t="n">
        <v>117</v>
      </c>
      <c r="E40" t="n">
        <v>107</v>
      </c>
      <c r="F40" t="n">
        <v/>
      </c>
      <c r="G40" t="n">
        <v>0.017</v>
      </c>
      <c r="H40" t="n">
        <v>-11.7</v>
      </c>
      <c r="I40" t="n">
        <v>45.48</v>
      </c>
      <c r="J40" t="n">
        <v>0.042</v>
      </c>
      <c r="K40" t="n">
        <v>2.25</v>
      </c>
      <c r="L40" t="n">
        <v>0.0225</v>
      </c>
      <c r="M40" t="n">
        <v>2.8</v>
      </c>
      <c r="N40" t="n">
        <v>0.0387</v>
      </c>
      <c r="O40" t="n">
        <v>11.35</v>
      </c>
    </row>
    <row r="41">
      <c r="A41" t="inlineStr">
        <is>
          <t>Cyprus</t>
        </is>
      </c>
      <c r="B41" t="n">
        <v>1.11</v>
      </c>
      <c r="C41" t="n">
        <v>-9.1</v>
      </c>
      <c r="D41" t="n">
        <v>86.5</v>
      </c>
      <c r="E41" t="n">
        <v>28</v>
      </c>
      <c r="F41" t="n">
        <v>0.008</v>
      </c>
      <c r="G41" t="n">
        <v>0.034</v>
      </c>
      <c r="H41" t="n">
        <v>2.1</v>
      </c>
      <c r="I41" t="n">
        <v>3</v>
      </c>
      <c r="J41" t="n">
        <v>0.0434</v>
      </c>
      <c r="K41" t="n">
        <v>4</v>
      </c>
      <c r="L41" t="n">
        <v>0</v>
      </c>
      <c r="M41" t="n">
        <v>5.1</v>
      </c>
      <c r="N41" t="n">
        <v>0.066</v>
      </c>
      <c r="O41" t="n">
        <v>0.9</v>
      </c>
    </row>
    <row r="42">
      <c r="A42" t="inlineStr">
        <is>
          <t>Czech Republic</t>
        </is>
      </c>
      <c r="B42" t="n">
        <v>21.77</v>
      </c>
      <c r="C42" t="n">
        <v>-6.1</v>
      </c>
      <c r="D42" t="n">
        <v>44.1</v>
      </c>
      <c r="E42" t="n">
        <v>282</v>
      </c>
      <c r="F42" t="n">
        <v>0</v>
      </c>
      <c r="G42" t="n">
        <v>-0.004</v>
      </c>
      <c r="H42" t="n">
        <v>-3.6</v>
      </c>
      <c r="I42" t="n">
        <v>11.1</v>
      </c>
      <c r="J42" t="n">
        <v>0.06</v>
      </c>
      <c r="K42" t="n">
        <v>7</v>
      </c>
      <c r="L42" t="n">
        <v>0.0375</v>
      </c>
      <c r="M42" t="n">
        <v>3.5</v>
      </c>
      <c r="N42" t="n">
        <v>0.033</v>
      </c>
      <c r="O42" t="n">
        <v>10.53</v>
      </c>
    </row>
    <row r="43">
      <c r="A43" t="inlineStr">
        <is>
          <t>Denmark</t>
        </is>
      </c>
      <c r="B43" t="n">
        <v>6.31</v>
      </c>
      <c r="C43" t="n">
        <v>13.2</v>
      </c>
      <c r="D43" t="n">
        <v>30.1</v>
      </c>
      <c r="E43" t="n">
        <v>398</v>
      </c>
      <c r="F43" t="n">
        <v>0.002</v>
      </c>
      <c r="G43" t="n">
        <v>0.024</v>
      </c>
      <c r="H43" t="n">
        <v>3.3</v>
      </c>
      <c r="I43" t="n">
        <v>2.9</v>
      </c>
      <c r="J43" t="n">
        <v>0.034</v>
      </c>
      <c r="K43" t="n">
        <v>3.1</v>
      </c>
      <c r="L43" t="n">
        <v>-0.006</v>
      </c>
      <c r="M43" t="n">
        <v>2.4</v>
      </c>
      <c r="N43" t="n">
        <v>0.031</v>
      </c>
      <c r="O43" t="n">
        <v>5.87</v>
      </c>
    </row>
    <row r="44">
      <c r="A44" t="inlineStr">
        <is>
          <t>Djibouti</t>
        </is>
      </c>
      <c r="B44" t="n">
        <v>177.5</v>
      </c>
      <c r="C44" t="n">
        <v>-5</v>
      </c>
      <c r="D44" t="n">
        <v>43.2</v>
      </c>
      <c r="E44" t="n">
        <v>3</v>
      </c>
      <c r="F44" t="n">
        <v/>
      </c>
      <c r="G44" t="n">
        <v>0.048</v>
      </c>
      <c r="H44" t="n">
        <v>-1.9</v>
      </c>
      <c r="I44" t="n">
        <v>0.6</v>
      </c>
      <c r="J44" t="n">
        <v>0.0255</v>
      </c>
      <c r="K44" t="n">
        <v>11.2</v>
      </c>
      <c r="L44" t="n">
        <v>0.112</v>
      </c>
      <c r="M44" t="n">
        <v>27.9</v>
      </c>
      <c r="N44" t="n">
        <v>0.116</v>
      </c>
      <c r="O44" t="n">
        <v>1.11</v>
      </c>
    </row>
    <row r="45">
      <c r="A45" t="inlineStr">
        <is>
          <t>Dominican Republic</t>
        </is>
      </c>
      <c r="B45" t="n">
        <v>52.98</v>
      </c>
      <c r="C45" t="n">
        <v>-5.8</v>
      </c>
      <c r="D45" t="n">
        <v>62.63</v>
      </c>
      <c r="E45" t="n">
        <v>94</v>
      </c>
      <c r="F45" t="n">
        <v>0.0333</v>
      </c>
      <c r="G45" t="n">
        <v>0.033</v>
      </c>
      <c r="H45" t="n">
        <v>-3.34</v>
      </c>
      <c r="I45" t="n">
        <v>4.4</v>
      </c>
      <c r="J45" t="n">
        <v>0.0823</v>
      </c>
      <c r="K45" t="n">
        <v>8</v>
      </c>
      <c r="L45" t="n">
        <v>0.03</v>
      </c>
      <c r="M45" t="n">
        <v>4.8</v>
      </c>
      <c r="N45" t="n">
        <v>0.076</v>
      </c>
      <c r="O45" t="n">
        <v>10.62</v>
      </c>
    </row>
    <row r="46">
      <c r="A46" t="inlineStr">
        <is>
          <t>East Timor</t>
        </is>
      </c>
      <c r="B46" t="n">
        <v/>
      </c>
      <c r="C46" t="n">
        <v>-11.6</v>
      </c>
      <c r="D46" t="n">
        <v/>
      </c>
      <c r="E46" t="n">
        <v>2</v>
      </c>
      <c r="F46" t="n">
        <v/>
      </c>
      <c r="G46" t="n">
        <v>0.029</v>
      </c>
      <c r="H46" t="n">
        <v>-4</v>
      </c>
      <c r="I46" t="n">
        <v>8.1</v>
      </c>
      <c r="J46" t="n">
        <v>0.053</v>
      </c>
      <c r="K46" t="n">
        <v/>
      </c>
      <c r="L46" t="n">
        <v/>
      </c>
      <c r="M46" t="n">
        <v>4.9</v>
      </c>
      <c r="N46" t="n">
        <v>0.0506</v>
      </c>
      <c r="O46" t="n">
        <v>1.32</v>
      </c>
    </row>
    <row r="47">
      <c r="A47" t="inlineStr">
        <is>
          <t>Ecuador</t>
        </is>
      </c>
      <c r="B47" t="n">
        <v>98.56</v>
      </c>
      <c r="C47" t="n">
        <v>2.2</v>
      </c>
      <c r="D47" t="n">
        <v>56</v>
      </c>
      <c r="E47" t="n">
        <v>106</v>
      </c>
      <c r="F47" t="n">
        <v>0.0234</v>
      </c>
      <c r="G47" t="n">
        <v>0.043</v>
      </c>
      <c r="H47" t="n">
        <v>-8.9</v>
      </c>
      <c r="I47" t="n">
        <v>1.97</v>
      </c>
      <c r="J47" t="n">
        <v>0.0184</v>
      </c>
      <c r="K47" t="n">
        <v>8.960000000000001</v>
      </c>
      <c r="L47" t="n">
        <v>0.09329999999999999</v>
      </c>
      <c r="M47" t="n">
        <v>4</v>
      </c>
      <c r="N47" t="n">
        <v>0.066</v>
      </c>
      <c r="O47" t="n">
        <v>17.8</v>
      </c>
    </row>
    <row r="48">
      <c r="A48" t="inlineStr">
        <is>
          <t>Egypt</t>
        </is>
      </c>
      <c r="B48" t="n">
        <v>15.64</v>
      </c>
      <c r="C48" t="n">
        <v>-3.7</v>
      </c>
      <c r="D48" t="n">
        <v>87.2</v>
      </c>
      <c r="E48" t="n">
        <v>404</v>
      </c>
      <c r="F48" t="n">
        <v>0.098</v>
      </c>
      <c r="G48" t="n">
        <v>0.039</v>
      </c>
      <c r="H48" t="n">
        <v>-6.8</v>
      </c>
      <c r="I48" t="n">
        <v>32.7</v>
      </c>
      <c r="J48" t="n">
        <v>0.05599999999999999</v>
      </c>
      <c r="K48" t="n">
        <v>18.25</v>
      </c>
      <c r="L48" t="n">
        <v>0.0825</v>
      </c>
      <c r="M48" t="n">
        <v>7.1</v>
      </c>
      <c r="N48" t="n">
        <v>0.075</v>
      </c>
      <c r="O48" t="n">
        <v>104.26</v>
      </c>
    </row>
    <row r="49">
      <c r="A49" t="inlineStr">
        <is>
          <t>El Salvador</t>
        </is>
      </c>
      <c r="B49" t="n">
        <v>98.56</v>
      </c>
      <c r="C49" t="n">
        <v>-8.300000000000001</v>
      </c>
      <c r="D49" t="n">
        <v>84.75</v>
      </c>
      <c r="E49" t="n">
        <v>32</v>
      </c>
      <c r="F49" t="n">
        <v>0.006999999999999999</v>
      </c>
      <c r="G49" t="n">
        <v>0.012</v>
      </c>
      <c r="H49" t="n">
        <v>-9.199999999999999</v>
      </c>
      <c r="I49" t="n">
        <v>4.42</v>
      </c>
      <c r="J49" t="n">
        <v>0.062</v>
      </c>
      <c r="K49" t="n">
        <v>5.02</v>
      </c>
      <c r="L49" t="n">
        <v>0.0401</v>
      </c>
      <c r="M49" t="n">
        <v>7.2</v>
      </c>
      <c r="N49" t="n">
        <v>0.06900000000000001</v>
      </c>
      <c r="O49" t="n">
        <v>6.31</v>
      </c>
    </row>
    <row r="50">
      <c r="A50" t="inlineStr">
        <is>
          <t>Equatorial Guinea</t>
        </is>
      </c>
      <c r="B50" t="n">
        <v>551.3200000000001</v>
      </c>
      <c r="C50" t="n">
        <v>0</v>
      </c>
      <c r="D50" t="n">
        <v>27.1</v>
      </c>
      <c r="E50" t="n">
        <v>12</v>
      </c>
      <c r="F50" t="n">
        <v/>
      </c>
      <c r="G50" t="n">
        <v>-0.032</v>
      </c>
      <c r="H50" t="n">
        <v>4.7</v>
      </c>
      <c r="I50" t="n">
        <v>2.9</v>
      </c>
      <c r="J50" t="n">
        <v>0.03</v>
      </c>
      <c r="K50" t="n">
        <v>5</v>
      </c>
      <c r="L50" t="n">
        <v>0.0325</v>
      </c>
      <c r="M50" t="n">
        <v>8.699999999999999</v>
      </c>
      <c r="N50" t="n">
        <v>0.092</v>
      </c>
      <c r="O50" t="n">
        <v>1.63</v>
      </c>
    </row>
    <row r="51">
      <c r="A51" t="inlineStr">
        <is>
          <t>Eritrea</t>
        </is>
      </c>
      <c r="B51" t="n">
        <v>15</v>
      </c>
      <c r="C51" t="n">
        <v>12.9</v>
      </c>
      <c r="D51" t="n">
        <v>163.8</v>
      </c>
      <c r="E51" t="n">
        <v>2</v>
      </c>
      <c r="F51" t="n">
        <v/>
      </c>
      <c r="G51" t="n">
        <v>0.047</v>
      </c>
      <c r="H51" t="n">
        <v>-1</v>
      </c>
      <c r="I51" t="n">
        <v>6.2</v>
      </c>
      <c r="J51" t="n">
        <v>0.047</v>
      </c>
      <c r="K51" t="n">
        <v/>
      </c>
      <c r="L51" t="n">
        <v/>
      </c>
      <c r="M51" t="n">
        <v>6.6</v>
      </c>
      <c r="N51" t="n">
        <v>0.07400000000000001</v>
      </c>
      <c r="O51" t="n">
        <v>3.21</v>
      </c>
    </row>
    <row r="52">
      <c r="A52" t="inlineStr">
        <is>
          <t>Estonia</t>
        </is>
      </c>
      <c r="B52" t="n">
        <v>1.11</v>
      </c>
      <c r="C52" t="n">
        <v>-2.2</v>
      </c>
      <c r="D52" t="n">
        <v>18.4</v>
      </c>
      <c r="E52" t="n">
        <v>37</v>
      </c>
      <c r="F52" t="n">
        <v>-0.006</v>
      </c>
      <c r="G52" t="n">
        <v>-0.032</v>
      </c>
      <c r="H52" t="n">
        <v>-0.9</v>
      </c>
      <c r="I52" t="n">
        <v>11.3</v>
      </c>
      <c r="J52" t="n">
        <v>0.08800000000000001</v>
      </c>
      <c r="K52" t="n">
        <v>4</v>
      </c>
      <c r="L52" t="n">
        <v>0</v>
      </c>
      <c r="M52" t="n">
        <v>5.3</v>
      </c>
      <c r="N52" t="n">
        <v>0.057</v>
      </c>
      <c r="O52" t="n">
        <v>1.33</v>
      </c>
    </row>
    <row r="53">
      <c r="A53" t="inlineStr">
        <is>
          <t>Ethiopia</t>
        </is>
      </c>
      <c r="B53" t="n">
        <v>31.69</v>
      </c>
      <c r="C53" t="n">
        <v>-4.3</v>
      </c>
      <c r="D53" t="n">
        <v>31.4</v>
      </c>
      <c r="E53" t="n">
        <v>111</v>
      </c>
      <c r="F53" t="n">
        <v/>
      </c>
      <c r="G53" t="n">
        <v>0.064</v>
      </c>
      <c r="H53" t="n">
        <v>-4</v>
      </c>
      <c r="I53" t="n">
        <v>30.8</v>
      </c>
      <c r="J53" t="n">
        <v>0.33</v>
      </c>
      <c r="K53" t="n">
        <v>7</v>
      </c>
      <c r="L53" t="n">
        <v>0.07000000000000001</v>
      </c>
      <c r="M53" t="n">
        <v>19.1</v>
      </c>
      <c r="N53" t="n">
        <v>0.191</v>
      </c>
      <c r="O53" t="n">
        <v>120.28</v>
      </c>
    </row>
    <row r="54">
      <c r="A54" t="inlineStr">
        <is>
          <t>Euro Area</t>
        </is>
      </c>
      <c r="B54" t="n">
        <v>1.11</v>
      </c>
      <c r="C54" t="n">
        <v>-1</v>
      </c>
      <c r="D54" t="n">
        <v>91.5</v>
      </c>
      <c r="E54" t="n">
        <v>14563</v>
      </c>
      <c r="F54" t="n">
        <v>-0.001</v>
      </c>
      <c r="G54" t="n">
        <v>0.01</v>
      </c>
      <c r="H54" t="n">
        <v>-3.6</v>
      </c>
      <c r="I54" t="n">
        <v>6.1</v>
      </c>
      <c r="J54" t="n">
        <v>0.049</v>
      </c>
      <c r="K54" t="n">
        <v>4</v>
      </c>
      <c r="L54" t="n">
        <v>0</v>
      </c>
      <c r="M54" t="n">
        <v>6.5</v>
      </c>
      <c r="N54" t="n">
        <v>0.073</v>
      </c>
      <c r="O54" t="n">
        <v>342.89</v>
      </c>
    </row>
    <row r="55">
      <c r="A55" t="inlineStr">
        <is>
          <t>Fiji</t>
        </is>
      </c>
      <c r="B55" t="n">
        <v>2.17</v>
      </c>
      <c r="C55" t="n">
        <v>-12.1</v>
      </c>
      <c r="D55" t="n">
        <v>91.09999999999999</v>
      </c>
      <c r="E55" t="n">
        <v>4</v>
      </c>
      <c r="F55" t="n">
        <v/>
      </c>
      <c r="G55" t="n">
        <v>0.156</v>
      </c>
      <c r="H55" t="n">
        <v>-12.2</v>
      </c>
      <c r="I55" t="n">
        <v>0.8</v>
      </c>
      <c r="J55" t="n">
        <v>0.008</v>
      </c>
      <c r="K55" t="n">
        <v>0.25</v>
      </c>
      <c r="L55" t="n">
        <v>0.0025</v>
      </c>
      <c r="M55" t="n">
        <v>4.3</v>
      </c>
      <c r="N55" t="n">
        <v>0.048</v>
      </c>
      <c r="O55" t="n">
        <v>0.9</v>
      </c>
    </row>
    <row r="56">
      <c r="A56" t="inlineStr">
        <is>
          <t>Finland</t>
        </is>
      </c>
      <c r="B56" t="n">
        <v>1.11</v>
      </c>
      <c r="C56" t="n">
        <v>-3.9</v>
      </c>
      <c r="D56" t="n">
        <v>73</v>
      </c>
      <c r="E56" t="n">
        <v>297</v>
      </c>
      <c r="F56" t="n">
        <v>0.002</v>
      </c>
      <c r="G56" t="n">
        <v>-0.004</v>
      </c>
      <c r="H56" t="n">
        <v>-0.9</v>
      </c>
      <c r="I56" t="n">
        <v>6.8</v>
      </c>
      <c r="J56" t="n">
        <v>0.03700000000000001</v>
      </c>
      <c r="K56" t="n">
        <v>4</v>
      </c>
      <c r="L56" t="n">
        <v>0</v>
      </c>
      <c r="M56" t="n">
        <v>9</v>
      </c>
      <c r="N56" t="n">
        <v>0.06</v>
      </c>
      <c r="O56" t="n">
        <v>5.56</v>
      </c>
    </row>
    <row r="57">
      <c r="A57" t="inlineStr">
        <is>
          <t>France</t>
        </is>
      </c>
      <c r="B57" t="n">
        <v>1.11</v>
      </c>
      <c r="C57" t="n">
        <v>-2.1</v>
      </c>
      <c r="D57" t="n">
        <v>111.6</v>
      </c>
      <c r="E57" t="n">
        <v>2958</v>
      </c>
      <c r="F57" t="n">
        <v>0.002</v>
      </c>
      <c r="G57" t="n">
        <v>0.009000000000000001</v>
      </c>
      <c r="H57" t="n">
        <v>-4.7</v>
      </c>
      <c r="I57" t="n">
        <v>5.1</v>
      </c>
      <c r="J57" t="n">
        <v>0.028</v>
      </c>
      <c r="K57" t="n">
        <v>4</v>
      </c>
      <c r="L57" t="n">
        <v>0</v>
      </c>
      <c r="M57" t="n">
        <v>7.1</v>
      </c>
      <c r="N57" t="n">
        <v>0.081</v>
      </c>
      <c r="O57" t="n">
        <v>67.84</v>
      </c>
    </row>
    <row r="58">
      <c r="A58" t="inlineStr">
        <is>
          <t>Gabon</t>
        </is>
      </c>
      <c r="B58" t="n">
        <v>551.3200000000001</v>
      </c>
      <c r="C58" t="n">
        <v>1.2</v>
      </c>
      <c r="D58" t="n">
        <v>54</v>
      </c>
      <c r="E58" t="n">
        <v>20</v>
      </c>
      <c r="F58" t="n">
        <v/>
      </c>
      <c r="G58" t="n">
        <v>0.015</v>
      </c>
      <c r="H58" t="n">
        <v>0.8</v>
      </c>
      <c r="I58" t="n">
        <v>5.4</v>
      </c>
      <c r="J58" t="n">
        <v>0.009000000000000001</v>
      </c>
      <c r="K58" t="n">
        <v>5</v>
      </c>
      <c r="L58" t="n">
        <v>0.0325</v>
      </c>
      <c r="M58" t="n">
        <v>21.5</v>
      </c>
      <c r="N58" t="n">
        <v>0.205</v>
      </c>
      <c r="O58" t="n">
        <v>2.34</v>
      </c>
    </row>
    <row r="59">
      <c r="A59" t="inlineStr">
        <is>
          <t>Gambia</t>
        </is>
      </c>
      <c r="B59" t="n">
        <v>51.35</v>
      </c>
      <c r="C59" t="n">
        <v>-5.3</v>
      </c>
      <c r="D59" t="n">
        <v>82.90000000000001</v>
      </c>
      <c r="E59" t="n">
        <v>2</v>
      </c>
      <c r="F59" t="n">
        <v/>
      </c>
      <c r="G59" t="n">
        <v>0.052</v>
      </c>
      <c r="H59" t="n">
        <v>-4.8</v>
      </c>
      <c r="I59" t="n">
        <v>17.37</v>
      </c>
      <c r="J59" t="n">
        <v>0.07339999999999999</v>
      </c>
      <c r="K59" t="n">
        <v>16</v>
      </c>
      <c r="L59" t="n">
        <v>0.1</v>
      </c>
      <c r="M59" t="n">
        <v>4.8</v>
      </c>
      <c r="N59" t="n">
        <v>0.096</v>
      </c>
      <c r="O59" t="n">
        <v>2.42</v>
      </c>
    </row>
    <row r="60">
      <c r="A60" t="inlineStr">
        <is>
          <t>Georgia</t>
        </is>
      </c>
      <c r="B60" t="n">
        <v>2.89</v>
      </c>
      <c r="C60" t="n">
        <v>-3.1</v>
      </c>
      <c r="D60" t="n">
        <v>41.3</v>
      </c>
      <c r="E60" t="n">
        <v>19</v>
      </c>
      <c r="F60" t="n">
        <v/>
      </c>
      <c r="G60" t="n">
        <v>0.077</v>
      </c>
      <c r="H60" t="n">
        <v>-3</v>
      </c>
      <c r="I60" t="n">
        <v>1.5</v>
      </c>
      <c r="J60" t="n">
        <v>0.125</v>
      </c>
      <c r="K60" t="n">
        <v>10.5</v>
      </c>
      <c r="L60" t="n">
        <v>0.105</v>
      </c>
      <c r="M60" t="n">
        <v>18</v>
      </c>
      <c r="N60" t="n">
        <v>0.185</v>
      </c>
      <c r="O60" t="n">
        <v>3.69</v>
      </c>
    </row>
    <row r="61" ht="16" customHeight="1" thickBot="1">
      <c r="A61" t="inlineStr">
        <is>
          <t>Germany</t>
        </is>
      </c>
      <c r="B61" t="n">
        <v>1.11</v>
      </c>
      <c r="C61" t="n">
        <v>4.2</v>
      </c>
      <c r="D61" t="n">
        <v>66.3</v>
      </c>
      <c r="E61" t="n">
        <v>4260</v>
      </c>
      <c r="F61" t="n">
        <v>-0.003</v>
      </c>
      <c r="G61" t="n">
        <v>-0.005</v>
      </c>
      <c r="H61" t="n">
        <v>-2.6</v>
      </c>
      <c r="I61" t="n">
        <v>6.1</v>
      </c>
      <c r="J61" t="n">
        <v>0.052</v>
      </c>
      <c r="K61" t="n">
        <v>4</v>
      </c>
      <c r="L61" t="n">
        <v>0</v>
      </c>
      <c r="M61" t="n">
        <v>5.6</v>
      </c>
      <c r="N61" t="n">
        <v>0.053</v>
      </c>
      <c r="O61" t="n">
        <v>84.40000000000001</v>
      </c>
    </row>
    <row r="62">
      <c r="A62" t="inlineStr">
        <is>
          <t>Ghana</t>
        </is>
      </c>
      <c r="B62" t="n">
        <v>5.88</v>
      </c>
      <c r="C62" t="n">
        <v>-3.2</v>
      </c>
      <c r="D62" t="n">
        <v>88.8</v>
      </c>
      <c r="E62" t="n">
        <v>78</v>
      </c>
      <c r="F62" t="n">
        <v>0.011</v>
      </c>
      <c r="G62" t="n">
        <v>0.042</v>
      </c>
      <c r="H62" t="n">
        <v>-10</v>
      </c>
      <c r="I62" t="n">
        <v>42.2</v>
      </c>
      <c r="J62" t="n">
        <v>0.122</v>
      </c>
      <c r="K62" t="n">
        <v>29.5</v>
      </c>
      <c r="L62" t="n">
        <v>0.145</v>
      </c>
      <c r="M62" t="n">
        <v>3.9</v>
      </c>
      <c r="N62" t="n">
        <v>0.045</v>
      </c>
      <c r="O62" t="n">
        <v>32.83</v>
      </c>
    </row>
    <row r="63" ht="16" customHeight="1" thickBot="1">
      <c r="A63" t="inlineStr">
        <is>
          <t>Greece</t>
        </is>
      </c>
      <c r="B63" t="n">
        <v>1.11</v>
      </c>
      <c r="C63" t="n">
        <v>-9.699999999999999</v>
      </c>
      <c r="D63" t="n">
        <v>171.4</v>
      </c>
      <c r="E63" t="n">
        <v>215</v>
      </c>
      <c r="F63" t="n">
        <v>-0.001</v>
      </c>
      <c r="G63" t="n">
        <v>0.021</v>
      </c>
      <c r="H63" t="n">
        <v>-2.3</v>
      </c>
      <c r="I63" t="n">
        <v>2.8</v>
      </c>
      <c r="J63" t="n">
        <v>0.048</v>
      </c>
      <c r="K63" t="n">
        <v>4</v>
      </c>
      <c r="L63" t="n">
        <v>0</v>
      </c>
      <c r="M63" t="n">
        <v>11.2</v>
      </c>
      <c r="N63" t="n">
        <v>0.133</v>
      </c>
      <c r="O63" t="n">
        <v>10.6</v>
      </c>
    </row>
    <row r="64">
      <c r="A64" t="inlineStr">
        <is>
          <t>Guatemala</t>
        </is>
      </c>
      <c r="B64" t="n">
        <v>7.7</v>
      </c>
      <c r="C64" t="n">
        <v>1.8</v>
      </c>
      <c r="D64" t="n">
        <v>29.95</v>
      </c>
      <c r="E64" t="n">
        <v>86</v>
      </c>
      <c r="F64" t="n">
        <v/>
      </c>
      <c r="G64" t="n">
        <v>0.035</v>
      </c>
      <c r="H64" t="n">
        <v>-1.2</v>
      </c>
      <c r="I64" t="n">
        <v>6.54</v>
      </c>
      <c r="J64" t="n">
        <v>0.0289</v>
      </c>
      <c r="K64" t="n">
        <v>5</v>
      </c>
      <c r="L64" t="n">
        <v>0.0175</v>
      </c>
      <c r="M64" t="n">
        <v>2.2</v>
      </c>
      <c r="N64" t="n">
        <v>0.02</v>
      </c>
      <c r="O64" t="n">
        <v>17.36</v>
      </c>
    </row>
    <row r="65" ht="16" customHeight="1" thickBot="1">
      <c r="A65" t="inlineStr">
        <is>
          <t>Guinea</t>
        </is>
      </c>
      <c r="B65" t="n">
        <v>9537</v>
      </c>
      <c r="C65" t="n">
        <v>28.83</v>
      </c>
      <c r="D65" t="n">
        <v>43.3</v>
      </c>
      <c r="E65" t="n">
        <v>16</v>
      </c>
      <c r="F65" t="n">
        <v/>
      </c>
      <c r="G65" t="n">
        <v>0.049</v>
      </c>
      <c r="H65" t="n">
        <v>-1.3</v>
      </c>
      <c r="I65" t="n">
        <v>8.27</v>
      </c>
      <c r="J65" t="n">
        <v>0.127</v>
      </c>
      <c r="K65" t="n">
        <v>11.5</v>
      </c>
      <c r="L65" t="n">
        <v>0.115</v>
      </c>
      <c r="M65" t="n">
        <v>5.7</v>
      </c>
      <c r="N65" t="n">
        <v>0.044</v>
      </c>
      <c r="O65" t="n">
        <v>13.26</v>
      </c>
    </row>
    <row r="66" ht="16" customHeight="1" thickBot="1">
      <c r="A66" t="inlineStr">
        <is>
          <t>Guinea Bissau</t>
        </is>
      </c>
      <c r="B66" t="n">
        <v/>
      </c>
      <c r="C66" t="n">
        <v>-1.1</v>
      </c>
      <c r="D66" t="n">
        <v>41.1</v>
      </c>
      <c r="E66" t="n">
        <v>2</v>
      </c>
      <c r="F66" t="n">
        <v/>
      </c>
      <c r="G66" t="n">
        <v>0.047</v>
      </c>
      <c r="H66" t="n">
        <v>-5.5</v>
      </c>
      <c r="I66" t="n">
        <v>10</v>
      </c>
      <c r="J66" t="n">
        <v>0.043</v>
      </c>
      <c r="K66" t="n">
        <v>5</v>
      </c>
      <c r="L66" t="n">
        <v>0.04</v>
      </c>
      <c r="M66" t="n">
        <v>3.6</v>
      </c>
      <c r="N66" t="n">
        <v>0.032</v>
      </c>
      <c r="O66" t="n">
        <v>2.06</v>
      </c>
    </row>
    <row r="67">
      <c r="A67" t="inlineStr">
        <is>
          <t>Guyana</t>
        </is>
      </c>
      <c r="B67" t="n">
        <v>209.34</v>
      </c>
      <c r="C67" t="n">
        <v>-25.5</v>
      </c>
      <c r="D67" t="n">
        <v>43.7</v>
      </c>
      <c r="E67" t="n">
        <v>8</v>
      </c>
      <c r="F67" t="n">
        <v/>
      </c>
      <c r="G67" t="n">
        <v>0.644</v>
      </c>
      <c r="H67" t="n">
        <v>-6.8</v>
      </c>
      <c r="I67" t="n">
        <v>3.33</v>
      </c>
      <c r="J67" t="n">
        <v>0.0599</v>
      </c>
      <c r="K67" t="n">
        <v>5</v>
      </c>
      <c r="L67" t="n">
        <v>0.05</v>
      </c>
      <c r="M67" t="n">
        <v>14.5</v>
      </c>
      <c r="N67" t="n">
        <v>0.158</v>
      </c>
      <c r="O67" t="n">
        <v>0.78</v>
      </c>
    </row>
    <row r="68">
      <c r="A68" t="inlineStr">
        <is>
          <t>Haiti</t>
        </is>
      </c>
      <c r="B68" t="n">
        <v>88.70999999999999</v>
      </c>
      <c r="C68" t="n">
        <v>-2.3</v>
      </c>
      <c r="D68" t="n">
        <v>23.1</v>
      </c>
      <c r="E68" t="n">
        <v>21</v>
      </c>
      <c r="F68" t="n">
        <v/>
      </c>
      <c r="G68" t="n">
        <v>-0.017</v>
      </c>
      <c r="H68" t="n">
        <v>0.66</v>
      </c>
      <c r="I68" t="n">
        <v>48.3</v>
      </c>
      <c r="J68" t="n">
        <v>0.1091</v>
      </c>
      <c r="K68" t="n">
        <v>17</v>
      </c>
      <c r="L68" t="n">
        <v>0.17</v>
      </c>
      <c r="M68" t="n">
        <v>14.8</v>
      </c>
      <c r="N68" t="n">
        <v>0.145</v>
      </c>
      <c r="O68" t="n">
        <v>11.91</v>
      </c>
    </row>
    <row r="69">
      <c r="A69" t="inlineStr">
        <is>
          <t>Honduras</t>
        </is>
      </c>
      <c r="B69" t="n">
        <v>24.6</v>
      </c>
      <c r="C69" t="n">
        <v>-3.4</v>
      </c>
      <c r="D69" t="n">
        <v>48.06</v>
      </c>
      <c r="E69" t="n">
        <v>28</v>
      </c>
      <c r="F69" t="n">
        <v>0.032</v>
      </c>
      <c r="G69" t="n">
        <v>0.032</v>
      </c>
      <c r="H69" t="n">
        <v>-6.9</v>
      </c>
      <c r="I69" t="n">
        <v>6.58</v>
      </c>
      <c r="J69" t="n">
        <v>0.0495</v>
      </c>
      <c r="K69" t="n">
        <v>3</v>
      </c>
      <c r="L69" t="n">
        <v>0.03</v>
      </c>
      <c r="M69" t="n">
        <v>8.699999999999999</v>
      </c>
      <c r="N69" t="n">
        <v>0.109</v>
      </c>
      <c r="O69" t="n">
        <v>9.449999999999999</v>
      </c>
    </row>
    <row r="70" ht="16" customHeight="1" thickBot="1">
      <c r="A70" t="inlineStr">
        <is>
          <t>Hong Kong</t>
        </is>
      </c>
      <c r="B70" t="n">
        <v>7.83</v>
      </c>
      <c r="C70" t="n">
        <v>10.7</v>
      </c>
      <c r="D70" t="n">
        <v>38.4</v>
      </c>
      <c r="E70" t="n">
        <v>368</v>
      </c>
      <c r="F70" t="n">
        <v>0.053</v>
      </c>
      <c r="G70" t="n">
        <v>0.027</v>
      </c>
      <c r="H70" t="n">
        <v>-5</v>
      </c>
      <c r="I70" t="n">
        <v>2</v>
      </c>
      <c r="J70" t="n">
        <v>0.018</v>
      </c>
      <c r="K70" t="n">
        <v>5.5</v>
      </c>
      <c r="L70" t="n">
        <v>0.0086</v>
      </c>
      <c r="M70" t="n">
        <v>3</v>
      </c>
      <c r="N70" t="n">
        <v>0.04099999999999999</v>
      </c>
      <c r="O70" t="n">
        <v>7.35</v>
      </c>
    </row>
    <row r="71">
      <c r="A71" t="inlineStr">
        <is>
          <t>Hungary</t>
        </is>
      </c>
      <c r="B71" t="n">
        <v>302.98</v>
      </c>
      <c r="C71" t="n">
        <v>-8.199999999999999</v>
      </c>
      <c r="D71" t="n">
        <v>73.3</v>
      </c>
      <c r="E71" t="n">
        <v>182</v>
      </c>
      <c r="F71" t="n">
        <v>-0.003</v>
      </c>
      <c r="G71" t="n">
        <v>-0.009000000000000001</v>
      </c>
      <c r="H71" t="n">
        <v>-6.2</v>
      </c>
      <c r="I71" t="n">
        <v>21.5</v>
      </c>
      <c r="J71" t="n">
        <v>0.07400000000000001</v>
      </c>
      <c r="K71" t="n">
        <v>16</v>
      </c>
      <c r="L71" t="n">
        <v>0.024</v>
      </c>
      <c r="M71" t="n">
        <v>3.9</v>
      </c>
      <c r="N71" t="n">
        <v>0.038</v>
      </c>
      <c r="O71" t="n">
        <v>9.69</v>
      </c>
    </row>
    <row r="72" ht="16" customHeight="1" thickBot="1">
      <c r="A72" t="inlineStr">
        <is>
          <t>Iceland</t>
        </is>
      </c>
      <c r="B72" t="n">
        <v>124.24</v>
      </c>
      <c r="C72" t="n">
        <v>-1.5</v>
      </c>
      <c r="D72" t="n">
        <v>68.7</v>
      </c>
      <c r="E72" t="n">
        <v>26</v>
      </c>
      <c r="F72" t="n">
        <v>0.003</v>
      </c>
      <c r="G72" t="n">
        <v>0.07000000000000001</v>
      </c>
      <c r="H72" t="n">
        <v>-4.3</v>
      </c>
      <c r="I72" t="n">
        <v>9.5</v>
      </c>
      <c r="J72" t="n">
        <v>0.051</v>
      </c>
      <c r="K72" t="n">
        <v>8.75</v>
      </c>
      <c r="L72" t="n">
        <v>0.02</v>
      </c>
      <c r="M72" t="n">
        <v>3.4</v>
      </c>
      <c r="N72" t="n">
        <v>0.042</v>
      </c>
      <c r="O72" t="n">
        <v>0.38</v>
      </c>
    </row>
    <row r="73" ht="16" customHeight="1" thickBot="1">
      <c r="A73" t="inlineStr">
        <is>
          <t>India</t>
        </is>
      </c>
      <c r="B73" t="n">
        <v>71.01000000000001</v>
      </c>
      <c r="C73" t="n">
        <v>-2.6</v>
      </c>
      <c r="D73" t="n">
        <v>89.26000000000001</v>
      </c>
      <c r="E73" t="n">
        <v>3176</v>
      </c>
      <c r="F73" t="n">
        <v>0.019</v>
      </c>
      <c r="G73" t="n">
        <v>0.061</v>
      </c>
      <c r="H73" t="n">
        <v>-6.44</v>
      </c>
      <c r="I73" t="n">
        <v>4.25</v>
      </c>
      <c r="J73" t="n">
        <v>0.0491</v>
      </c>
      <c r="K73" t="n">
        <v>6.5</v>
      </c>
      <c r="L73" t="n">
        <v>0.04</v>
      </c>
      <c r="M73" t="n">
        <v>7.8</v>
      </c>
      <c r="N73" t="n">
        <v>0.06900000000000001</v>
      </c>
      <c r="O73" t="n">
        <v>1373.76</v>
      </c>
    </row>
    <row r="74">
      <c r="A74" t="inlineStr">
        <is>
          <t>Indonesia</t>
        </is>
      </c>
      <c r="B74" t="n">
        <v>14462</v>
      </c>
      <c r="C74" t="n">
        <v>1</v>
      </c>
      <c r="D74" t="n">
        <v>40.9</v>
      </c>
      <c r="E74" t="n">
        <v>1186</v>
      </c>
      <c r="F74" t="n">
        <v>-0.0092</v>
      </c>
      <c r="G74" t="n">
        <v>0.0503</v>
      </c>
      <c r="H74" t="n">
        <v>-2.38</v>
      </c>
      <c r="I74" t="n">
        <v>4</v>
      </c>
      <c r="J74" t="n">
        <v>0.0175</v>
      </c>
      <c r="K74" t="n">
        <v>5.75</v>
      </c>
      <c r="L74" t="n">
        <v>0.035</v>
      </c>
      <c r="M74" t="n">
        <v>5.45</v>
      </c>
      <c r="N74" t="n">
        <v>0.0649</v>
      </c>
      <c r="O74" t="n">
        <v>275.8</v>
      </c>
    </row>
    <row r="75">
      <c r="A75" t="inlineStr">
        <is>
          <t>Iran</t>
        </is>
      </c>
      <c r="B75" t="n">
        <v>42000</v>
      </c>
      <c r="C75" t="n">
        <v>4.7</v>
      </c>
      <c r="D75" t="n">
        <v>34</v>
      </c>
      <c r="E75" t="n">
        <v>232</v>
      </c>
      <c r="F75" t="n">
        <v/>
      </c>
      <c r="G75" t="n">
        <v>0.036</v>
      </c>
      <c r="H75" t="n">
        <v>-4</v>
      </c>
      <c r="I75" t="n">
        <v>54.6</v>
      </c>
      <c r="J75" t="n">
        <v>0.357</v>
      </c>
      <c r="K75" t="n">
        <v>18</v>
      </c>
      <c r="L75" t="n">
        <v>0.18</v>
      </c>
      <c r="M75" t="n">
        <v>9.699999999999999</v>
      </c>
      <c r="N75" t="n">
        <v>0.096</v>
      </c>
      <c r="O75" t="n">
        <v>84.09999999999999</v>
      </c>
    </row>
    <row r="76">
      <c r="A76" t="inlineStr">
        <is>
          <t>Iraq</t>
        </is>
      </c>
      <c r="B76" t="n">
        <v>1193.81</v>
      </c>
      <c r="C76" t="n">
        <v>16.3</v>
      </c>
      <c r="D76" t="n">
        <v>36.7</v>
      </c>
      <c r="E76" t="n">
        <v>208</v>
      </c>
      <c r="F76" t="n">
        <v/>
      </c>
      <c r="G76" t="n">
        <v>0.036</v>
      </c>
      <c r="H76" t="n">
        <v>-0.8</v>
      </c>
      <c r="I76" t="n">
        <v>4</v>
      </c>
      <c r="J76" t="n">
        <v>0.068</v>
      </c>
      <c r="K76" t="n">
        <v>4</v>
      </c>
      <c r="L76" t="n">
        <v>0.04</v>
      </c>
      <c r="M76" t="n">
        <v>15.55</v>
      </c>
      <c r="N76" t="n">
        <v>0.1374</v>
      </c>
      <c r="O76" t="n">
        <v>43.53</v>
      </c>
    </row>
    <row r="77" ht="16" customHeight="1" thickBot="1">
      <c r="A77" t="inlineStr">
        <is>
          <t>Ireland</t>
        </is>
      </c>
      <c r="B77" t="n">
        <v>1.11</v>
      </c>
      <c r="C77" t="n">
        <v>8.800000000000001</v>
      </c>
      <c r="D77" t="n">
        <v>44.7</v>
      </c>
      <c r="E77" t="n">
        <v>504</v>
      </c>
      <c r="F77" t="n">
        <v>-0.046</v>
      </c>
      <c r="G77" t="n">
        <v>-0.002</v>
      </c>
      <c r="H77" t="n">
        <v>1.6</v>
      </c>
      <c r="I77" t="n">
        <v>6.6</v>
      </c>
      <c r="J77" t="n">
        <v>0.053</v>
      </c>
      <c r="K77" t="n">
        <v>4</v>
      </c>
      <c r="L77" t="n">
        <v>0</v>
      </c>
      <c r="M77" t="n">
        <v>3.8</v>
      </c>
      <c r="N77" t="n">
        <v>0.052</v>
      </c>
      <c r="O77" t="n">
        <v>5.15</v>
      </c>
    </row>
    <row r="78">
      <c r="A78" t="inlineStr">
        <is>
          <t>Israel</t>
        </is>
      </c>
      <c r="B78" t="n">
        <v>3.28</v>
      </c>
      <c r="C78" t="n">
        <v>2.5</v>
      </c>
      <c r="D78" t="n">
        <v>60.9</v>
      </c>
      <c r="E78" t="n">
        <v>489</v>
      </c>
      <c r="F78" t="n">
        <v>0.0077</v>
      </c>
      <c r="G78" t="n">
        <v>0.0414</v>
      </c>
      <c r="H78" t="n">
        <v>0.6</v>
      </c>
      <c r="I78" t="n">
        <v>4.6</v>
      </c>
      <c r="J78" t="n">
        <v>0.024</v>
      </c>
      <c r="K78" t="n">
        <v>4.75</v>
      </c>
      <c r="L78" t="n">
        <v>0.001</v>
      </c>
      <c r="M78" t="n">
        <v>3.6</v>
      </c>
      <c r="N78" t="n">
        <v>0.05</v>
      </c>
      <c r="O78" t="n">
        <v>9.449999999999999</v>
      </c>
    </row>
    <row r="79">
      <c r="A79" t="inlineStr">
        <is>
          <t>Italy</t>
        </is>
      </c>
      <c r="B79" t="n">
        <v>1.11</v>
      </c>
      <c r="C79" t="n">
        <v>-1.3</v>
      </c>
      <c r="D79" t="n">
        <v>144.7</v>
      </c>
      <c r="E79" t="n">
        <v>2108</v>
      </c>
      <c r="F79" t="n">
        <v>0.006</v>
      </c>
      <c r="G79" t="n">
        <v>0.019</v>
      </c>
      <c r="H79" t="n">
        <v>-8</v>
      </c>
      <c r="I79" t="n">
        <v>7.6</v>
      </c>
      <c r="J79" t="n">
        <v>0.03700000000000001</v>
      </c>
      <c r="K79" t="n">
        <v>4</v>
      </c>
      <c r="L79" t="n">
        <v>0</v>
      </c>
      <c r="M79" t="n">
        <v>7.8</v>
      </c>
      <c r="N79" t="n">
        <v>0.094</v>
      </c>
      <c r="O79" t="n">
        <v>58.98</v>
      </c>
    </row>
    <row r="80" ht="16" customHeight="1" thickBot="1">
      <c r="A80" t="inlineStr">
        <is>
          <t>Ivory Coast</t>
        </is>
      </c>
      <c r="B80" t="n">
        <v>588.96</v>
      </c>
      <c r="C80" t="n">
        <v>-4.2</v>
      </c>
      <c r="D80" t="n">
        <v>51.4</v>
      </c>
      <c r="E80" t="n">
        <v>70</v>
      </c>
      <c r="F80" t="n">
        <v/>
      </c>
      <c r="G80" t="n">
        <v>0.05400000000000001</v>
      </c>
      <c r="H80" t="n">
        <v>-6.7</v>
      </c>
      <c r="I80" t="n">
        <v>4.8</v>
      </c>
      <c r="J80" t="n">
        <v>0.045</v>
      </c>
      <c r="K80" t="n">
        <v>5</v>
      </c>
      <c r="L80" t="n">
        <v>0.04</v>
      </c>
      <c r="M80" t="n">
        <v>2.6</v>
      </c>
      <c r="N80" t="n">
        <v>0.035</v>
      </c>
      <c r="O80" t="n">
        <v>29.39</v>
      </c>
    </row>
    <row r="81" ht="16" customHeight="1" thickBot="1">
      <c r="A81" t="inlineStr">
        <is>
          <t>Jamaica</t>
        </is>
      </c>
      <c r="B81" t="n">
        <v>133.91</v>
      </c>
      <c r="C81" t="n">
        <v>-3.2</v>
      </c>
      <c r="D81" t="n">
        <v>86.2</v>
      </c>
      <c r="E81" t="n">
        <v>15</v>
      </c>
      <c r="F81" t="n">
        <v>0.003</v>
      </c>
      <c r="G81" t="n">
        <v>0.038</v>
      </c>
      <c r="H81" t="n">
        <v>0.3</v>
      </c>
      <c r="I81" t="n">
        <v>6.1</v>
      </c>
      <c r="J81" t="n">
        <v>0.08500000000000001</v>
      </c>
      <c r="K81" t="n">
        <v>7</v>
      </c>
      <c r="L81" t="n">
        <v>0.025</v>
      </c>
      <c r="M81" t="n">
        <v>6.6</v>
      </c>
      <c r="N81" t="n">
        <v>0.08500000000000001</v>
      </c>
      <c r="O81" t="n">
        <v>2.83</v>
      </c>
    </row>
    <row r="82" ht="16" customHeight="1" thickBot="1">
      <c r="A82" t="inlineStr">
        <is>
          <t>Japan</t>
        </is>
      </c>
      <c r="B82" t="n">
        <v>108.19</v>
      </c>
      <c r="C82" t="n">
        <v>1.9</v>
      </c>
      <c r="D82" t="n">
        <v>263.9</v>
      </c>
      <c r="E82" t="n">
        <v>4941</v>
      </c>
      <c r="F82" t="n">
        <v>0.006999999999999999</v>
      </c>
      <c r="G82" t="n">
        <v>0.013</v>
      </c>
      <c r="H82" t="n">
        <v>-6.4</v>
      </c>
      <c r="I82" t="n">
        <v>3.2</v>
      </c>
      <c r="J82" t="n">
        <v>0.001</v>
      </c>
      <c r="K82" t="n">
        <v>-0.1</v>
      </c>
      <c r="L82" t="n">
        <v>-0.001</v>
      </c>
      <c r="M82" t="n">
        <v>2.6</v>
      </c>
      <c r="N82" t="n">
        <v>0.027</v>
      </c>
      <c r="O82" t="n">
        <v>124.95</v>
      </c>
    </row>
    <row r="83">
      <c r="A83" t="inlineStr">
        <is>
          <t>Jordan</t>
        </is>
      </c>
      <c r="B83" t="n">
        <v>0.71</v>
      </c>
      <c r="C83" t="n">
        <v>-6.7</v>
      </c>
      <c r="D83" t="n">
        <v>89.40000000000001</v>
      </c>
      <c r="E83" t="n">
        <v>46</v>
      </c>
      <c r="F83" t="n">
        <v/>
      </c>
      <c r="G83" t="n">
        <v>0.02</v>
      </c>
      <c r="H83" t="n">
        <v>-4.6</v>
      </c>
      <c r="I83" t="n">
        <v>1.97</v>
      </c>
      <c r="J83" t="n">
        <v>0.017</v>
      </c>
      <c r="K83" t="n">
        <v>7.25</v>
      </c>
      <c r="L83" t="n">
        <v>0.025</v>
      </c>
      <c r="M83" t="n">
        <v>21.9</v>
      </c>
      <c r="N83" t="n">
        <v>0.232</v>
      </c>
      <c r="O83" t="n">
        <v>11.3</v>
      </c>
    </row>
    <row r="84">
      <c r="A84" t="inlineStr">
        <is>
          <t>Kazakhstan</t>
        </is>
      </c>
      <c r="B84" t="n">
        <v>427.38</v>
      </c>
      <c r="C84" t="n">
        <v>3</v>
      </c>
      <c r="D84" t="n">
        <v>24.4</v>
      </c>
      <c r="E84" t="n">
        <v>197</v>
      </c>
      <c r="F84" t="n">
        <v>0.0126</v>
      </c>
      <c r="G84" t="n">
        <v>0.049</v>
      </c>
      <c r="H84" t="n">
        <v>-2.3</v>
      </c>
      <c r="I84" t="n">
        <v>15.9</v>
      </c>
      <c r="J84" t="n">
        <v>0.08699999999999999</v>
      </c>
      <c r="K84" t="n">
        <v>16.75</v>
      </c>
      <c r="L84" t="n">
        <v>0.0975</v>
      </c>
      <c r="M84" t="n">
        <v>4.8</v>
      </c>
      <c r="N84" t="n">
        <v>0.049</v>
      </c>
      <c r="O84" t="n">
        <v>19.77</v>
      </c>
    </row>
    <row r="85">
      <c r="A85" t="inlineStr">
        <is>
          <t>Kenya</t>
        </is>
      </c>
      <c r="B85" t="n">
        <v>107.9</v>
      </c>
      <c r="C85" t="n">
        <v>-4.9</v>
      </c>
      <c r="D85" t="n">
        <v>67.3</v>
      </c>
      <c r="E85" t="n">
        <v>110</v>
      </c>
      <c r="F85" t="n">
        <v>0.019</v>
      </c>
      <c r="G85" t="n">
        <v>0.038</v>
      </c>
      <c r="H85" t="n">
        <v>-5.7</v>
      </c>
      <c r="I85" t="n">
        <v>8</v>
      </c>
      <c r="J85" t="n">
        <v>0.058</v>
      </c>
      <c r="K85" t="n">
        <v>9.5</v>
      </c>
      <c r="L85" t="n">
        <v>0.07000000000000001</v>
      </c>
      <c r="M85" t="n">
        <v>4.9</v>
      </c>
      <c r="N85" t="n">
        <v>0.066</v>
      </c>
      <c r="O85" t="n">
        <v>50.6</v>
      </c>
    </row>
    <row r="86">
      <c r="A86" t="inlineStr">
        <is>
          <t>Kosovo</t>
        </is>
      </c>
      <c r="B86" t="n">
        <v>462.8</v>
      </c>
      <c r="C86" t="n">
        <v>-10.8</v>
      </c>
      <c r="D86" t="n">
        <v>20.74</v>
      </c>
      <c r="E86" t="n">
        <v>9</v>
      </c>
      <c r="F86" t="n">
        <v/>
      </c>
      <c r="G86" t="n">
        <v>0.0391</v>
      </c>
      <c r="H86" t="n">
        <v>-0.9</v>
      </c>
      <c r="I86" t="n">
        <v>5.5</v>
      </c>
      <c r="J86" t="n">
        <v>0.06900000000000001</v>
      </c>
      <c r="K86" t="n">
        <v/>
      </c>
      <c r="L86" t="n">
        <v/>
      </c>
      <c r="M86" t="n">
        <v>20.7</v>
      </c>
      <c r="N86" t="n">
        <v>0.258</v>
      </c>
      <c r="O86" t="n">
        <v>1.8</v>
      </c>
    </row>
    <row r="87">
      <c r="A87" t="inlineStr">
        <is>
          <t>Kuwait</t>
        </is>
      </c>
      <c r="B87" t="n">
        <v>0.3</v>
      </c>
      <c r="C87" t="n">
        <v>28.5</v>
      </c>
      <c r="D87" t="n">
        <v>7.1</v>
      </c>
      <c r="E87" t="n">
        <v>106</v>
      </c>
      <c r="F87" t="n">
        <v>0.047</v>
      </c>
      <c r="G87" t="n">
        <v>0.013</v>
      </c>
      <c r="H87" t="n">
        <v>-0.5</v>
      </c>
      <c r="I87" t="n">
        <v>3.69</v>
      </c>
      <c r="J87" t="n">
        <v>0.0336</v>
      </c>
      <c r="K87" t="n">
        <v>4</v>
      </c>
      <c r="L87" t="n">
        <v>0.015</v>
      </c>
      <c r="M87" t="n">
        <v>2.5</v>
      </c>
      <c r="N87" t="n">
        <v>0.023</v>
      </c>
      <c r="O87" t="n">
        <v>4.22</v>
      </c>
    </row>
    <row r="88">
      <c r="A88" t="inlineStr">
        <is>
          <t>Kyrgyzstan</t>
        </is>
      </c>
      <c r="B88" t="n">
        <v>69.98999999999999</v>
      </c>
      <c r="C88" t="n">
        <v>-26.8</v>
      </c>
      <c r="D88" t="n">
        <v>60.3</v>
      </c>
      <c r="E88" t="n">
        <v>9</v>
      </c>
      <c r="F88" t="n">
        <v/>
      </c>
      <c r="G88" t="n">
        <v>0.046</v>
      </c>
      <c r="H88" t="n">
        <v>-0.2</v>
      </c>
      <c r="I88" t="n">
        <v>11.3</v>
      </c>
      <c r="J88" t="n">
        <v>0.123</v>
      </c>
      <c r="K88" t="n">
        <v>13</v>
      </c>
      <c r="L88" t="n">
        <v>0.08</v>
      </c>
      <c r="M88" t="n">
        <v>2.8</v>
      </c>
      <c r="N88" t="n">
        <v>0.031</v>
      </c>
      <c r="O88" t="n">
        <v>6.7</v>
      </c>
    </row>
    <row r="89" ht="16" customHeight="1" thickBot="1">
      <c r="A89" t="inlineStr">
        <is>
          <t>Laos</t>
        </is>
      </c>
      <c r="B89" t="n">
        <v>9485</v>
      </c>
      <c r="C89" t="n">
        <v>2.35</v>
      </c>
      <c r="D89" t="n">
        <v>53.81</v>
      </c>
      <c r="E89" t="n">
        <v>19</v>
      </c>
      <c r="F89" t="n">
        <v/>
      </c>
      <c r="G89" t="n">
        <v>0.035</v>
      </c>
      <c r="H89" t="n">
        <v>-1.3</v>
      </c>
      <c r="I89" t="n">
        <v>38.86</v>
      </c>
      <c r="J89" t="n">
        <v>0.0472</v>
      </c>
      <c r="K89" t="n">
        <v>7.5</v>
      </c>
      <c r="L89" t="n">
        <v>0.03</v>
      </c>
      <c r="M89" t="n">
        <v>2.6</v>
      </c>
      <c r="N89" t="n">
        <v>0.01</v>
      </c>
      <c r="O89" t="n">
        <v>7.34</v>
      </c>
    </row>
    <row r="90">
      <c r="A90" t="inlineStr">
        <is>
          <t>Latvia</t>
        </is>
      </c>
      <c r="B90" t="n">
        <v>1.11</v>
      </c>
      <c r="C90" t="n">
        <v>-6.4</v>
      </c>
      <c r="D90" t="n">
        <v>40.8</v>
      </c>
      <c r="E90" t="n">
        <v>40</v>
      </c>
      <c r="F90" t="n">
        <v>0.006</v>
      </c>
      <c r="G90" t="n">
        <v>0.008</v>
      </c>
      <c r="H90" t="n">
        <v>-4.4</v>
      </c>
      <c r="I90" t="n">
        <v>12.1</v>
      </c>
      <c r="J90" t="n">
        <v>0.075</v>
      </c>
      <c r="K90" t="n">
        <v>4</v>
      </c>
      <c r="L90" t="n">
        <v>0</v>
      </c>
      <c r="M90" t="n">
        <v>6.4</v>
      </c>
      <c r="N90" t="n">
        <v>0.07200000000000001</v>
      </c>
      <c r="O90" t="n">
        <v>1.88</v>
      </c>
    </row>
    <row r="91">
      <c r="A91" t="inlineStr">
        <is>
          <t>Lebanon</t>
        </is>
      </c>
      <c r="B91" t="n">
        <v>1512</v>
      </c>
      <c r="C91" t="n">
        <v>-12.9</v>
      </c>
      <c r="D91" t="n">
        <v>171.7</v>
      </c>
      <c r="E91" t="n">
        <v>23</v>
      </c>
      <c r="F91" t="n">
        <v/>
      </c>
      <c r="G91" t="n">
        <v>-0.07000000000000001</v>
      </c>
      <c r="H91" t="n">
        <v>-3.5</v>
      </c>
      <c r="I91" t="n">
        <v>260.22</v>
      </c>
      <c r="J91" t="n">
        <v>2.0107</v>
      </c>
      <c r="K91" t="n">
        <v>7.75</v>
      </c>
      <c r="L91" t="n">
        <v>0.1</v>
      </c>
      <c r="M91" t="n">
        <v>12.6</v>
      </c>
      <c r="N91" t="n">
        <v>0.066</v>
      </c>
      <c r="O91" t="n">
        <v>5.6</v>
      </c>
    </row>
    <row r="92" ht="16" customHeight="1" thickBot="1">
      <c r="A92" t="inlineStr">
        <is>
          <t>Lesotho</t>
        </is>
      </c>
      <c r="B92" t="n">
        <v>14.36</v>
      </c>
      <c r="C92" t="n">
        <v>-3.8</v>
      </c>
      <c r="D92" t="n">
        <v>52.1</v>
      </c>
      <c r="E92" t="n">
        <v>3</v>
      </c>
      <c r="F92" t="n">
        <v>-0.017</v>
      </c>
      <c r="G92" t="n">
        <v>-0.0401</v>
      </c>
      <c r="H92" t="n">
        <v>-4.6</v>
      </c>
      <c r="I92" t="n">
        <v>6.7</v>
      </c>
      <c r="J92" t="n">
        <v>0.05400000000000001</v>
      </c>
      <c r="K92" t="n">
        <v>7.5</v>
      </c>
      <c r="L92" t="n">
        <v>0.035</v>
      </c>
      <c r="M92" t="n">
        <v>18</v>
      </c>
      <c r="N92" t="n">
        <v>0.247</v>
      </c>
      <c r="O92" t="n">
        <v>2.28</v>
      </c>
    </row>
    <row r="93" ht="16" customHeight="1" thickBot="1">
      <c r="A93" t="inlineStr">
        <is>
          <t>Liberia</t>
        </is>
      </c>
      <c r="B93" t="n">
        <v>186.3</v>
      </c>
      <c r="C93" t="n">
        <v>-15.8</v>
      </c>
      <c r="D93" t="n">
        <v>51.3</v>
      </c>
      <c r="E93" t="n">
        <v>4</v>
      </c>
      <c r="F93" t="n">
        <v/>
      </c>
      <c r="G93" t="n">
        <v>0.048</v>
      </c>
      <c r="H93" t="n">
        <v>-6.9</v>
      </c>
      <c r="I93" t="n">
        <v>6.1</v>
      </c>
      <c r="J93" t="n">
        <v>0.07000000000000001</v>
      </c>
      <c r="K93" t="n">
        <v>17.5</v>
      </c>
      <c r="L93" t="n">
        <v>0.2</v>
      </c>
      <c r="M93" t="n">
        <v>3.6</v>
      </c>
      <c r="N93" t="n">
        <v>0.027</v>
      </c>
      <c r="O93" t="n">
        <v>5.19</v>
      </c>
    </row>
    <row r="94">
      <c r="A94" t="inlineStr">
        <is>
          <t>Libya</t>
        </is>
      </c>
      <c r="B94" t="n">
        <v>1.39</v>
      </c>
      <c r="C94" t="n">
        <v>13.3</v>
      </c>
      <c r="D94" t="n">
        <v>155</v>
      </c>
      <c r="E94" t="n">
        <v>43</v>
      </c>
      <c r="F94" t="n">
        <v/>
      </c>
      <c r="G94" t="n">
        <v>1.77</v>
      </c>
      <c r="H94" t="n">
        <v>3.1</v>
      </c>
      <c r="I94" t="n">
        <v>4.1</v>
      </c>
      <c r="J94" t="n">
        <v>0.0208</v>
      </c>
      <c r="K94" t="n">
        <v>3</v>
      </c>
      <c r="L94" t="n">
        <v>0.03</v>
      </c>
      <c r="M94" t="n">
        <v>20.7</v>
      </c>
      <c r="N94" t="n">
        <v>0.1863</v>
      </c>
      <c r="O94" t="n">
        <v>6.74</v>
      </c>
    </row>
    <row r="95" ht="16" customHeight="1" thickBot="1">
      <c r="A95" t="inlineStr">
        <is>
          <t>Liechtenstein</t>
        </is>
      </c>
      <c r="B95" t="n">
        <v>0.92</v>
      </c>
      <c r="C95" t="n">
        <v/>
      </c>
      <c r="D95" t="n">
        <v/>
      </c>
      <c r="E95" t="n">
        <v>6</v>
      </c>
      <c r="F95" t="n">
        <v/>
      </c>
      <c r="G95" t="n">
        <v>0.092</v>
      </c>
      <c r="H95" t="n">
        <v/>
      </c>
      <c r="I95" t="n">
        <v>2.2</v>
      </c>
      <c r="J95" t="n">
        <v>0.009000000000000001</v>
      </c>
      <c r="K95" t="n">
        <v/>
      </c>
      <c r="L95" t="n">
        <v/>
      </c>
      <c r="M95" t="n">
        <v>1.3</v>
      </c>
      <c r="N95" t="n">
        <v>0.019</v>
      </c>
      <c r="O95" t="n">
        <v>0.04</v>
      </c>
    </row>
    <row r="96">
      <c r="A96" t="inlineStr">
        <is>
          <t>Lithuania</t>
        </is>
      </c>
      <c r="B96" t="n">
        <v>1.11</v>
      </c>
      <c r="C96" t="n">
        <v>-5.1</v>
      </c>
      <c r="D96" t="n">
        <v>38.4</v>
      </c>
      <c r="E96" t="n">
        <v>66</v>
      </c>
      <c r="F96" t="n">
        <v>-0.021</v>
      </c>
      <c r="G96" t="n">
        <v>-0.025</v>
      </c>
      <c r="H96" t="n">
        <v>-0.6</v>
      </c>
      <c r="I96" t="n">
        <v>11.7</v>
      </c>
      <c r="J96" t="n">
        <v>0.092</v>
      </c>
      <c r="K96" t="n">
        <v>4</v>
      </c>
      <c r="L96" t="n">
        <v>0</v>
      </c>
      <c r="M96" t="n">
        <v>8.300000000000001</v>
      </c>
      <c r="N96" t="n">
        <v>0.109</v>
      </c>
      <c r="O96" t="n">
        <v>2.81</v>
      </c>
    </row>
    <row r="97">
      <c r="A97" t="inlineStr">
        <is>
          <t>Luxembourg</t>
        </is>
      </c>
      <c r="B97" t="n">
        <v>1.11</v>
      </c>
      <c r="C97" t="n">
        <v>5</v>
      </c>
      <c r="D97" t="n">
        <v>24.5</v>
      </c>
      <c r="E97" t="n">
        <v>86</v>
      </c>
      <c r="F97" t="n">
        <v>0.02</v>
      </c>
      <c r="G97" t="n">
        <v>-0.004</v>
      </c>
      <c r="H97" t="n">
        <v>0.2</v>
      </c>
      <c r="I97" t="n">
        <v>3.6</v>
      </c>
      <c r="J97" t="n">
        <v>0.045</v>
      </c>
      <c r="K97" t="n">
        <v>4</v>
      </c>
      <c r="L97" t="n">
        <v>0</v>
      </c>
      <c r="M97" t="n">
        <v>5</v>
      </c>
      <c r="N97" t="n">
        <v>0.053</v>
      </c>
      <c r="O97" t="n">
        <v>0.65</v>
      </c>
    </row>
    <row r="98">
      <c r="A98" t="inlineStr">
        <is>
          <t>Macau</t>
        </is>
      </c>
      <c r="B98" t="n">
        <v>8.029999999999999</v>
      </c>
      <c r="C98" t="n">
        <v>-2.4</v>
      </c>
      <c r="D98" t="n">
        <v/>
      </c>
      <c r="E98" t="n">
        <v>30</v>
      </c>
      <c r="F98" t="n">
        <v/>
      </c>
      <c r="G98" t="n">
        <v>0.388</v>
      </c>
      <c r="H98" t="n">
        <v/>
      </c>
      <c r="I98" t="n">
        <v>0.9</v>
      </c>
      <c r="J98" t="n">
        <v>0.0121</v>
      </c>
      <c r="K98" t="n">
        <v>5.5</v>
      </c>
      <c r="L98" t="n">
        <v>0.005</v>
      </c>
      <c r="M98" t="n">
        <v>2.8</v>
      </c>
      <c r="N98" t="n">
        <v>0.028</v>
      </c>
      <c r="O98" t="n">
        <v>0.67</v>
      </c>
    </row>
    <row r="99">
      <c r="A99" t="inlineStr">
        <is>
          <t>Macedonia</t>
        </is>
      </c>
      <c r="B99" t="n">
        <v>51.93</v>
      </c>
      <c r="C99" t="n">
        <v>-6.7</v>
      </c>
      <c r="D99" t="n">
        <v>51</v>
      </c>
      <c r="E99" t="n">
        <v>14</v>
      </c>
      <c r="F99" t="n">
        <v>0.039</v>
      </c>
      <c r="G99" t="n">
        <v>0.021</v>
      </c>
      <c r="H99" t="n">
        <v>-4.1</v>
      </c>
      <c r="I99" t="n">
        <v>11.3</v>
      </c>
      <c r="J99" t="n">
        <v>0.048</v>
      </c>
      <c r="K99" t="n">
        <v>6</v>
      </c>
      <c r="L99" t="n">
        <v>0.0125</v>
      </c>
      <c r="M99" t="n">
        <v>13.4</v>
      </c>
      <c r="N99" t="n">
        <v>0.157</v>
      </c>
      <c r="O99" t="n">
        <v>1.84</v>
      </c>
    </row>
    <row r="100">
      <c r="A100" t="inlineStr">
        <is>
          <t>Madagascar</t>
        </is>
      </c>
      <c r="B100" t="n">
        <v>3680.5</v>
      </c>
      <c r="C100" t="n">
        <v>-5.8</v>
      </c>
      <c r="D100" t="n">
        <v>36.2</v>
      </c>
      <c r="E100" t="n">
        <v>14</v>
      </c>
      <c r="F100" t="n">
        <v/>
      </c>
      <c r="G100" t="n">
        <v>0.044</v>
      </c>
      <c r="H100" t="n">
        <v>-3.2</v>
      </c>
      <c r="I100" t="n">
        <v>12.11</v>
      </c>
      <c r="J100" t="n">
        <v>0.0629</v>
      </c>
      <c r="K100" t="n">
        <v>9.5</v>
      </c>
      <c r="L100" t="n">
        <v>0.095</v>
      </c>
      <c r="M100" t="n">
        <v>2.1</v>
      </c>
      <c r="N100" t="n">
        <v>0.019</v>
      </c>
      <c r="O100" t="n">
        <v>28.92</v>
      </c>
    </row>
    <row r="101" ht="16" customHeight="1" thickBot="1">
      <c r="A101" t="inlineStr">
        <is>
          <t>Malawi</t>
        </is>
      </c>
      <c r="B101" t="n">
        <v>734.11</v>
      </c>
      <c r="C101" t="n">
        <v>-2.8</v>
      </c>
      <c r="D101" t="n">
        <v>66.7</v>
      </c>
      <c r="E101" t="n">
        <v>13</v>
      </c>
      <c r="F101" t="n">
        <v/>
      </c>
      <c r="G101" t="n">
        <v>0.05400000000000001</v>
      </c>
      <c r="H101" t="n">
        <v>-6.8</v>
      </c>
      <c r="I101" t="n">
        <v>29.2</v>
      </c>
      <c r="J101" t="n">
        <v>0.111</v>
      </c>
      <c r="K101" t="n">
        <v>22</v>
      </c>
      <c r="L101" t="n">
        <v>0.12</v>
      </c>
      <c r="M101" t="n">
        <v>5.6</v>
      </c>
      <c r="N101" t="n">
        <v>0.06</v>
      </c>
      <c r="O101" t="n">
        <v>19.89</v>
      </c>
    </row>
    <row r="102">
      <c r="A102" t="inlineStr">
        <is>
          <t>Malaysia</t>
        </is>
      </c>
      <c r="B102" t="n">
        <v>4.19</v>
      </c>
      <c r="C102" t="n">
        <v>2.6</v>
      </c>
      <c r="D102" t="n">
        <v>60.4</v>
      </c>
      <c r="E102" t="n">
        <v>373</v>
      </c>
      <c r="F102" t="n">
        <v>0.009000000000000001</v>
      </c>
      <c r="G102" t="n">
        <v>0.05599999999999999</v>
      </c>
      <c r="H102" t="n">
        <v>-5.6</v>
      </c>
      <c r="I102" t="n">
        <v>2.8</v>
      </c>
      <c r="J102" t="n">
        <v>0.033</v>
      </c>
      <c r="K102" t="n">
        <v>3</v>
      </c>
      <c r="L102" t="n">
        <v>0.0175</v>
      </c>
      <c r="M102" t="n">
        <v>3.5</v>
      </c>
      <c r="N102" t="n">
        <v>0.043</v>
      </c>
      <c r="O102" t="n">
        <v>33</v>
      </c>
    </row>
    <row r="103" ht="16" customHeight="1" thickBot="1">
      <c r="A103" t="inlineStr">
        <is>
          <t>Maldives</t>
        </is>
      </c>
      <c r="B103" t="n">
        <v>15.46</v>
      </c>
      <c r="C103" t="n">
        <v>-16.6</v>
      </c>
      <c r="D103" t="n">
        <v>57.9</v>
      </c>
      <c r="E103" t="n">
        <v>5</v>
      </c>
      <c r="F103" t="n">
        <v/>
      </c>
      <c r="G103" t="n">
        <v>0.018</v>
      </c>
      <c r="H103" t="n">
        <v>-14.3</v>
      </c>
      <c r="I103" t="n">
        <v>3.91</v>
      </c>
      <c r="J103" t="n">
        <v>-0.002</v>
      </c>
      <c r="K103" t="n">
        <v>7</v>
      </c>
      <c r="L103" t="n">
        <v>0.07000000000000001</v>
      </c>
      <c r="M103" t="n">
        <v>4.9</v>
      </c>
      <c r="N103" t="n">
        <v>0.064</v>
      </c>
      <c r="O103" t="n">
        <v>0.58</v>
      </c>
    </row>
    <row r="104">
      <c r="A104" t="inlineStr">
        <is>
          <t>Mali</t>
        </is>
      </c>
      <c r="B104" t="n">
        <v>588.96</v>
      </c>
      <c r="C104" t="n">
        <v>-7.2</v>
      </c>
      <c r="D104" t="n">
        <v/>
      </c>
      <c r="E104" t="n">
        <v>19</v>
      </c>
      <c r="F104" t="n">
        <v/>
      </c>
      <c r="G104" t="n">
        <v>0.034</v>
      </c>
      <c r="H104" t="n">
        <v>-4.4</v>
      </c>
      <c r="I104" t="n">
        <v>3.9</v>
      </c>
      <c r="J104" t="n">
        <v>0.029</v>
      </c>
      <c r="K104" t="n">
        <v>5</v>
      </c>
      <c r="L104" t="n">
        <v>0.04</v>
      </c>
      <c r="M104" t="n">
        <v>2.8</v>
      </c>
      <c r="N104" t="n">
        <v>0.075</v>
      </c>
      <c r="O104" t="n">
        <v>21.9</v>
      </c>
    </row>
    <row r="105">
      <c r="A105" t="inlineStr">
        <is>
          <t>Malta</t>
        </is>
      </c>
      <c r="B105" t="n">
        <v>1.11</v>
      </c>
      <c r="C105" t="n">
        <v>-5.8</v>
      </c>
      <c r="D105" t="n">
        <v>53.4</v>
      </c>
      <c r="E105" t="n">
        <v>17</v>
      </c>
      <c r="F105" t="n">
        <v>-0.005</v>
      </c>
      <c r="G105" t="n">
        <v>0.031</v>
      </c>
      <c r="H105" t="n">
        <v>-5.8</v>
      </c>
      <c r="I105" t="n">
        <v>6.3</v>
      </c>
      <c r="J105" t="n">
        <v>0.024</v>
      </c>
      <c r="K105" t="n">
        <v>4</v>
      </c>
      <c r="L105" t="n">
        <v>0</v>
      </c>
      <c r="M105" t="n">
        <v>2.9</v>
      </c>
      <c r="N105" t="n">
        <v>0.036</v>
      </c>
      <c r="O105" t="n">
        <v>0.52</v>
      </c>
    </row>
    <row r="106">
      <c r="A106" t="inlineStr">
        <is>
          <t>Mauritania</t>
        </is>
      </c>
      <c r="B106" t="n">
        <v>357.3</v>
      </c>
      <c r="C106" t="n">
        <v>-14.3</v>
      </c>
      <c r="D106" t="n">
        <v>44.2</v>
      </c>
      <c r="E106" t="n">
        <v>10</v>
      </c>
      <c r="F106" t="n">
        <v/>
      </c>
      <c r="G106" t="n">
        <v>0.039</v>
      </c>
      <c r="H106" t="n">
        <v>-1.3</v>
      </c>
      <c r="I106" t="n">
        <v>9.800000000000001</v>
      </c>
      <c r="J106" t="n">
        <v>0.047</v>
      </c>
      <c r="K106" t="n">
        <v>8</v>
      </c>
      <c r="L106" t="n">
        <v>0.05</v>
      </c>
      <c r="M106" t="n">
        <v>11.1</v>
      </c>
      <c r="N106" t="n">
        <v>0.107</v>
      </c>
      <c r="O106" t="n">
        <v>4.73</v>
      </c>
    </row>
    <row r="107">
      <c r="A107" t="inlineStr">
        <is>
          <t>Mauritius</t>
        </is>
      </c>
      <c r="B107" t="n">
        <v>42.9</v>
      </c>
      <c r="C107" t="n">
        <v>-13.8</v>
      </c>
      <c r="D107" t="n">
        <v>86</v>
      </c>
      <c r="E107" t="n">
        <v>12</v>
      </c>
      <c r="F107" t="n">
        <v>0.034</v>
      </c>
      <c r="G107" t="n">
        <v>0.077</v>
      </c>
      <c r="H107" t="n">
        <v>-5.4</v>
      </c>
      <c r="I107" t="n">
        <v>7.9</v>
      </c>
      <c r="J107" t="n">
        <v>0.064</v>
      </c>
      <c r="K107" t="n">
        <v>4.5</v>
      </c>
      <c r="L107" t="n">
        <v>0.0185</v>
      </c>
      <c r="M107" t="n">
        <v>6.8</v>
      </c>
      <c r="N107" t="n">
        <v>0.105</v>
      </c>
      <c r="O107" t="n">
        <v>1.26</v>
      </c>
    </row>
    <row r="108" ht="16" customHeight="1" thickBot="1">
      <c r="A108" t="inlineStr">
        <is>
          <t>Mexico</t>
        </is>
      </c>
      <c r="B108" t="n">
        <v>19.36</v>
      </c>
      <c r="C108" t="n">
        <v>-0.9</v>
      </c>
      <c r="D108" t="n">
        <v>49.6</v>
      </c>
      <c r="E108" t="n">
        <v>1273</v>
      </c>
      <c r="F108" t="n">
        <v>0.01</v>
      </c>
      <c r="G108" t="n">
        <v>0.03700000000000001</v>
      </c>
      <c r="H108" t="n">
        <v>-3.8</v>
      </c>
      <c r="I108" t="n">
        <v>5.84</v>
      </c>
      <c r="J108" t="n">
        <v>0.0737</v>
      </c>
      <c r="K108" t="n">
        <v>11.25</v>
      </c>
      <c r="L108" t="n">
        <v>0.055</v>
      </c>
      <c r="M108" t="n">
        <v>2.8</v>
      </c>
      <c r="N108" t="n">
        <v>0.039</v>
      </c>
      <c r="O108" t="n">
        <v>129</v>
      </c>
    </row>
    <row r="109">
      <c r="A109" t="inlineStr">
        <is>
          <t>Moldova</t>
        </is>
      </c>
      <c r="B109" t="n">
        <v>17.97</v>
      </c>
      <c r="C109" t="n">
        <v>-13.1</v>
      </c>
      <c r="D109" t="n">
        <v>32.1</v>
      </c>
      <c r="E109" t="n">
        <v>14</v>
      </c>
      <c r="F109" t="n">
        <v>0.011</v>
      </c>
      <c r="G109" t="n">
        <v>-0.024</v>
      </c>
      <c r="H109" t="n">
        <v>-3.3</v>
      </c>
      <c r="I109" t="n">
        <v>16.3</v>
      </c>
      <c r="J109" t="n">
        <v>0.1244</v>
      </c>
      <c r="K109" t="n">
        <v>6</v>
      </c>
      <c r="L109" t="n">
        <v>0.065</v>
      </c>
      <c r="M109" t="n">
        <v>5.5</v>
      </c>
      <c r="N109" t="n">
        <v>0.025</v>
      </c>
      <c r="O109" t="n">
        <v>2.6</v>
      </c>
    </row>
    <row r="110" ht="16" customHeight="1" thickBot="1">
      <c r="A110" t="inlineStr">
        <is>
          <t>Monaco</t>
        </is>
      </c>
      <c r="B110" t="n">
        <v>1.11</v>
      </c>
      <c r="C110" t="n">
        <v/>
      </c>
      <c r="D110" t="n">
        <v/>
      </c>
      <c r="E110" t="n">
        <v>9</v>
      </c>
      <c r="F110" t="n">
        <v/>
      </c>
      <c r="G110" t="n">
        <v>0.216</v>
      </c>
      <c r="H110" t="n">
        <v/>
      </c>
      <c r="I110" t="n">
        <v/>
      </c>
      <c r="J110" t="n">
        <v/>
      </c>
      <c r="K110" t="n">
        <v/>
      </c>
      <c r="L110" t="n">
        <v/>
      </c>
      <c r="M110" t="n">
        <v/>
      </c>
      <c r="N110" t="n">
        <v/>
      </c>
      <c r="O110" t="n">
        <v>0.04</v>
      </c>
    </row>
    <row r="111">
      <c r="A111" t="inlineStr">
        <is>
          <t>Mongolia</t>
        </is>
      </c>
      <c r="B111" t="n">
        <v>2728</v>
      </c>
      <c r="C111" t="n">
        <v>-15.8</v>
      </c>
      <c r="D111" t="n">
        <v>56</v>
      </c>
      <c r="E111" t="n">
        <v>15</v>
      </c>
      <c r="F111" t="n">
        <v>0.061</v>
      </c>
      <c r="G111" t="n">
        <v>0.079</v>
      </c>
      <c r="H111" t="n">
        <v>-6.8</v>
      </c>
      <c r="I111" t="n">
        <v>11.3</v>
      </c>
      <c r="J111" t="n">
        <v>0.105</v>
      </c>
      <c r="K111" t="n">
        <v>13</v>
      </c>
      <c r="L111" t="n">
        <v>0.06</v>
      </c>
      <c r="M111" t="n">
        <v>6.6</v>
      </c>
      <c r="N111" t="n">
        <v>0.08400000000000001</v>
      </c>
      <c r="O111" t="n">
        <v>3.45</v>
      </c>
    </row>
    <row r="112">
      <c r="A112" t="inlineStr">
        <is>
          <t>Montenegro</t>
        </is>
      </c>
      <c r="B112" t="n">
        <v>1.11</v>
      </c>
      <c r="C112" t="n">
        <v>-13.3</v>
      </c>
      <c r="D112" t="n">
        <v>69.45999999999999</v>
      </c>
      <c r="E112" t="n">
        <v>6</v>
      </c>
      <c r="F112" t="n">
        <v/>
      </c>
      <c r="G112" t="n">
        <v>0.061</v>
      </c>
      <c r="H112" t="n">
        <v>-4.6</v>
      </c>
      <c r="I112" t="n">
        <v>8.4</v>
      </c>
      <c r="J112" t="n">
        <v>0.044</v>
      </c>
      <c r="K112" t="n">
        <v/>
      </c>
      <c r="L112" t="n">
        <v/>
      </c>
      <c r="M112" t="n">
        <v>17.85</v>
      </c>
      <c r="N112" t="n">
        <v>0.2381</v>
      </c>
      <c r="O112" t="n">
        <v>0.62</v>
      </c>
    </row>
    <row r="113" ht="16" customHeight="1" thickBot="1">
      <c r="A113" t="inlineStr">
        <is>
          <t>Morocco</t>
        </is>
      </c>
      <c r="B113" t="n">
        <v>8.960000000000001</v>
      </c>
      <c r="C113" t="n">
        <v>-3.5</v>
      </c>
      <c r="D113" t="n">
        <v>78.40000000000001</v>
      </c>
      <c r="E113" t="n">
        <v>143</v>
      </c>
      <c r="F113" t="n">
        <v>0.011</v>
      </c>
      <c r="G113" t="n">
        <v>0.005</v>
      </c>
      <c r="H113" t="n">
        <v>-5.3</v>
      </c>
      <c r="I113" t="n">
        <v>7.1</v>
      </c>
      <c r="J113" t="n">
        <v>0.026</v>
      </c>
      <c r="K113" t="n">
        <v>3</v>
      </c>
      <c r="L113" t="n">
        <v>0.015</v>
      </c>
      <c r="M113" t="n">
        <v>12.9</v>
      </c>
      <c r="N113" t="n">
        <v>0.118</v>
      </c>
      <c r="O113" t="n">
        <v>36.67</v>
      </c>
    </row>
    <row r="114" ht="16" customHeight="1" thickBot="1">
      <c r="A114" t="inlineStr">
        <is>
          <t>Mozambique</t>
        </is>
      </c>
      <c r="B114" t="n">
        <v>63</v>
      </c>
      <c r="C114" t="n">
        <v>-23.8</v>
      </c>
      <c r="D114" t="n">
        <v>101</v>
      </c>
      <c r="E114" t="n">
        <v>16</v>
      </c>
      <c r="F114" t="n">
        <v>0.02</v>
      </c>
      <c r="G114" t="n">
        <v>0.0417</v>
      </c>
      <c r="H114" t="n">
        <v>-4.8</v>
      </c>
      <c r="I114" t="n">
        <v>8.23</v>
      </c>
      <c r="J114" t="n">
        <v>0.0677</v>
      </c>
      <c r="K114" t="n">
        <v>17.25</v>
      </c>
      <c r="L114" t="n">
        <v>0.1325</v>
      </c>
      <c r="M114" t="n">
        <v>25.04</v>
      </c>
      <c r="N114" t="n">
        <v>0.2504</v>
      </c>
      <c r="O114" t="n">
        <v>31.62</v>
      </c>
    </row>
    <row r="115">
      <c r="A115" t="inlineStr">
        <is>
          <t>Myanmar</t>
        </is>
      </c>
      <c r="B115" t="n">
        <v>1500</v>
      </c>
      <c r="C115" t="n">
        <v>-1.8</v>
      </c>
      <c r="D115" t="n">
        <v>62.5</v>
      </c>
      <c r="E115" t="n">
        <v>65</v>
      </c>
      <c r="F115" t="n">
        <v/>
      </c>
      <c r="G115" t="n">
        <v>-0.18</v>
      </c>
      <c r="H115" t="n">
        <v>-5.2</v>
      </c>
      <c r="I115" t="n">
        <v>19.55</v>
      </c>
      <c r="J115" t="n">
        <v>0.06509999999999999</v>
      </c>
      <c r="K115" t="n">
        <v>7</v>
      </c>
      <c r="L115" t="n">
        <v>0.07000000000000001</v>
      </c>
      <c r="M115" t="n">
        <v>2.2</v>
      </c>
      <c r="N115" t="n">
        <v>0.0179</v>
      </c>
      <c r="O115" t="n">
        <v>53.8</v>
      </c>
    </row>
    <row r="116" ht="16" customHeight="1" thickBot="1">
      <c r="A116" t="inlineStr">
        <is>
          <t>Namibia</t>
        </is>
      </c>
      <c r="B116" t="n">
        <v>14.72</v>
      </c>
      <c r="C116" t="n">
        <v>-12.3</v>
      </c>
      <c r="D116" t="n">
        <v>68.90000000000001</v>
      </c>
      <c r="E116" t="n">
        <v>12</v>
      </c>
      <c r="F116" t="n">
        <v>-0.0131</v>
      </c>
      <c r="G116" t="n">
        <v>0.019</v>
      </c>
      <c r="H116" t="n">
        <v>-5.2</v>
      </c>
      <c r="I116" t="n">
        <v>6.3</v>
      </c>
      <c r="J116" t="n">
        <v>0.04099999999999999</v>
      </c>
      <c r="K116" t="n">
        <v>7.75</v>
      </c>
      <c r="L116" t="n">
        <v>0.0375</v>
      </c>
      <c r="M116" t="n">
        <v>20.8</v>
      </c>
      <c r="N116" t="n">
        <v>0.334</v>
      </c>
      <c r="O116" t="n">
        <v>2.6</v>
      </c>
    </row>
    <row r="117" ht="16" customHeight="1" thickBot="1">
      <c r="A117" t="inlineStr">
        <is>
          <t>Nepal</t>
        </is>
      </c>
      <c r="B117" t="n">
        <v>113.59</v>
      </c>
      <c r="C117" t="n">
        <v>-12.8</v>
      </c>
      <c r="D117" t="n">
        <v>41.4</v>
      </c>
      <c r="E117" t="n">
        <v>36</v>
      </c>
      <c r="F117" t="n">
        <v/>
      </c>
      <c r="G117" t="n">
        <v>0.058</v>
      </c>
      <c r="H117" t="n">
        <v>-6.3</v>
      </c>
      <c r="I117" t="n">
        <v>7.41</v>
      </c>
      <c r="J117" t="n">
        <v>0.0532</v>
      </c>
      <c r="K117" t="n">
        <v>7.5</v>
      </c>
      <c r="L117" t="n">
        <v>0.05</v>
      </c>
      <c r="M117" t="n">
        <v>5.1</v>
      </c>
      <c r="N117" t="n">
        <v>0.0444</v>
      </c>
      <c r="O117" t="n">
        <v>30.03</v>
      </c>
    </row>
    <row r="118" ht="16" customHeight="1" thickBot="1">
      <c r="A118" t="inlineStr">
        <is>
          <t>Netherlands</t>
        </is>
      </c>
      <c r="B118" t="n">
        <v>1.11</v>
      </c>
      <c r="C118" t="n">
        <v>4.4</v>
      </c>
      <c r="D118" t="n">
        <v>51</v>
      </c>
      <c r="E118" t="n">
        <v>1013</v>
      </c>
      <c r="F118" t="n">
        <v>-0.003</v>
      </c>
      <c r="G118" t="n">
        <v>0.019</v>
      </c>
      <c r="H118" t="n">
        <v>0</v>
      </c>
      <c r="I118" t="n">
        <v>6.1</v>
      </c>
      <c r="J118" t="n">
        <v>0.052</v>
      </c>
      <c r="K118" t="n">
        <v>4</v>
      </c>
      <c r="L118" t="n">
        <v>0</v>
      </c>
      <c r="M118" t="n">
        <v>3.5</v>
      </c>
      <c r="N118" t="n">
        <v>0.027</v>
      </c>
      <c r="O118" t="n">
        <v>17.59</v>
      </c>
    </row>
    <row r="119" ht="16" customHeight="1" thickBot="1">
      <c r="A119" t="inlineStr">
        <is>
          <t>New Caledonia</t>
        </is>
      </c>
      <c r="B119" t="n">
        <v>107</v>
      </c>
      <c r="C119" t="n">
        <v/>
      </c>
      <c r="D119" t="n">
        <v/>
      </c>
      <c r="E119" t="n">
        <v>9</v>
      </c>
      <c r="F119" t="n">
        <v/>
      </c>
      <c r="G119" t="n">
        <v>-0.021</v>
      </c>
      <c r="H119" t="n">
        <v/>
      </c>
      <c r="I119" t="n">
        <v>2.2</v>
      </c>
      <c r="J119" t="n">
        <v>0.0063</v>
      </c>
      <c r="K119" t="n">
        <v>4</v>
      </c>
      <c r="L119" t="n">
        <v>0.0025</v>
      </c>
      <c r="M119" t="n">
        <v>12.3</v>
      </c>
      <c r="N119" t="n">
        <v>0.165</v>
      </c>
      <c r="O119" t="n">
        <v>2.74</v>
      </c>
    </row>
    <row r="120" ht="16" customHeight="1" thickBot="1">
      <c r="A120" t="inlineStr">
        <is>
          <t>New Zealand</t>
        </is>
      </c>
      <c r="B120" t="n">
        <v>0.63</v>
      </c>
      <c r="C120" t="n">
        <v>-8.9</v>
      </c>
      <c r="D120" t="n">
        <v>35.9</v>
      </c>
      <c r="E120" t="n">
        <v>250</v>
      </c>
      <c r="F120" t="n">
        <v>-0.001</v>
      </c>
      <c r="G120" t="n">
        <v>0.022</v>
      </c>
      <c r="H120" t="n">
        <v>-2.7</v>
      </c>
      <c r="I120" t="n">
        <v>6.7</v>
      </c>
      <c r="J120" t="n">
        <v>0.049</v>
      </c>
      <c r="K120" t="n">
        <v>5.5</v>
      </c>
      <c r="L120" t="n">
        <v>0.0075</v>
      </c>
      <c r="M120" t="n">
        <v>3.4</v>
      </c>
      <c r="N120" t="n">
        <v>0.034</v>
      </c>
      <c r="O120" t="n">
        <v>5.15</v>
      </c>
    </row>
    <row r="121" ht="16" customHeight="1" thickBot="1">
      <c r="A121" t="inlineStr">
        <is>
          <t>Nicaragua</t>
        </is>
      </c>
      <c r="B121" t="n">
        <v>33.47</v>
      </c>
      <c r="C121" t="n">
        <v>-1.4</v>
      </c>
      <c r="D121" t="n">
        <v>64.8</v>
      </c>
      <c r="E121" t="n">
        <v>14</v>
      </c>
      <c r="F121" t="n">
        <v/>
      </c>
      <c r="G121" t="n">
        <v>0.024</v>
      </c>
      <c r="H121" t="n">
        <v>0.8</v>
      </c>
      <c r="I121" t="n">
        <v>9.470000000000001</v>
      </c>
      <c r="J121" t="n">
        <v>0.0641</v>
      </c>
      <c r="K121" t="n">
        <v>10.01</v>
      </c>
      <c r="L121" t="n">
        <v>0.0862</v>
      </c>
      <c r="M121" t="n">
        <v>3.1</v>
      </c>
      <c r="N121" t="n">
        <v>0.049</v>
      </c>
      <c r="O121" t="n">
        <v>6.75</v>
      </c>
    </row>
    <row r="122" ht="16" customHeight="1" thickBot="1">
      <c r="A122" t="inlineStr">
        <is>
          <t>Niger</t>
        </is>
      </c>
      <c r="B122" t="n">
        <v>588.96</v>
      </c>
      <c r="C122" t="n">
        <v>-15.1</v>
      </c>
      <c r="D122" t="n">
        <v>51.2</v>
      </c>
      <c r="E122" t="n">
        <v>15</v>
      </c>
      <c r="F122" t="n">
        <v/>
      </c>
      <c r="G122" t="n">
        <v>0.099</v>
      </c>
      <c r="H122" t="n">
        <v>-6.6</v>
      </c>
      <c r="I122" t="n">
        <v>0.2</v>
      </c>
      <c r="J122" t="n">
        <v>0.0361</v>
      </c>
      <c r="K122" t="n">
        <v>5</v>
      </c>
      <c r="L122" t="n">
        <v>0.04</v>
      </c>
      <c r="M122" t="n">
        <v>0.5</v>
      </c>
      <c r="N122" t="n">
        <v>0.006999999999999999</v>
      </c>
      <c r="O122" t="n">
        <v>25.25</v>
      </c>
    </row>
    <row r="123">
      <c r="A123" t="inlineStr">
        <is>
          <t>Nigeria</t>
        </is>
      </c>
      <c r="B123" t="n">
        <v>411</v>
      </c>
      <c r="C123" t="n">
        <v>-0.7</v>
      </c>
      <c r="D123" t="n">
        <v>38</v>
      </c>
      <c r="E123" t="n">
        <v>441</v>
      </c>
      <c r="F123" t="n">
        <v>-0.1565</v>
      </c>
      <c r="G123" t="n">
        <v>0.0231</v>
      </c>
      <c r="H123" t="n">
        <v>-5</v>
      </c>
      <c r="I123" t="n">
        <v>22.41</v>
      </c>
      <c r="J123" t="n">
        <v>0.154</v>
      </c>
      <c r="K123" t="n">
        <v>18.5</v>
      </c>
      <c r="L123" t="n">
        <v>0.115</v>
      </c>
      <c r="M123" t="n">
        <v>33.3</v>
      </c>
      <c r="N123" t="n">
        <v>0.333</v>
      </c>
      <c r="O123" t="n">
        <v>213.4</v>
      </c>
    </row>
    <row r="124" ht="16" customHeight="1" thickBot="1">
      <c r="A124" t="inlineStr">
        <is>
          <t>Norway</t>
        </is>
      </c>
      <c r="B124" t="n">
        <v>8.93</v>
      </c>
      <c r="C124" t="n">
        <v>30.3</v>
      </c>
      <c r="D124" t="n">
        <v>37.4</v>
      </c>
      <c r="E124" t="n">
        <v>482</v>
      </c>
      <c r="F124" t="n">
        <v>0.002</v>
      </c>
      <c r="G124" t="n">
        <v>0.03</v>
      </c>
      <c r="H124" t="n">
        <v>9.1</v>
      </c>
      <c r="I124" t="n">
        <v>6.7</v>
      </c>
      <c r="J124" t="n">
        <v>0.051</v>
      </c>
      <c r="K124" t="n">
        <v>3.75</v>
      </c>
      <c r="L124" t="n">
        <v>0.005</v>
      </c>
      <c r="M124" t="n">
        <v>3</v>
      </c>
      <c r="N124" t="n">
        <v>0.042</v>
      </c>
      <c r="O124" t="n">
        <v>5.43</v>
      </c>
    </row>
    <row r="125" ht="16" customHeight="1" thickBot="1">
      <c r="A125" t="inlineStr">
        <is>
          <t>Oman</t>
        </is>
      </c>
      <c r="B125" t="n">
        <v>0.38</v>
      </c>
      <c r="C125" t="n">
        <v>3.2</v>
      </c>
      <c r="D125" t="n">
        <v>61.3</v>
      </c>
      <c r="E125" t="n">
        <v>88</v>
      </c>
      <c r="F125" t="n">
        <v/>
      </c>
      <c r="G125" t="n">
        <v>0.043</v>
      </c>
      <c r="H125" t="n">
        <v>-2.6</v>
      </c>
      <c r="I125" t="n">
        <v>0.91</v>
      </c>
      <c r="J125" t="n">
        <v>0.0356</v>
      </c>
      <c r="K125" t="n">
        <v>5.75</v>
      </c>
      <c r="L125" t="n">
        <v>0.005</v>
      </c>
      <c r="M125" t="n">
        <v>2.3</v>
      </c>
      <c r="N125" t="n">
        <v>0.05</v>
      </c>
      <c r="O125" t="n">
        <v>4.93</v>
      </c>
    </row>
    <row r="126" ht="16" customHeight="1" thickBot="1">
      <c r="A126" t="inlineStr">
        <is>
          <t>Pakistan</t>
        </is>
      </c>
      <c r="B126" t="n">
        <v>159</v>
      </c>
      <c r="C126" t="n">
        <v>-4.6</v>
      </c>
      <c r="D126" t="n">
        <v>84</v>
      </c>
      <c r="E126" t="n">
        <v>348</v>
      </c>
      <c r="F126" t="n">
        <v>0.0579</v>
      </c>
      <c r="G126" t="n">
        <v>0.0597</v>
      </c>
      <c r="H126" t="n">
        <v>-7.9</v>
      </c>
      <c r="I126" t="n">
        <v>38</v>
      </c>
      <c r="J126" t="n">
        <v>0.115</v>
      </c>
      <c r="K126" t="n">
        <v>21</v>
      </c>
      <c r="L126" t="n">
        <v>0.0975</v>
      </c>
      <c r="M126" t="n">
        <v>6.5</v>
      </c>
      <c r="N126" t="n">
        <v>0.044</v>
      </c>
      <c r="O126" t="n">
        <v>225.2</v>
      </c>
    </row>
    <row r="127">
      <c r="A127" t="inlineStr">
        <is>
          <t>Palestine</t>
        </is>
      </c>
      <c r="B127" t="n">
        <v/>
      </c>
      <c r="C127" t="n">
        <v>-8.199999999999999</v>
      </c>
      <c r="D127" t="n">
        <v>21.3</v>
      </c>
      <c r="E127" t="n">
        <v>18</v>
      </c>
      <c r="F127" t="n">
        <v/>
      </c>
      <c r="G127" t="n">
        <v>0.02</v>
      </c>
      <c r="H127" t="n">
        <v>1.9</v>
      </c>
      <c r="I127" t="n">
        <v>3.86</v>
      </c>
      <c r="J127" t="n">
        <v>0.0138</v>
      </c>
      <c r="K127" t="n">
        <v/>
      </c>
      <c r="L127" t="n">
        <v/>
      </c>
      <c r="M127" t="n">
        <v>25.2</v>
      </c>
      <c r="N127" t="n">
        <v>0.27</v>
      </c>
      <c r="O127" t="n">
        <v>5.4</v>
      </c>
    </row>
    <row r="128" ht="16" customHeight="1" thickBot="1">
      <c r="A128" t="inlineStr">
        <is>
          <t>Panama</t>
        </is>
      </c>
      <c r="B128" t="n">
        <v>1</v>
      </c>
      <c r="C128" t="n">
        <v>-4.1</v>
      </c>
      <c r="D128" t="n">
        <v>63.66</v>
      </c>
      <c r="E128" t="n">
        <v>64</v>
      </c>
      <c r="F128" t="n">
        <v/>
      </c>
      <c r="G128" t="n">
        <v>0.095</v>
      </c>
      <c r="H128" t="n">
        <v>-4.06</v>
      </c>
      <c r="I128" t="n">
        <v>0.42</v>
      </c>
      <c r="J128" t="n">
        <v>0.0336</v>
      </c>
      <c r="K128" t="n">
        <v>2.14</v>
      </c>
      <c r="L128" t="n">
        <v>0.0136</v>
      </c>
      <c r="M128" t="n">
        <v>8.800000000000001</v>
      </c>
      <c r="N128" t="n">
        <v>0.185</v>
      </c>
      <c r="O128" t="n">
        <v>4.38</v>
      </c>
    </row>
    <row r="129">
      <c r="A129" t="inlineStr">
        <is>
          <t>Papua New Guinea</t>
        </is>
      </c>
      <c r="B129" t="n">
        <v>3.41</v>
      </c>
      <c r="C129" t="n">
        <v>22.1</v>
      </c>
      <c r="D129" t="n">
        <v>51.5</v>
      </c>
      <c r="E129" t="n">
        <v>27</v>
      </c>
      <c r="F129" t="n">
        <v/>
      </c>
      <c r="G129" t="n">
        <v>0.015</v>
      </c>
      <c r="H129" t="n">
        <v>-5.6</v>
      </c>
      <c r="I129" t="n">
        <v>3.41</v>
      </c>
      <c r="J129" t="n">
        <v>0.0331</v>
      </c>
      <c r="K129" t="n">
        <v>3.5</v>
      </c>
      <c r="L129" t="n">
        <v>0.03</v>
      </c>
      <c r="M129" t="n">
        <v>2.8</v>
      </c>
      <c r="N129" t="n">
        <v>0.027</v>
      </c>
      <c r="O129" t="n">
        <v>9.949999999999999</v>
      </c>
    </row>
    <row r="130">
      <c r="A130" t="inlineStr">
        <is>
          <t>Paraguay</t>
        </is>
      </c>
      <c r="B130" t="n">
        <v>6838.31</v>
      </c>
      <c r="C130" t="n">
        <v>-5.2</v>
      </c>
      <c r="D130" t="n">
        <v>32.7</v>
      </c>
      <c r="E130" t="n">
        <v>40</v>
      </c>
      <c r="F130" t="n">
        <v>0.079</v>
      </c>
      <c r="G130" t="n">
        <v>0.017</v>
      </c>
      <c r="H130" t="n">
        <v>-5.5</v>
      </c>
      <c r="I130" t="n">
        <v>5.1</v>
      </c>
      <c r="J130" t="n">
        <v>0.07400000000000001</v>
      </c>
      <c r="K130" t="n">
        <v>8.5</v>
      </c>
      <c r="L130" t="n">
        <v>0.0525</v>
      </c>
      <c r="M130" t="n">
        <v>6.5</v>
      </c>
      <c r="N130" t="n">
        <v>0.08599999999999999</v>
      </c>
      <c r="O130" t="n">
        <v>7.35</v>
      </c>
    </row>
    <row r="131" ht="16" customHeight="1" thickBot="1">
      <c r="A131" t="inlineStr">
        <is>
          <t>Peru</t>
        </is>
      </c>
      <c r="B131" t="n">
        <v>3.96</v>
      </c>
      <c r="C131" t="n">
        <v>-4.5</v>
      </c>
      <c r="D131" t="n">
        <v>36</v>
      </c>
      <c r="E131" t="n">
        <v>223</v>
      </c>
      <c r="F131" t="n">
        <v>-0.068</v>
      </c>
      <c r="G131" t="n">
        <v>-0.004</v>
      </c>
      <c r="H131" t="n">
        <v>-2.6</v>
      </c>
      <c r="I131" t="n">
        <v>7.9</v>
      </c>
      <c r="J131" t="n">
        <v>0.0566</v>
      </c>
      <c r="K131" t="n">
        <v>7.75</v>
      </c>
      <c r="L131" t="n">
        <v>0.025</v>
      </c>
      <c r="M131" t="n">
        <v>6.8</v>
      </c>
      <c r="N131" t="n">
        <v>0.091</v>
      </c>
      <c r="O131" t="n">
        <v>32.78</v>
      </c>
    </row>
    <row r="132">
      <c r="A132" t="inlineStr">
        <is>
          <t>Philippines</t>
        </is>
      </c>
      <c r="B132" t="n">
        <v>50.07</v>
      </c>
      <c r="C132" t="n">
        <v>-4.4</v>
      </c>
      <c r="D132" t="n">
        <v>60.9</v>
      </c>
      <c r="E132" t="n">
        <v>394</v>
      </c>
      <c r="F132" t="n">
        <v>0.011</v>
      </c>
      <c r="G132" t="n">
        <v>0.064</v>
      </c>
      <c r="H132" t="n">
        <v>-7.3</v>
      </c>
      <c r="I132" t="n">
        <v>6.1</v>
      </c>
      <c r="J132" t="n">
        <v>0.042</v>
      </c>
      <c r="K132" t="n">
        <v>6.25</v>
      </c>
      <c r="L132" t="n">
        <v>0.02</v>
      </c>
      <c r="M132" t="n">
        <v>4.5</v>
      </c>
      <c r="N132" t="n">
        <v>0.07400000000000001</v>
      </c>
      <c r="O132" t="n">
        <v>111.6</v>
      </c>
    </row>
    <row r="133">
      <c r="A133" t="inlineStr">
        <is>
          <t>Poland</t>
        </is>
      </c>
      <c r="B133" t="n">
        <v>3.89</v>
      </c>
      <c r="C133" t="n">
        <v>-3</v>
      </c>
      <c r="D133" t="n">
        <v>49.1</v>
      </c>
      <c r="E133" t="n">
        <v>679</v>
      </c>
      <c r="F133" t="n">
        <v>0.038</v>
      </c>
      <c r="G133" t="n">
        <v>-0.003</v>
      </c>
      <c r="H133" t="n">
        <v>-3.7</v>
      </c>
      <c r="I133" t="n">
        <v>13</v>
      </c>
      <c r="J133" t="n">
        <v>0.078</v>
      </c>
      <c r="K133" t="n">
        <v>6.75</v>
      </c>
      <c r="L133" t="n">
        <v>0.0175</v>
      </c>
      <c r="M133" t="n">
        <v>5.2</v>
      </c>
      <c r="N133" t="n">
        <v>0.055</v>
      </c>
      <c r="O133" t="n">
        <v>37.65</v>
      </c>
    </row>
    <row r="134">
      <c r="A134" t="inlineStr">
        <is>
          <t>Portugal</t>
        </is>
      </c>
      <c r="B134" t="n">
        <v>1.11</v>
      </c>
      <c r="C134" t="n">
        <v>-1.3</v>
      </c>
      <c r="D134" t="n">
        <v>113.9</v>
      </c>
      <c r="E134" t="n">
        <v>254</v>
      </c>
      <c r="F134" t="n">
        <v>0.016</v>
      </c>
      <c r="G134" t="n">
        <v>0.025</v>
      </c>
      <c r="H134" t="n">
        <v>-0.4</v>
      </c>
      <c r="I134" t="n">
        <v>4</v>
      </c>
      <c r="J134" t="n">
        <v>0.026</v>
      </c>
      <c r="K134" t="n">
        <v>4</v>
      </c>
      <c r="L134" t="n">
        <v>0</v>
      </c>
      <c r="M134" t="n">
        <v>7.2</v>
      </c>
      <c r="N134" t="n">
        <v>0.061</v>
      </c>
      <c r="O134" t="n">
        <v>10.35</v>
      </c>
    </row>
    <row r="135">
      <c r="A135" t="inlineStr">
        <is>
          <t>Puerto Rico</t>
        </is>
      </c>
      <c r="B135" t="n">
        <v>98.56</v>
      </c>
      <c r="C135" t="n">
        <v/>
      </c>
      <c r="D135" t="n">
        <v/>
      </c>
      <c r="E135" t="n">
        <v>107</v>
      </c>
      <c r="F135" t="n">
        <v/>
      </c>
      <c r="G135" t="n">
        <v>0.011</v>
      </c>
      <c r="H135" t="n">
        <v/>
      </c>
      <c r="I135" t="n">
        <v>3.9</v>
      </c>
      <c r="J135" t="n">
        <v>0.035</v>
      </c>
      <c r="K135" t="n">
        <v/>
      </c>
      <c r="L135" t="n">
        <v/>
      </c>
      <c r="M135" t="n">
        <v>6.1</v>
      </c>
      <c r="N135" t="n">
        <v>0.07200000000000001</v>
      </c>
      <c r="O135" t="n">
        <v>3.26</v>
      </c>
    </row>
    <row r="136" ht="16" customHeight="1" thickBot="1">
      <c r="A136" t="inlineStr">
        <is>
          <t>Qatar</t>
        </is>
      </c>
      <c r="B136" t="n">
        <v>3.7</v>
      </c>
      <c r="C136" t="n">
        <v>26</v>
      </c>
      <c r="D136" t="n">
        <v>46.9</v>
      </c>
      <c r="E136" t="n">
        <v>180</v>
      </c>
      <c r="F136" t="n">
        <v>0.027</v>
      </c>
      <c r="G136" t="n">
        <v>0.08</v>
      </c>
      <c r="H136" t="n">
        <v>0</v>
      </c>
      <c r="I136" t="n">
        <v>2.61</v>
      </c>
      <c r="J136" t="n">
        <v>0.0609</v>
      </c>
      <c r="K136" t="n">
        <v>6</v>
      </c>
      <c r="L136" t="n">
        <v>0.025</v>
      </c>
      <c r="M136" t="n">
        <v>0.1</v>
      </c>
      <c r="N136" t="n">
        <v>0.001</v>
      </c>
      <c r="O136" t="n">
        <v>2.75</v>
      </c>
    </row>
    <row r="137">
      <c r="A137" t="inlineStr">
        <is>
          <t>Republicofthe Congo</t>
        </is>
      </c>
      <c r="B137" t="n">
        <v>551.3200000000001</v>
      </c>
      <c r="C137" t="n">
        <v>19.2</v>
      </c>
      <c r="D137" t="n">
        <v>99.56999999999999</v>
      </c>
      <c r="E137" t="n">
        <v>13</v>
      </c>
      <c r="F137" t="n">
        <v/>
      </c>
      <c r="G137" t="n">
        <v>0.028</v>
      </c>
      <c r="H137" t="n">
        <v>6.5</v>
      </c>
      <c r="I137" t="n">
        <v>3.9</v>
      </c>
      <c r="J137" t="n">
        <v>0.011</v>
      </c>
      <c r="K137" t="n">
        <v>5</v>
      </c>
      <c r="L137" t="n">
        <v>0.0325</v>
      </c>
      <c r="M137" t="n">
        <v>21.8</v>
      </c>
      <c r="N137" t="n">
        <v>0.103</v>
      </c>
      <c r="O137" t="n">
        <v>5.84</v>
      </c>
    </row>
    <row r="138" ht="16" customHeight="1" thickBot="1">
      <c r="A138" t="inlineStr">
        <is>
          <t>Romania</t>
        </is>
      </c>
      <c r="B138" t="n">
        <v>4.18</v>
      </c>
      <c r="C138" t="n">
        <v>-9.300000000000001</v>
      </c>
      <c r="D138" t="n">
        <v>47.3</v>
      </c>
      <c r="E138" t="n">
        <v>284</v>
      </c>
      <c r="F138" t="n">
        <v>0.001</v>
      </c>
      <c r="G138" t="n">
        <v>0.023</v>
      </c>
      <c r="H138" t="n">
        <v>-5.8</v>
      </c>
      <c r="I138" t="n">
        <v>10.64</v>
      </c>
      <c r="J138" t="n">
        <v>0.078</v>
      </c>
      <c r="K138" t="n">
        <v>7</v>
      </c>
      <c r="L138" t="n">
        <v>0.0175</v>
      </c>
      <c r="M138" t="n">
        <v>5.6</v>
      </c>
      <c r="N138" t="n">
        <v>0.053</v>
      </c>
      <c r="O138" t="n">
        <v>19.04</v>
      </c>
    </row>
    <row r="139" ht="16" customHeight="1" thickBot="1">
      <c r="A139" t="inlineStr">
        <is>
          <t>Russia</t>
        </is>
      </c>
      <c r="B139" t="n">
        <v>64.34999999999999</v>
      </c>
      <c r="C139" t="n">
        <v>10.3</v>
      </c>
      <c r="D139" t="n">
        <v>18.2</v>
      </c>
      <c r="E139" t="n">
        <v>1776</v>
      </c>
      <c r="F139" t="n">
        <v>-0.008</v>
      </c>
      <c r="G139" t="n">
        <v>-0.018</v>
      </c>
      <c r="H139" t="n">
        <v>-2.3</v>
      </c>
      <c r="I139" t="n">
        <v>2.5</v>
      </c>
      <c r="J139" t="n">
        <v>0.08400000000000001</v>
      </c>
      <c r="K139" t="n">
        <v>7.5</v>
      </c>
      <c r="L139" t="n">
        <v>0.08500000000000001</v>
      </c>
      <c r="M139" t="n">
        <v>3.3</v>
      </c>
      <c r="N139" t="n">
        <v>0.043</v>
      </c>
      <c r="O139" t="n">
        <v>145.6</v>
      </c>
    </row>
    <row r="140">
      <c r="A140" t="inlineStr">
        <is>
          <t>Rwanda</t>
        </is>
      </c>
      <c r="B140" t="n">
        <v>934.59</v>
      </c>
      <c r="C140" t="n">
        <v>-11.6</v>
      </c>
      <c r="D140" t="n">
        <v>66.7</v>
      </c>
      <c r="E140" t="n">
        <v>11</v>
      </c>
      <c r="F140" t="n">
        <v>-0.005</v>
      </c>
      <c r="G140" t="n">
        <v>0.092</v>
      </c>
      <c r="H140" t="n">
        <v>-7.9</v>
      </c>
      <c r="I140" t="n">
        <v>22.4</v>
      </c>
      <c r="J140" t="n">
        <v>-0.034</v>
      </c>
      <c r="K140" t="n">
        <v>7</v>
      </c>
      <c r="L140" t="n">
        <v>0.045</v>
      </c>
      <c r="M140" t="n">
        <v>17.2</v>
      </c>
      <c r="N140" t="n">
        <v>0.235</v>
      </c>
      <c r="O140" t="n">
        <v>13.25</v>
      </c>
    </row>
    <row r="141">
      <c r="A141" t="inlineStr">
        <is>
          <t>Sao Tomeand Principe</t>
        </is>
      </c>
      <c r="B141" t="n">
        <v>20.8</v>
      </c>
      <c r="C141" t="n">
        <v>-11.3</v>
      </c>
      <c r="D141" t="n">
        <v>88</v>
      </c>
      <c r="E141" t="n">
        <v>1</v>
      </c>
      <c r="F141" t="n">
        <v/>
      </c>
      <c r="G141" t="n">
        <v>0.018</v>
      </c>
      <c r="H141" t="n">
        <v>-1.5</v>
      </c>
      <c r="I141" t="n">
        <v>20</v>
      </c>
      <c r="J141" t="n">
        <v>0.08400000000000001</v>
      </c>
      <c r="K141" t="n">
        <v>10</v>
      </c>
      <c r="L141" t="n">
        <v>0.09</v>
      </c>
      <c r="M141" t="n">
        <v>15.3</v>
      </c>
      <c r="N141" t="n">
        <v>0.139</v>
      </c>
      <c r="O141" t="n">
        <v>0.22</v>
      </c>
    </row>
    <row r="142">
      <c r="A142" t="inlineStr">
        <is>
          <t>Saudi Arabia</t>
        </is>
      </c>
      <c r="B142" t="n">
        <v>3.75</v>
      </c>
      <c r="C142" t="n">
        <v>13.8</v>
      </c>
      <c r="D142" t="n">
        <v>30</v>
      </c>
      <c r="E142" t="n">
        <v>834</v>
      </c>
      <c r="F142" t="n">
        <v>-0.014</v>
      </c>
      <c r="G142" t="n">
        <v>0.038</v>
      </c>
      <c r="H142" t="n">
        <v>2.5</v>
      </c>
      <c r="I142" t="n">
        <v>2.8</v>
      </c>
      <c r="J142" t="n">
        <v>0.011</v>
      </c>
      <c r="K142" t="n">
        <v>5.75</v>
      </c>
      <c r="L142" t="n">
        <v>0.01</v>
      </c>
      <c r="M142" t="n">
        <v>4.8</v>
      </c>
      <c r="N142" t="n">
        <v>0.066</v>
      </c>
      <c r="O142" t="n">
        <v>32.18</v>
      </c>
    </row>
    <row r="143">
      <c r="A143" t="inlineStr">
        <is>
          <t>Senegal</t>
        </is>
      </c>
      <c r="B143" t="n">
        <v>588.96</v>
      </c>
      <c r="C143" t="n">
        <v>-17.5</v>
      </c>
      <c r="D143" t="n">
        <v>73</v>
      </c>
      <c r="E143" t="n">
        <v>28</v>
      </c>
      <c r="F143" t="n">
        <v>0.03</v>
      </c>
      <c r="G143" t="n">
        <v>0.033</v>
      </c>
      <c r="H143" t="n">
        <v>-5.9</v>
      </c>
      <c r="I143" t="n">
        <v>8.300000000000001</v>
      </c>
      <c r="J143" t="n">
        <v>0.03</v>
      </c>
      <c r="K143" t="n">
        <v>5</v>
      </c>
      <c r="L143" t="n">
        <v>0.04</v>
      </c>
      <c r="M143" t="n">
        <v>22</v>
      </c>
      <c r="N143" t="n">
        <v>0.226</v>
      </c>
      <c r="O143" t="n">
        <v>17.7</v>
      </c>
    </row>
    <row r="144">
      <c r="A144" t="inlineStr">
        <is>
          <t>Serbia</t>
        </is>
      </c>
      <c r="B144" t="n">
        <v>105.49</v>
      </c>
      <c r="C144" t="n">
        <v>-6.9</v>
      </c>
      <c r="D144" t="n">
        <v>55.1</v>
      </c>
      <c r="E144" t="n">
        <v>63</v>
      </c>
      <c r="F144" t="n">
        <v>-0.002</v>
      </c>
      <c r="G144" t="n">
        <v>0.006999999999999999</v>
      </c>
      <c r="H144" t="n">
        <v>-3.3</v>
      </c>
      <c r="I144" t="n">
        <v>14.8</v>
      </c>
      <c r="J144" t="n">
        <v>0.075</v>
      </c>
      <c r="K144" t="n">
        <v>6.25</v>
      </c>
      <c r="L144" t="n">
        <v>0.01</v>
      </c>
      <c r="M144" t="n">
        <v>10.1</v>
      </c>
      <c r="N144" t="n">
        <v>0.105</v>
      </c>
      <c r="O144" t="n">
        <v>6.8</v>
      </c>
    </row>
    <row r="145" ht="16" customHeight="1" thickBot="1">
      <c r="A145" t="inlineStr">
        <is>
          <t>Seychelles</t>
        </is>
      </c>
      <c r="B145" t="n">
        <v>13.7</v>
      </c>
      <c r="C145" t="n">
        <v>-8</v>
      </c>
      <c r="D145" t="n">
        <v>65</v>
      </c>
      <c r="E145" t="n">
        <v>1</v>
      </c>
      <c r="F145" t="n">
        <v/>
      </c>
      <c r="G145" t="n">
        <v>0.14</v>
      </c>
      <c r="H145" t="n">
        <v>-1.7</v>
      </c>
      <c r="I145" t="n">
        <v>-1.02</v>
      </c>
      <c r="J145" t="n">
        <v>0.09369999999999999</v>
      </c>
      <c r="K145" t="n">
        <v>2</v>
      </c>
      <c r="L145" t="n">
        <v>0.02</v>
      </c>
      <c r="M145" t="n">
        <v>3</v>
      </c>
      <c r="N145" t="n">
        <v>0.04</v>
      </c>
      <c r="O145" t="n">
        <v>0.1</v>
      </c>
    </row>
    <row r="146" ht="16" customHeight="1" thickBot="1">
      <c r="A146" t="inlineStr">
        <is>
          <t>Sierra Leone</t>
        </is>
      </c>
      <c r="B146" t="n">
        <v>9800</v>
      </c>
      <c r="C146" t="n">
        <v>-10.3</v>
      </c>
      <c r="D146" t="n">
        <v>75</v>
      </c>
      <c r="E146" t="n">
        <v>4</v>
      </c>
      <c r="F146" t="n">
        <v/>
      </c>
      <c r="G146" t="n">
        <v>0.038</v>
      </c>
      <c r="H146" t="n">
        <v>-7.1</v>
      </c>
      <c r="I146" t="n">
        <v>43.05</v>
      </c>
      <c r="J146" t="n">
        <v>0.1455</v>
      </c>
      <c r="K146" t="n">
        <v>18.75</v>
      </c>
      <c r="L146" t="n">
        <v>0.14</v>
      </c>
      <c r="M146" t="n">
        <v>3.6</v>
      </c>
      <c r="N146" t="n">
        <v>0.046</v>
      </c>
      <c r="O146" t="n">
        <v>8.42</v>
      </c>
    </row>
    <row r="147" ht="16" customHeight="1" thickBot="1">
      <c r="A147" t="inlineStr">
        <is>
          <t>Singapore</t>
        </is>
      </c>
      <c r="B147" t="n">
        <v>1.37</v>
      </c>
      <c r="C147" t="n">
        <v>19.3</v>
      </c>
      <c r="D147" t="n">
        <v>160</v>
      </c>
      <c r="E147" t="n">
        <v>397</v>
      </c>
      <c r="F147" t="n">
        <v>-0.004</v>
      </c>
      <c r="G147" t="n">
        <v>0.004</v>
      </c>
      <c r="H147" t="n">
        <v>-0.3</v>
      </c>
      <c r="I147" t="n">
        <v>5.1</v>
      </c>
      <c r="J147" t="n">
        <v>0.032</v>
      </c>
      <c r="K147" t="n">
        <v>3.63</v>
      </c>
      <c r="L147" t="n">
        <v>0.0022</v>
      </c>
      <c r="M147" t="n">
        <v>1.8</v>
      </c>
      <c r="N147" t="n">
        <v>0.026</v>
      </c>
      <c r="O147" t="n">
        <v>5.64</v>
      </c>
    </row>
    <row r="148" ht="16" customHeight="1" thickBot="1">
      <c r="A148" t="inlineStr">
        <is>
          <t>Slovakia</t>
        </is>
      </c>
      <c r="B148" t="n">
        <v>1.11</v>
      </c>
      <c r="C148" t="n">
        <v>-8.300000000000001</v>
      </c>
      <c r="D148" t="n">
        <v>57.8</v>
      </c>
      <c r="E148" t="n">
        <v>115</v>
      </c>
      <c r="F148" t="n">
        <v>0.003</v>
      </c>
      <c r="G148" t="n">
        <v>0.01</v>
      </c>
      <c r="H148" t="n">
        <v>-2</v>
      </c>
      <c r="I148" t="n">
        <v>11.9</v>
      </c>
      <c r="J148" t="n">
        <v>0.05599999999999999</v>
      </c>
      <c r="K148" t="n">
        <v>4</v>
      </c>
      <c r="L148" t="n">
        <v>0</v>
      </c>
      <c r="M148" t="n">
        <v>5.1</v>
      </c>
      <c r="N148" t="n">
        <v>0.066</v>
      </c>
      <c r="O148" t="n">
        <v>5.43</v>
      </c>
    </row>
    <row r="149">
      <c r="A149" t="inlineStr">
        <is>
          <t>Slovenia</t>
        </is>
      </c>
      <c r="B149" t="n">
        <v>1.11</v>
      </c>
      <c r="C149" t="n">
        <v>-0.4</v>
      </c>
      <c r="D149" t="n">
        <v>69.90000000000001</v>
      </c>
      <c r="E149" t="n">
        <v>62</v>
      </c>
      <c r="F149" t="n">
        <v>0.006</v>
      </c>
      <c r="G149" t="n">
        <v>0.006999999999999999</v>
      </c>
      <c r="H149" t="n">
        <v>-3</v>
      </c>
      <c r="I149" t="n">
        <v>8.4</v>
      </c>
      <c r="J149" t="n">
        <v>0.046</v>
      </c>
      <c r="K149" t="n">
        <v>4</v>
      </c>
      <c r="L149" t="n">
        <v>0</v>
      </c>
      <c r="M149" t="n">
        <v>5</v>
      </c>
      <c r="N149" t="n">
        <v>0.068</v>
      </c>
      <c r="O149" t="n">
        <v>2.11</v>
      </c>
    </row>
    <row r="150" ht="16" customHeight="1" thickBot="1">
      <c r="A150" t="inlineStr">
        <is>
          <t>Somalia</t>
        </is>
      </c>
      <c r="B150" t="n">
        <v>578.5</v>
      </c>
      <c r="C150" t="n">
        <v/>
      </c>
      <c r="D150" t="n">
        <v/>
      </c>
      <c r="E150" t="n">
        <v>8</v>
      </c>
      <c r="F150" t="n">
        <v/>
      </c>
      <c r="G150" t="n">
        <v>0.03</v>
      </c>
      <c r="H150" t="n">
        <v/>
      </c>
      <c r="I150" t="n">
        <v>6.6</v>
      </c>
      <c r="J150" t="n">
        <v>0.0503</v>
      </c>
      <c r="K150" t="n">
        <v/>
      </c>
      <c r="L150" t="n">
        <v/>
      </c>
      <c r="M150" t="n">
        <v/>
      </c>
      <c r="N150" t="n">
        <v/>
      </c>
      <c r="O150" t="n">
        <v>17.06</v>
      </c>
    </row>
    <row r="151" ht="16" customHeight="1" thickBot="1">
      <c r="A151" t="inlineStr">
        <is>
          <t>South Africa</t>
        </is>
      </c>
      <c r="B151" t="n">
        <v>14.73</v>
      </c>
      <c r="C151" t="n">
        <v>-0.5</v>
      </c>
      <c r="D151" t="n">
        <v>67.40000000000001</v>
      </c>
      <c r="E151" t="n">
        <v>419</v>
      </c>
      <c r="F151" t="n">
        <v>0.004</v>
      </c>
      <c r="G151" t="n">
        <v>0.002</v>
      </c>
      <c r="H151" t="n">
        <v>-4.2</v>
      </c>
      <c r="I151" t="n">
        <v>6.3</v>
      </c>
      <c r="J151" t="n">
        <v>0.055</v>
      </c>
      <c r="K151" t="n">
        <v>8.25</v>
      </c>
      <c r="L151" t="n">
        <v>0.0375</v>
      </c>
      <c r="M151" t="n">
        <v>32.9</v>
      </c>
      <c r="N151" t="n">
        <v>0.349</v>
      </c>
      <c r="O151" t="n">
        <v>59.89</v>
      </c>
    </row>
    <row r="152" ht="16" customHeight="1" thickBot="1">
      <c r="A152" t="inlineStr">
        <is>
          <t>South Korea</t>
        </is>
      </c>
      <c r="B152" t="n">
        <v>1145.85</v>
      </c>
      <c r="C152" t="n">
        <v>3.2</v>
      </c>
      <c r="D152" t="n">
        <v>49.6</v>
      </c>
      <c r="E152" t="n">
        <v>1799</v>
      </c>
      <c r="F152" t="n">
        <v>0.003</v>
      </c>
      <c r="G152" t="n">
        <v>0.009000000000000001</v>
      </c>
      <c r="H152" t="n">
        <v>-7</v>
      </c>
      <c r="I152" t="n">
        <v>3.3</v>
      </c>
      <c r="J152" t="n">
        <v>0.03700000000000001</v>
      </c>
      <c r="K152" t="n">
        <v>3.5</v>
      </c>
      <c r="L152" t="n">
        <v>0.01</v>
      </c>
      <c r="M152" t="n">
        <v>2.5</v>
      </c>
      <c r="N152" t="n">
        <v>0.031</v>
      </c>
      <c r="O152" t="n">
        <v>51.63</v>
      </c>
    </row>
    <row r="153" ht="16" customHeight="1" thickBot="1">
      <c r="A153" t="inlineStr">
        <is>
          <t>South Sudan</t>
        </is>
      </c>
      <c r="B153" t="n">
        <v>175.31</v>
      </c>
      <c r="C153" t="n">
        <v/>
      </c>
      <c r="D153" t="n">
        <v/>
      </c>
      <c r="E153" t="n">
        <v>1</v>
      </c>
      <c r="F153" t="n">
        <v/>
      </c>
      <c r="G153" t="n">
        <v>-0.023</v>
      </c>
      <c r="H153" t="n">
        <v/>
      </c>
      <c r="I153" t="n">
        <v>1.7</v>
      </c>
      <c r="J153" t="n">
        <v>0.0581</v>
      </c>
      <c r="K153" t="n">
        <v>12</v>
      </c>
      <c r="L153" t="n">
        <v>0.15</v>
      </c>
      <c r="M153" t="n">
        <v>13</v>
      </c>
      <c r="N153" t="n">
        <v>0.127</v>
      </c>
      <c r="O153" t="n">
        <v>10.75</v>
      </c>
    </row>
    <row r="154" ht="16" customHeight="1" thickBot="1">
      <c r="A154" t="inlineStr">
        <is>
          <t>Spain</t>
        </is>
      </c>
      <c r="B154" t="n">
        <v>1.11</v>
      </c>
      <c r="C154" t="n">
        <v>0.6</v>
      </c>
      <c r="D154" t="n">
        <v>113.2</v>
      </c>
      <c r="E154" t="n">
        <v>1427</v>
      </c>
      <c r="F154" t="n">
        <v>0.006</v>
      </c>
      <c r="G154" t="n">
        <v>0.042</v>
      </c>
      <c r="H154" t="n">
        <v>-4.8</v>
      </c>
      <c r="I154" t="n">
        <v>3.2</v>
      </c>
      <c r="J154" t="n">
        <v>0.055</v>
      </c>
      <c r="K154" t="n">
        <v>4</v>
      </c>
      <c r="L154" t="n">
        <v>0</v>
      </c>
      <c r="M154" t="n">
        <v>13.26</v>
      </c>
      <c r="N154" t="n">
        <v>0.1457</v>
      </c>
      <c r="O154" t="n">
        <v>47.43</v>
      </c>
    </row>
    <row r="155" ht="16" customHeight="1" thickBot="1">
      <c r="A155" t="inlineStr">
        <is>
          <t>Sri Lanka</t>
        </is>
      </c>
      <c r="B155" t="n">
        <v>199</v>
      </c>
      <c r="C155" t="n">
        <v>-1.9</v>
      </c>
      <c r="D155" t="n">
        <v>113.8</v>
      </c>
      <c r="E155" t="n">
        <v>89</v>
      </c>
      <c r="F155" t="n">
        <v>0.014</v>
      </c>
      <c r="G155" t="n">
        <v>-0.115</v>
      </c>
      <c r="H155" t="n">
        <v>-10.2</v>
      </c>
      <c r="I155" t="n">
        <v>25.2</v>
      </c>
      <c r="J155" t="n">
        <v>0.099</v>
      </c>
      <c r="K155" t="n">
        <v>13</v>
      </c>
      <c r="L155" t="n">
        <v>0.05</v>
      </c>
      <c r="M155" t="n">
        <v>4.8</v>
      </c>
      <c r="N155" t="n">
        <v>0.051</v>
      </c>
      <c r="O155" t="n">
        <v>22.18</v>
      </c>
    </row>
    <row r="156" ht="16" customHeight="1" thickBot="1">
      <c r="A156" t="inlineStr">
        <is>
          <t>Sudan</t>
        </is>
      </c>
      <c r="B156" t="n">
        <v>45.11</v>
      </c>
      <c r="C156" t="n">
        <v>-10</v>
      </c>
      <c r="D156" t="n">
        <v>182</v>
      </c>
      <c r="E156" t="n">
        <v>34</v>
      </c>
      <c r="F156" t="n">
        <v/>
      </c>
      <c r="G156" t="n">
        <v>0.005</v>
      </c>
      <c r="H156" t="n">
        <v>-3</v>
      </c>
      <c r="I156" t="n">
        <v>63.3</v>
      </c>
      <c r="J156" t="n">
        <v>3.396</v>
      </c>
      <c r="K156" t="n">
        <v>27.3</v>
      </c>
      <c r="L156" t="n">
        <v>0.171</v>
      </c>
      <c r="M156" t="n">
        <v>18.7</v>
      </c>
      <c r="N156" t="n">
        <v>0.177</v>
      </c>
      <c r="O156" t="n">
        <v>45.66</v>
      </c>
    </row>
    <row r="157" ht="16" customHeight="1" thickBot="1">
      <c r="A157" t="inlineStr">
        <is>
          <t>Suriname</t>
        </is>
      </c>
      <c r="B157" t="n">
        <v>7.46</v>
      </c>
      <c r="C157" t="n">
        <v>-1.7</v>
      </c>
      <c r="D157" t="n">
        <v>123.8</v>
      </c>
      <c r="E157" t="n">
        <v>3</v>
      </c>
      <c r="F157" t="n">
        <v/>
      </c>
      <c r="G157" t="n">
        <v>0.021</v>
      </c>
      <c r="H157" t="n">
        <v>-0.9</v>
      </c>
      <c r="I157" t="n">
        <v>65.7</v>
      </c>
      <c r="J157" t="n">
        <v>0.695</v>
      </c>
      <c r="K157" t="n">
        <v>10</v>
      </c>
      <c r="L157" t="n">
        <v>0.1</v>
      </c>
      <c r="M157" t="n">
        <v>8.6</v>
      </c>
      <c r="N157" t="n">
        <v>0.112</v>
      </c>
      <c r="O157" t="n">
        <v>0.6</v>
      </c>
    </row>
    <row r="158" ht="16" customHeight="1" thickBot="1">
      <c r="A158" t="inlineStr">
        <is>
          <t>Swaziland</t>
        </is>
      </c>
      <c r="B158" t="n">
        <v>14.36</v>
      </c>
      <c r="C158" t="n">
        <v>6</v>
      </c>
      <c r="D158" t="n">
        <v>19.44</v>
      </c>
      <c r="E158" t="n">
        <v>5</v>
      </c>
      <c r="F158" t="n">
        <v/>
      </c>
      <c r="G158" t="n">
        <v>0.079</v>
      </c>
      <c r="H158" t="n">
        <v>-4.9</v>
      </c>
      <c r="I158" t="n">
        <v>6.1</v>
      </c>
      <c r="J158" t="n">
        <v>0.033</v>
      </c>
      <c r="K158" t="n">
        <v>7.75</v>
      </c>
      <c r="L158" t="n">
        <v>0.0375</v>
      </c>
      <c r="M158" t="n">
        <v>24.4</v>
      </c>
      <c r="N158" t="n">
        <v>0.234</v>
      </c>
      <c r="O158" t="n">
        <v>1.16</v>
      </c>
    </row>
    <row r="159" ht="16" customHeight="1" thickBot="1">
      <c r="A159" t="inlineStr">
        <is>
          <t>Sweden</t>
        </is>
      </c>
      <c r="B159" t="n">
        <v>8.65</v>
      </c>
      <c r="C159" t="n">
        <v>4.3</v>
      </c>
      <c r="D159" t="n">
        <v>33</v>
      </c>
      <c r="E159" t="n">
        <v>636</v>
      </c>
      <c r="F159" t="n">
        <v>0.006</v>
      </c>
      <c r="G159" t="n">
        <v>0.008</v>
      </c>
      <c r="H159" t="n">
        <v>0.7</v>
      </c>
      <c r="I159" t="n">
        <v>9.699999999999999</v>
      </c>
      <c r="J159" t="n">
        <v>0.033</v>
      </c>
      <c r="K159" t="n">
        <v>3.5</v>
      </c>
      <c r="L159" t="n">
        <v>0</v>
      </c>
      <c r="M159" t="n">
        <v>7.9</v>
      </c>
      <c r="N159" t="n">
        <v>0.075</v>
      </c>
      <c r="O159" t="n">
        <v>10.45</v>
      </c>
    </row>
    <row r="160" ht="16" customHeight="1" thickBot="1">
      <c r="A160" t="inlineStr">
        <is>
          <t>Switzerland</t>
        </is>
      </c>
      <c r="B160" t="n">
        <v>0.92</v>
      </c>
      <c r="C160" t="n">
        <v>9.800000000000001</v>
      </c>
      <c r="D160" t="n">
        <v>41.4</v>
      </c>
      <c r="E160" t="n">
        <v>801</v>
      </c>
      <c r="F160" t="n">
        <v>0.003</v>
      </c>
      <c r="G160" t="n">
        <v>0.006</v>
      </c>
      <c r="H160" t="n">
        <v>1</v>
      </c>
      <c r="I160" t="n">
        <v>2.2</v>
      </c>
      <c r="J160" t="n">
        <v>0.015</v>
      </c>
      <c r="K160" t="n">
        <v>1.75</v>
      </c>
      <c r="L160" t="n">
        <v>-0.0075</v>
      </c>
      <c r="M160" t="n">
        <v>1.9</v>
      </c>
      <c r="N160" t="n">
        <v>0.025</v>
      </c>
      <c r="O160" t="n">
        <v>8.74</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9.6</v>
      </c>
      <c r="N161" t="n">
        <v>0.09</v>
      </c>
      <c r="O161" t="n">
        <v>18.27</v>
      </c>
    </row>
    <row r="162" ht="16" customHeight="1" thickBot="1">
      <c r="A162" t="inlineStr">
        <is>
          <t>Taiwan</t>
        </is>
      </c>
      <c r="B162" t="n">
        <v>28.02</v>
      </c>
      <c r="C162" t="n">
        <v>14.8</v>
      </c>
      <c r="D162" t="n">
        <v>28.2</v>
      </c>
      <c r="E162" t="n">
        <v>775</v>
      </c>
      <c r="F162" t="n">
        <v>-0.0059</v>
      </c>
      <c r="G162" t="n">
        <v>-0.0287</v>
      </c>
      <c r="H162" t="n">
        <v>-0.5</v>
      </c>
      <c r="I162" t="n">
        <v>2.02</v>
      </c>
      <c r="J162" t="n">
        <v>0.0284</v>
      </c>
      <c r="K162" t="n">
        <v>1.88</v>
      </c>
      <c r="L162" t="n">
        <v>0.0113</v>
      </c>
      <c r="M162" t="n">
        <v>3.56</v>
      </c>
      <c r="N162" t="n">
        <v>0.0371</v>
      </c>
      <c r="O162" t="n">
        <v>23.26</v>
      </c>
    </row>
    <row r="163" ht="16" customHeight="1" thickBot="1">
      <c r="A163" t="inlineStr">
        <is>
          <t>Tajikistan</t>
        </is>
      </c>
      <c r="B163" t="n">
        <v>9.68</v>
      </c>
      <c r="C163" t="n">
        <v>6.2</v>
      </c>
      <c r="D163" t="n">
        <v>34.6</v>
      </c>
      <c r="E163" t="n">
        <v>9</v>
      </c>
      <c r="F163" t="n">
        <v/>
      </c>
      <c r="G163" t="n">
        <v>0.078</v>
      </c>
      <c r="H163" t="n">
        <v>0.2</v>
      </c>
      <c r="I163" t="n">
        <v>3.4</v>
      </c>
      <c r="J163" t="n">
        <v>0.08699999999999999</v>
      </c>
      <c r="K163" t="n">
        <v>10</v>
      </c>
      <c r="L163" t="n">
        <v>0.1325</v>
      </c>
      <c r="M163" t="n">
        <v>7.8</v>
      </c>
      <c r="N163" t="n">
        <v>0.075</v>
      </c>
      <c r="O163" t="n">
        <v>9.890000000000001</v>
      </c>
    </row>
    <row r="164" ht="16" customHeight="1" thickBot="1">
      <c r="A164" t="inlineStr">
        <is>
          <t>Tanzania</t>
        </is>
      </c>
      <c r="B164" t="n">
        <v>2314</v>
      </c>
      <c r="C164" t="n">
        <v>-5.7</v>
      </c>
      <c r="D164" t="n">
        <v>40.13</v>
      </c>
      <c r="E164" t="n">
        <v>68</v>
      </c>
      <c r="F164" t="n">
        <v>0.015</v>
      </c>
      <c r="G164" t="n">
        <v>0.052</v>
      </c>
      <c r="H164" t="n">
        <v>-3.6</v>
      </c>
      <c r="I164" t="n">
        <v>4</v>
      </c>
      <c r="J164" t="n">
        <v>0.04099999999999999</v>
      </c>
      <c r="K164" t="n">
        <v>5</v>
      </c>
      <c r="L164" t="n">
        <v>0.05</v>
      </c>
      <c r="M164" t="n">
        <v>9.300000000000001</v>
      </c>
      <c r="N164" t="n">
        <v>0.095</v>
      </c>
      <c r="O164" t="n">
        <v>61.74</v>
      </c>
    </row>
    <row r="165" ht="16" customHeight="1" thickBot="1">
      <c r="A165" t="inlineStr">
        <is>
          <t>Thailand</t>
        </is>
      </c>
      <c r="B165" t="n">
        <v>32.64</v>
      </c>
      <c r="C165" t="n">
        <v>-0.5</v>
      </c>
      <c r="D165" t="n">
        <v>60.96</v>
      </c>
      <c r="E165" t="n">
        <v>506</v>
      </c>
      <c r="F165" t="n">
        <v>0.019</v>
      </c>
      <c r="G165" t="n">
        <v>0.027</v>
      </c>
      <c r="H165" t="n">
        <v>-4.9</v>
      </c>
      <c r="I165" t="n">
        <v>0.53</v>
      </c>
      <c r="J165" t="n">
        <v>0.0271</v>
      </c>
      <c r="K165" t="n">
        <v>2</v>
      </c>
      <c r="L165" t="n">
        <v>0.005</v>
      </c>
      <c r="M165" t="n">
        <v>1.05</v>
      </c>
      <c r="N165" t="n">
        <v>0.0225</v>
      </c>
      <c r="O165" t="n">
        <v>66.17</v>
      </c>
    </row>
    <row r="166" ht="16" customHeight="1" thickBot="1">
      <c r="A166" t="inlineStr">
        <is>
          <t>Togo</t>
        </is>
      </c>
      <c r="B166" t="n">
        <v>588.96</v>
      </c>
      <c r="C166" t="n">
        <v>-3.7</v>
      </c>
      <c r="D166" t="n">
        <v>61</v>
      </c>
      <c r="E166" t="n">
        <v>8</v>
      </c>
      <c r="F166" t="n">
        <v/>
      </c>
      <c r="G166" t="n">
        <v>0.055</v>
      </c>
      <c r="H166" t="n">
        <v>-8.4</v>
      </c>
      <c r="I166" t="n">
        <v>5.8</v>
      </c>
      <c r="J166" t="n">
        <v>0.059</v>
      </c>
      <c r="K166" t="n">
        <v>5</v>
      </c>
      <c r="L166" t="n">
        <v>0.04</v>
      </c>
      <c r="M166" t="n">
        <v>4.1</v>
      </c>
      <c r="N166" t="n">
        <v>0.04099999999999999</v>
      </c>
      <c r="O166" t="n">
        <v>8.640000000000001</v>
      </c>
    </row>
    <row r="167" ht="16" customHeight="1" thickBot="1">
      <c r="A167" t="inlineStr">
        <is>
          <t>Trinidadand Tobago</t>
        </is>
      </c>
      <c r="B167" t="n">
        <v>6.74</v>
      </c>
      <c r="C167" t="n">
        <v>11.9</v>
      </c>
      <c r="D167" t="n">
        <v>83.3</v>
      </c>
      <c r="E167" t="n">
        <v>24</v>
      </c>
      <c r="F167" t="n">
        <v>-0.027</v>
      </c>
      <c r="G167" t="n">
        <v>0.025</v>
      </c>
      <c r="H167" t="n">
        <v>0.6</v>
      </c>
      <c r="I167" t="n">
        <v>6</v>
      </c>
      <c r="J167" t="n">
        <v>0.022</v>
      </c>
      <c r="K167" t="n">
        <v>3.5</v>
      </c>
      <c r="L167" t="n">
        <v>0.035</v>
      </c>
      <c r="M167" t="n">
        <v>4.7</v>
      </c>
      <c r="N167" t="n">
        <v>0.051</v>
      </c>
      <c r="O167" t="n">
        <v>1.37</v>
      </c>
    </row>
    <row r="168" ht="16" customHeight="1" thickBot="1">
      <c r="A168" t="inlineStr">
        <is>
          <t>Tunisia</t>
        </is>
      </c>
      <c r="B168" t="n">
        <v>2.8</v>
      </c>
      <c r="C168" t="n">
        <v>-8.6</v>
      </c>
      <c r="D168" t="n">
        <v>80</v>
      </c>
      <c r="E168" t="n">
        <v>47</v>
      </c>
      <c r="F168" t="n">
        <v>0.008</v>
      </c>
      <c r="G168" t="n">
        <v>0.021</v>
      </c>
      <c r="H168" t="n">
        <v>-10</v>
      </c>
      <c r="I168" t="n">
        <v>9.6</v>
      </c>
      <c r="J168" t="n">
        <v>0.064</v>
      </c>
      <c r="K168" t="n">
        <v>8</v>
      </c>
      <c r="L168" t="n">
        <v>0.0625</v>
      </c>
      <c r="M168" t="n">
        <v>15.2</v>
      </c>
      <c r="N168" t="n">
        <v>0.178</v>
      </c>
      <c r="O168" t="n">
        <v>11.8</v>
      </c>
    </row>
    <row r="169" ht="16" customHeight="1" thickBot="1">
      <c r="A169" t="inlineStr">
        <is>
          <t>Turkey</t>
        </is>
      </c>
      <c r="B169" t="n">
        <v>8.619999999999999</v>
      </c>
      <c r="C169" t="n">
        <v>-5.4</v>
      </c>
      <c r="D169" t="n">
        <v>31.7</v>
      </c>
      <c r="E169" t="n">
        <v>819</v>
      </c>
      <c r="F169" t="n">
        <v>0.003</v>
      </c>
      <c r="G169" t="n">
        <v>0.04</v>
      </c>
      <c r="H169" t="n">
        <v>-0.9</v>
      </c>
      <c r="I169" t="n">
        <v>39.59</v>
      </c>
      <c r="J169" t="n">
        <v>0.2131</v>
      </c>
      <c r="K169" t="n">
        <v>15</v>
      </c>
      <c r="L169" t="n">
        <v>0.14</v>
      </c>
      <c r="M169" t="n">
        <v>10.2</v>
      </c>
      <c r="N169" t="n">
        <v>0.112</v>
      </c>
      <c r="O169" t="n">
        <v>85.28</v>
      </c>
    </row>
    <row r="170" ht="16" customHeight="1" thickBot="1">
      <c r="A170" t="inlineStr">
        <is>
          <t>Turkmenistan</t>
        </is>
      </c>
      <c r="B170" t="n">
        <v>3.5</v>
      </c>
      <c r="C170" t="n">
        <v>5.7</v>
      </c>
      <c r="D170" t="n">
        <v>8</v>
      </c>
      <c r="E170" t="n">
        <v>45</v>
      </c>
      <c r="F170" t="n">
        <v/>
      </c>
      <c r="G170" t="n">
        <v>0.062</v>
      </c>
      <c r="H170" t="n">
        <v>-0.3</v>
      </c>
      <c r="I170" t="n">
        <v>17.5</v>
      </c>
      <c r="J170" t="n">
        <v>0.1</v>
      </c>
      <c r="K170" t="n">
        <v/>
      </c>
      <c r="L170" t="n">
        <v/>
      </c>
      <c r="M170" t="n">
        <v>5.1</v>
      </c>
      <c r="N170" t="n">
        <v>0.0438</v>
      </c>
      <c r="O170" t="n">
        <v>6.12</v>
      </c>
    </row>
    <row r="171" ht="16" customHeight="1" thickBot="1">
      <c r="A171" t="inlineStr">
        <is>
          <t>Uganda</t>
        </is>
      </c>
      <c r="B171" t="n">
        <v>3665</v>
      </c>
      <c r="C171" t="n">
        <v>-9.5</v>
      </c>
      <c r="D171" t="n">
        <v>48.6</v>
      </c>
      <c r="E171" t="n">
        <v>41</v>
      </c>
      <c r="F171" t="n">
        <v>-0.006999999999999999</v>
      </c>
      <c r="G171" t="n">
        <v>0.044</v>
      </c>
      <c r="H171" t="n">
        <v>-7.5</v>
      </c>
      <c r="I171" t="n">
        <v>6.2</v>
      </c>
      <c r="J171" t="n">
        <v>0.026</v>
      </c>
      <c r="K171" t="n">
        <v>10</v>
      </c>
      <c r="L171" t="n">
        <v>0.065</v>
      </c>
      <c r="M171" t="n">
        <v>4.3</v>
      </c>
      <c r="N171" t="n">
        <v>0.0244</v>
      </c>
      <c r="O171" t="n">
        <v>45.85</v>
      </c>
    </row>
    <row r="172" ht="16" customHeight="1" thickBot="1">
      <c r="A172" t="inlineStr">
        <is>
          <t>Ukraine</t>
        </is>
      </c>
      <c r="B172" t="n">
        <v>27.25</v>
      </c>
      <c r="C172" t="n">
        <v>-1.3</v>
      </c>
      <c r="D172" t="n">
        <v>78.40000000000001</v>
      </c>
      <c r="E172" t="n">
        <v>200</v>
      </c>
      <c r="F172" t="n">
        <v>0.024</v>
      </c>
      <c r="G172" t="n">
        <v>-0.105</v>
      </c>
      <c r="H172" t="n">
        <v>-16.3</v>
      </c>
      <c r="I172" t="n">
        <v>15.3</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415</v>
      </c>
      <c r="F173" t="n">
        <v>0.02</v>
      </c>
      <c r="G173" t="n">
        <v>0.08500000000000001</v>
      </c>
      <c r="H173" t="n">
        <v>0.8</v>
      </c>
      <c r="I173" t="n">
        <v>3.05</v>
      </c>
      <c r="J173" t="n">
        <v>0.012</v>
      </c>
      <c r="K173" t="n">
        <v>5.15</v>
      </c>
      <c r="L173" t="n">
        <v>0.015</v>
      </c>
      <c r="M173" t="n">
        <v>2.75</v>
      </c>
      <c r="N173" t="n">
        <v>0.05</v>
      </c>
      <c r="O173" t="n">
        <v>9.99</v>
      </c>
    </row>
    <row r="174" ht="16" customHeight="1" thickBot="1">
      <c r="A174" t="inlineStr">
        <is>
          <t>United Kingdom</t>
        </is>
      </c>
      <c r="B174" t="n">
        <v>1.25</v>
      </c>
      <c r="C174" t="n">
        <v>-5.6</v>
      </c>
      <c r="D174" t="n">
        <v>100.6</v>
      </c>
      <c r="E174" t="n">
        <v>3131</v>
      </c>
      <c r="F174" t="n">
        <v>0.001</v>
      </c>
      <c r="G174" t="n">
        <v>0.002</v>
      </c>
      <c r="H174" t="n">
        <v>-5.5</v>
      </c>
      <c r="I174" t="n">
        <v>8.699999999999999</v>
      </c>
      <c r="J174" t="n">
        <v>0.051</v>
      </c>
      <c r="K174" t="n">
        <v>5</v>
      </c>
      <c r="L174" t="n">
        <v>0.0025</v>
      </c>
      <c r="M174" t="n">
        <v>3.8</v>
      </c>
      <c r="N174" t="n">
        <v>0.042</v>
      </c>
      <c r="O174" t="n">
        <v>67.53</v>
      </c>
    </row>
    <row r="175" ht="16" customHeight="1" thickBot="1">
      <c r="A175" t="inlineStr">
        <is>
          <t>United States</t>
        </is>
      </c>
      <c r="B175" t="n">
        <v>98.56</v>
      </c>
      <c r="C175" t="n">
        <v>-3.7</v>
      </c>
      <c r="D175" t="n">
        <v>129</v>
      </c>
      <c r="E175" t="n">
        <v>23315</v>
      </c>
      <c r="F175" t="n">
        <v>0.013</v>
      </c>
      <c r="G175" t="n">
        <v>0.016</v>
      </c>
      <c r="H175" t="n">
        <v>-5.8</v>
      </c>
      <c r="I175" t="n">
        <v>4</v>
      </c>
      <c r="J175" t="n">
        <v>0.068</v>
      </c>
      <c r="K175" t="n">
        <v>5.25</v>
      </c>
      <c r="L175" t="n">
        <v>0.0025</v>
      </c>
      <c r="M175" t="n">
        <v>3.7</v>
      </c>
      <c r="N175" t="n">
        <v>0.042</v>
      </c>
      <c r="O175" t="n">
        <v>334.23</v>
      </c>
    </row>
    <row r="176" ht="16" customHeight="1" thickBot="1">
      <c r="A176" t="inlineStr">
        <is>
          <t>Uruguay</t>
        </is>
      </c>
      <c r="B176" t="n">
        <v>37.81</v>
      </c>
      <c r="C176" t="n">
        <v>-2.6</v>
      </c>
      <c r="D176" t="n">
        <v>71.5</v>
      </c>
      <c r="E176" t="n">
        <v>59</v>
      </c>
      <c r="F176" t="n">
        <v>0.006</v>
      </c>
      <c r="G176" t="n">
        <v>0.012</v>
      </c>
      <c r="H176" t="n">
        <v>-3</v>
      </c>
      <c r="I176" t="n">
        <v>7.1</v>
      </c>
      <c r="J176" t="n">
        <v>0.08070000000000001</v>
      </c>
      <c r="K176" t="n">
        <v>11.25</v>
      </c>
      <c r="L176" t="n">
        <v>0.0525</v>
      </c>
      <c r="M176" t="n">
        <v>8.800000000000001</v>
      </c>
      <c r="N176" t="n">
        <v>0.08</v>
      </c>
      <c r="O176" t="n">
        <v>3.54</v>
      </c>
    </row>
    <row r="177" ht="16" customHeight="1" thickBot="1">
      <c r="A177" t="inlineStr">
        <is>
          <t>Uzbekistan</t>
        </is>
      </c>
      <c r="B177" t="n">
        <v>9527.299999999999</v>
      </c>
      <c r="C177" t="n">
        <v>1.4</v>
      </c>
      <c r="D177" t="n">
        <v>38</v>
      </c>
      <c r="E177" t="n">
        <v>69</v>
      </c>
      <c r="F177" t="n">
        <v/>
      </c>
      <c r="G177" t="n">
        <v>0.057</v>
      </c>
      <c r="H177" t="n">
        <v>-6</v>
      </c>
      <c r="I177" t="n">
        <v>10.38</v>
      </c>
      <c r="J177" t="n">
        <v>0.103</v>
      </c>
      <c r="K177" t="n">
        <v>14</v>
      </c>
      <c r="L177" t="n">
        <v>0.14</v>
      </c>
      <c r="M177" t="n">
        <v>9.6</v>
      </c>
      <c r="N177" t="n">
        <v>0.098</v>
      </c>
      <c r="O177" t="n">
        <v>35.27</v>
      </c>
    </row>
    <row r="178" ht="16" customHeight="1" thickBot="1">
      <c r="A178" t="inlineStr">
        <is>
          <t>Venezuela</t>
        </is>
      </c>
      <c r="B178" t="n">
        <v>971748.8</v>
      </c>
      <c r="C178" t="n">
        <v>3.5</v>
      </c>
      <c r="D178" t="n">
        <v>241</v>
      </c>
      <c r="E178" t="n">
        <v>112</v>
      </c>
      <c r="F178" t="n">
        <v>-0.237</v>
      </c>
      <c r="G178" t="n">
        <v>-0.015</v>
      </c>
      <c r="H178" t="n">
        <v>-4.5</v>
      </c>
      <c r="I178" t="n">
        <v>429.2</v>
      </c>
      <c r="J178" t="n">
        <v>11.975</v>
      </c>
      <c r="K178" t="n">
        <v>57.57</v>
      </c>
      <c r="L178" t="n">
        <v>0.5686</v>
      </c>
      <c r="M178" t="n">
        <v>6.4</v>
      </c>
      <c r="N178" t="n">
        <v>0.064</v>
      </c>
      <c r="O178" t="n">
        <v>33.36</v>
      </c>
    </row>
    <row r="179">
      <c r="A179" t="inlineStr">
        <is>
          <t>Vietnam</t>
        </is>
      </c>
      <c r="B179" t="n">
        <v>23170</v>
      </c>
      <c r="C179" t="n">
        <v>-0.9</v>
      </c>
      <c r="D179" t="n">
        <v>39.6</v>
      </c>
      <c r="E179" t="n">
        <v>366</v>
      </c>
      <c r="F179" t="n">
        <v>0.0688</v>
      </c>
      <c r="G179" t="n">
        <v>0.0332</v>
      </c>
      <c r="H179" t="n">
        <v>-3.4</v>
      </c>
      <c r="I179" t="n">
        <v>2.43</v>
      </c>
      <c r="J179" t="n">
        <v>0.021</v>
      </c>
      <c r="K179" t="n">
        <v>4.5</v>
      </c>
      <c r="L179" t="n">
        <v>0.04</v>
      </c>
      <c r="M179" t="n">
        <v>2.25</v>
      </c>
      <c r="N179" t="n">
        <v>0.0372</v>
      </c>
      <c r="O179" t="n">
        <v>99.5</v>
      </c>
    </row>
    <row r="180" ht="16" customHeight="1" thickBot="1">
      <c r="A180" t="inlineStr">
        <is>
          <t>Yemen</t>
        </is>
      </c>
      <c r="B180" t="n">
        <v>246.5</v>
      </c>
      <c r="C180" t="n">
        <v>-5.9</v>
      </c>
      <c r="D180" t="n">
        <v>68.66</v>
      </c>
      <c r="E180" t="n">
        <v>21</v>
      </c>
      <c r="F180" t="n">
        <v/>
      </c>
      <c r="G180" t="n">
        <v>-0.02</v>
      </c>
      <c r="H180" t="n">
        <v>-5.2</v>
      </c>
      <c r="I180" t="n">
        <v>0.77</v>
      </c>
      <c r="J180" t="n">
        <v>0.0077</v>
      </c>
      <c r="K180" t="n">
        <v>27</v>
      </c>
      <c r="L180" t="n">
        <v>0.27</v>
      </c>
      <c r="M180" t="n">
        <v>13.59</v>
      </c>
      <c r="N180" t="n">
        <v>0.1342</v>
      </c>
      <c r="O180" t="n">
        <v>32.98</v>
      </c>
    </row>
    <row r="181" ht="16" customHeight="1" thickBot="1">
      <c r="A181" t="inlineStr">
        <is>
          <t>Zambia</t>
        </is>
      </c>
      <c r="B181" t="n">
        <v>22.64</v>
      </c>
      <c r="C181" t="n">
        <v>3.9</v>
      </c>
      <c r="D181" t="n">
        <v>123.17</v>
      </c>
      <c r="E181" t="n">
        <v>22</v>
      </c>
      <c r="F181" t="n">
        <v/>
      </c>
      <c r="G181" t="n">
        <v>0.061</v>
      </c>
      <c r="H181" t="n">
        <v>-9.800000000000001</v>
      </c>
      <c r="I181" t="n">
        <v>9.9</v>
      </c>
      <c r="J181" t="n">
        <v>0.193</v>
      </c>
      <c r="K181" t="n">
        <v>9.5</v>
      </c>
      <c r="L181" t="n">
        <v>0.09</v>
      </c>
      <c r="M181" t="n">
        <v>12.5</v>
      </c>
      <c r="N181" t="n">
        <v>0.122</v>
      </c>
      <c r="O181" t="n">
        <v>19.61</v>
      </c>
    </row>
    <row r="182">
      <c r="A182" t="inlineStr">
        <is>
          <t>Zimbabwe</t>
        </is>
      </c>
      <c r="B182" t="n">
        <v>16.36</v>
      </c>
      <c r="C182" t="n">
        <v>-1.89</v>
      </c>
      <c r="D182" t="n">
        <v>77.2</v>
      </c>
      <c r="E182" t="n">
        <v>28</v>
      </c>
      <c r="F182" t="n">
        <v/>
      </c>
      <c r="G182" t="n">
        <v>0.08500000000000001</v>
      </c>
      <c r="H182" t="n">
        <v>-0.9</v>
      </c>
      <c r="I182" t="n">
        <v>86.5</v>
      </c>
      <c r="J182" t="n">
        <v>0.584</v>
      </c>
      <c r="K182" t="n">
        <v>150</v>
      </c>
      <c r="L182" t="n">
        <v>0.6</v>
      </c>
      <c r="M182" t="n">
        <v>7.9</v>
      </c>
      <c r="N182" t="n">
        <v>0.057</v>
      </c>
      <c r="O182" t="n">
        <v>15.18</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2"/>
  <sheetViews>
    <sheetView zoomScale="70" zoomScaleNormal="70" workbookViewId="0">
      <pane xSplit="2" ySplit="9" topLeftCell="C89" activePane="bottomRight" state="frozen"/>
      <selection activeCell="T15" sqref="T15"/>
      <selection pane="topRight" activeCell="T15" sqref="T15"/>
      <selection pane="bottomLeft" activeCell="T15" sqref="T15"/>
      <selection pane="bottomRight" activeCell="F102" sqref="F102"/>
    </sheetView>
  </sheetViews>
  <sheetFormatPr baseColWidth="8" defaultColWidth="8.81640625" defaultRowHeight="14.5"/>
  <cols>
    <col width="9.1796875" customWidth="1" style="74" min="1" max="1"/>
    <col width="13" bestFit="1" customWidth="1" min="2" max="2"/>
    <col width="9" bestFit="1" customWidth="1" min="3" max="26"/>
    <col width="9" customWidth="1" min="27" max="27"/>
    <col width="6.1796875" customWidth="1" min="28" max="28"/>
    <col width="8" bestFit="1" customWidth="1" style="74" min="29" max="29"/>
    <col width="16.36328125" bestFit="1" customWidth="1" style="74" min="30" max="30"/>
    <col width="8" bestFit="1" customWidth="1" style="74" min="31" max="31"/>
    <col width="5.36328125" bestFit="1" customWidth="1" style="74" min="32" max="32"/>
    <col width="37" bestFit="1" customWidth="1" style="74" min="33" max="33"/>
    <col width="41"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4">
      <c r="AD2" s="74" t="inlineStr">
        <is>
          <t>Last quarter</t>
        </is>
      </c>
      <c r="AE2" s="63" t="inlineStr">
        <is>
          <t>2022-Q4</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4"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4"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4" t="n"/>
      <c r="AC6" s="18" t="n"/>
      <c r="AD6" s="74" t="inlineStr">
        <is>
          <t>Country 1</t>
        </is>
      </c>
      <c r="AE6" s="17" t="inlineStr">
        <is>
          <t>GBR</t>
        </is>
      </c>
      <c r="AG6" s="74">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4">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4">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4">
      <c r="B102" s="24" t="inlineStr">
        <is>
          <t>2022-Q4</t>
        </is>
      </c>
      <c r="C102" s="25">
        <f>IF(VLOOKUP(B102,'Data yoy'!$A:$AW,MATCH($C$1,'Data yoy'!$A$1:$AW$1,),)=0,#N/A,VLOOKUP(B102,'Data yoy'!$A:$AW,MATCH($C$1,'Data yoy'!$A$1:$AW$1,),))</f>
        <v/>
      </c>
      <c r="D102" s="25">
        <f>IF(VLOOKUP(B102,'Data yoy'!$A:$AW,MATCH($D$1,'Data yoy'!$A$1:$AW$1,),)=0,#N/A,VLOOKUP(B102,'Data yoy'!$A:$AW,MATCH($D$1,'Data yoy'!$A$1:$AW$1,),))</f>
        <v/>
      </c>
      <c r="E102" s="25">
        <f>IF(VLOOKUP(B102,'Data yoy'!$A:$AW,MATCH($E$1,'Data yoy'!$A$1:$AW$1,),)=0,#N/A,VLOOKUP(B102,'Data yoy'!$A:$AW,MATCH($E$1,'Data yoy'!$A$1:$AW$1,),))</f>
        <v/>
      </c>
      <c r="F102" s="25">
        <f>IF(VLOOKUP(B102,'Data yoy'!$A:$AW,MATCH($F$1,'Data yoy'!$A$1:$AW$1,),)=0,#N/A,VLOOKUP(B102,'Data yoy'!$A:$AW,MATCH($F$1,'Data yoy'!$A$1:$AW$1,),))</f>
        <v/>
      </c>
      <c r="G102" s="25">
        <f>IF(VLOOKUP(B102,'Data yoy'!$A:$AW,MATCH($G$1,'Data yoy'!$A$1:$AW$1,),)=0,#N/A,VLOOKUP(B102,'Data yoy'!$A:$AW,MATCH($G$1,'Data yoy'!$A$1:$AW$1,),))</f>
        <v/>
      </c>
      <c r="H102" s="25">
        <f>IF(VLOOKUP(B102,'Data yoy'!$A:$AW,MATCH($H$1,'Data yoy'!$A$1:$AW$1,),)=0,#N/A,VLOOKUP(B102,'Data yoy'!$A:$AW,MATCH($H$1,'Data yoy'!$A$1:$AW$1,),))</f>
        <v/>
      </c>
      <c r="I102" s="25">
        <f>IF(VLOOKUP(B102,'Data yoy'!$A:$AW,MATCH($I$1,'Data yoy'!$A$1:$AW$1,),)=0,#N/A,VLOOKUP(B102,'Data yoy'!$A:$AW,MATCH($I$1,'Data yoy'!$A$1:$AW$1,),))</f>
        <v/>
      </c>
      <c r="J102" s="25">
        <f>IF(VLOOKUP(B102,'Data yoy'!$A:$AW,MATCH($J$1,'Data yoy'!$A$1:$AW$1,),)=0,#N/A,VLOOKUP(B102,'Data yoy'!$A:$AW,MATCH($J$1,'Data yoy'!$A$1:$AW$1,),))</f>
        <v/>
      </c>
      <c r="K102" s="25">
        <f>IF(VLOOKUP(B102,'Data yoy'!$A:$AW,MATCH($K$1,'Data yoy'!$A$1:$AW$1,),)=0,#N/A,VLOOKUP(B102,'Data yoy'!$A:$AW,MATCH($K$1,'Data yoy'!$A$1:$AW$1,),))</f>
        <v/>
      </c>
      <c r="L102" s="25">
        <f>IF(VLOOKUP(B102,'Data yoy'!$A:$AW,MATCH($L$1,'Data yoy'!$A$1:$AW$1,),)=0,#N/A,VLOOKUP(B102,'Data yoy'!$A:$AW,MATCH($L$1,'Data yoy'!$A$1:$AW$1,),))</f>
        <v/>
      </c>
      <c r="M102" s="25">
        <f>IF(VLOOKUP(B102,'Data yoy'!$A:$AW,MATCH($M$1,'Data yoy'!$A$1:$AW$1,),)=0,#N/A,VLOOKUP(B102,'Data yoy'!$A:$AW,MATCH($M$1,'Data yoy'!$A$1:$AW$1,),))</f>
        <v/>
      </c>
      <c r="N102" s="25">
        <f>IF(VLOOKUP(B102,'Data yoy'!$A:$AW,MATCH($N$1,'Data yoy'!$A$1:$AW$1,),)=0,#N/A,VLOOKUP(B102,'Data yoy'!$A:$AW,MATCH($N$1,'Data yoy'!$A$1:$AW$1,),))</f>
        <v/>
      </c>
      <c r="O102" s="25">
        <f>IF(VLOOKUP(B102,'Data yoy'!$A:$AW,MATCH($O$1,'Data yoy'!$A$1:$AW$1,),)=0,#N/A,VLOOKUP(B102,'Data yoy'!$A:$AW,MATCH($O$1,'Data yoy'!$A$1:$AW$1,),))</f>
        <v/>
      </c>
      <c r="P102" s="25">
        <f>IF(VLOOKUP(B102,'Data yoy'!$A:$AW,MATCH($P$1,'Data yoy'!$A$1:$AW$1,),)=0,#N/A,VLOOKUP(B102,'Data yoy'!$A:$AW,MATCH($P$1,'Data yoy'!$A$1:$AW$1,),))</f>
        <v/>
      </c>
      <c r="Q102" s="25">
        <f>IF(VLOOKUP(B102,'Data yoy'!$A:$AW,MATCH($Q$1,'Data yoy'!$A$1:$AW$1,),)=0,#N/A,VLOOKUP(B102,'Data yoy'!$A:$AW,MATCH($Q$1,'Data yoy'!$A$1:$AW$1,),))</f>
        <v/>
      </c>
      <c r="R102" s="25">
        <f>IF(VLOOKUP(B102,'Data yoy'!$A:$AW,MATCH($R$1,'Data yoy'!$A$1:$AW$1,),)=0,#N/A,VLOOKUP(B102,'Data yoy'!$A:$AW,MATCH($R$1,'Data yoy'!$A$1:$AW$1,),))</f>
        <v/>
      </c>
      <c r="S102" s="25">
        <f>IF(VLOOKUP(B102,'Data yoy'!$A:$AW,MATCH($S$1,'Data yoy'!$A$1:$AW$1,),)=0,#N/A,VLOOKUP(B102,'Data yoy'!$A:$AW,MATCH($S$1,'Data yoy'!$A$1:$AW$1,),))</f>
        <v/>
      </c>
      <c r="T102" s="25">
        <f>IF(VLOOKUP(B102,'Data yoy'!$A:$AW,MATCH($T$1,'Data yoy'!$A$1:$AW$1,),)=0,#N/A,VLOOKUP(B102,'Data yoy'!$A:$AW,MATCH($T$1,'Data yoy'!$A$1:$AW$1,),))</f>
        <v/>
      </c>
      <c r="U102" s="25">
        <f>IF(VLOOKUP(B102,'Data yoy'!$A:$AW,MATCH($U$1,'Data yoy'!$A$1:$AW$1,),)=0,#N/A,VLOOKUP(B102,'Data yoy'!$A:$AW,MATCH($U$1,'Data yoy'!$A$1:$AW$1,),))</f>
        <v/>
      </c>
      <c r="V102" s="25">
        <f>IF(VLOOKUP(B102,'Data yoy'!$A:$AW,MATCH($V$1,'Data yoy'!$A$1:$AW$1,),)=0,#N/A,VLOOKUP(B102,'Data yoy'!$A:$AW,MATCH($V$1,'Data yoy'!$A$1:$AW$1,),))</f>
        <v/>
      </c>
      <c r="W102" s="25">
        <f>IF(VLOOKUP(B102,'Data yoy'!$A:$AW,MATCH($W$1,'Data yoy'!$A$1:$AW$1,),)=0,#N/A,VLOOKUP(B102,'Data yoy'!$A:$AW,MATCH($W$1,'Data yoy'!$A$1:$AW$1,),))</f>
        <v/>
      </c>
      <c r="X102" s="25">
        <f>IF(VLOOKUP(B102,'Data yoy'!$A:$AW,MATCH($X$1,'Data yoy'!$A$1:$AW$1,),)=0,#N/A,VLOOKUP(B102,'Data yoy'!$A:$AW,MATCH($X$1,'Data yoy'!$A$1:$AW$1,),))</f>
        <v/>
      </c>
      <c r="Y102" s="25">
        <f>IF(VLOOKUP(B102,'Data yoy'!$A:$AW,MATCH($Y$1,'Data yoy'!$A$1:$AW$1,),)=0,#N/A,VLOOKUP(B102,'Data yoy'!$A:$AW,MATCH($Y$1,'Data yoy'!$A$1:$AW$1,),))</f>
        <v/>
      </c>
      <c r="Z102" s="25">
        <f>IF(VLOOKUP(B102,'Data yoy'!$A:$AW,MATCH($Z$1,'Data yoy'!$A$1:$AW$1,),)=0,#N/A,VLOOKUP(B102,'Data yoy'!$A:$AW,MATCH($Z$1,'Data yoy'!$A$1:$AW$1,),))</f>
        <v/>
      </c>
      <c r="AA102" s="25">
        <f>IF(VLOOKUP(B102,'Data yoy'!$A:$AW,MATCH($AA$1,'Data yoy'!$A$1:$AW$1,),)=0,#N/A,VLOOKUP(B102,'Data yoy'!$A:$AW,MATCH($AA$1,'Data yoy'!$A$1:$AW$1,),))</f>
        <v/>
      </c>
      <c r="AC102" s="26">
        <f>B102</f>
        <v/>
      </c>
      <c r="AD102" s="27">
        <f>(VLOOKUP(AC102,B:Y,MATCH($AE$6,$B$1:$Y$1,),))</f>
        <v/>
      </c>
      <c r="AE102" s="27">
        <f>(VLOOKUP(AC102,B:Y,MATCH($AE$7,$B$1:$Y$1,),))</f>
        <v/>
      </c>
      <c r="AF102" s="27">
        <f>AD102-AE102</f>
        <v/>
      </c>
    </row>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99:AA102">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90" zoomScaleNormal="90" workbookViewId="0">
      <pane ySplit="9" topLeftCell="A84" activePane="bottomLeft" state="frozen"/>
      <selection activeCell="F175" sqref="F175"/>
      <selection pane="bottomLeft" activeCell="C101" sqref="C101"/>
    </sheetView>
  </sheetViews>
  <sheetFormatPr baseColWidth="8" defaultColWidth="8.81640625" defaultRowHeight="14.5"/>
  <cols>
    <col width="9.1796875" customWidth="1" style="74" min="1" max="1"/>
    <col width="13.6328125" customWidth="1" min="2" max="2"/>
    <col width="6.1796875" customWidth="1" min="3" max="27"/>
    <col width="6.1796875" customWidth="1" style="74" min="28" max="28"/>
    <col width="15.36328125" customWidth="1" style="74" min="29" max="30"/>
    <col width="10.6328125" bestFit="1" customWidth="1" style="74" min="31" max="31"/>
    <col width="9.179687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4"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4">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4">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4">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4">
      <c r="B101" s="24" t="inlineStr">
        <is>
          <t>2022-Q4</t>
        </is>
      </c>
      <c r="C101" s="25">
        <f>IF(VLOOKUP(B101,'Data qoq'!$A:$AT,MATCH($C$1,'Data qoq'!$A$1:$AT$1,),)=0,#N/A,VLOOKUP(B101,'Data qoq'!$A:$AT,MATCH($C$1,'Data qoq'!$A$1:$AT$1,),))</f>
        <v/>
      </c>
      <c r="D101" s="25">
        <f>IF(VLOOKUP(B101,'Data qoq'!$A:$AT,MATCH($D$1,'Data qoq'!$A$1:$AT$1,),)=0,#N/A,VLOOKUP(B101,'Data qoq'!$A:$AT,MATCH($D$1,'Data qoq'!$A$1:$AT$1,),))</f>
        <v/>
      </c>
      <c r="E101" s="25">
        <f>IF(VLOOKUP(B101,'Data qoq'!$A:$AT,MATCH($E$1,'Data qoq'!$A$1:$AT$1,),)=0,#N/A,VLOOKUP(B101,'Data qoq'!$A:$AT,MATCH($E$1,'Data qoq'!$A$1:$AT$1,),))</f>
        <v/>
      </c>
      <c r="F101" s="25">
        <f>IF(VLOOKUP(B101,'Data qoq'!$A:$AT,MATCH($F$1,'Data qoq'!$A$1:$AT$1,),)=0,#N/A,VLOOKUP(B101,'Data qoq'!$A:$AT,MATCH($F$1,'Data qoq'!$A$1:$AT$1,),))</f>
        <v/>
      </c>
      <c r="G101" s="25">
        <f>IF(VLOOKUP(B101,'Data qoq'!$A:$AT,MATCH($G$1,'Data qoq'!$A$1:$AT$1,),)=0,#N/A,VLOOKUP(B101,'Data qoq'!$A:$AT,MATCH($G$1,'Data qoq'!$A$1:$AT$1,),))</f>
        <v/>
      </c>
      <c r="H101" s="25">
        <f>IF(VLOOKUP(B101,'Data qoq'!$A:$AT,MATCH($H$1,'Data qoq'!$A$1:$AT$1,),)=0,#N/A,VLOOKUP(B101,'Data qoq'!$A:$AT,MATCH($H$1,'Data qoq'!$A$1:$AT$1,),))</f>
        <v/>
      </c>
      <c r="I101" s="25">
        <f>IF(VLOOKUP(B101,'Data qoq'!$A:$AT,MATCH($I$1,'Data qoq'!$A$1:$AT$1,),)=0,#N/A,VLOOKUP(B101,'Data qoq'!$A:$AT,MATCH($I$1,'Data qoq'!$A$1:$AT$1,),))</f>
        <v/>
      </c>
      <c r="J101" s="25">
        <f>IF(VLOOKUP(B101,'Data qoq'!$A:$AT,MATCH($J$1,'Data qoq'!$A$1:$AT$1,),)=0,#N/A,VLOOKUP(B101,'Data qoq'!$A:$AT,MATCH($J$1,'Data qoq'!$A$1:$AT$1,),))</f>
        <v/>
      </c>
      <c r="K101" s="25">
        <f>IF(VLOOKUP(B101,'Data qoq'!$A:$AT,MATCH($K$1,'Data qoq'!$A$1:$AT$1,),)=0,#N/A,VLOOKUP(B101,'Data qoq'!$A:$AT,MATCH($K$1,'Data qoq'!$A$1:$AT$1,),))</f>
        <v/>
      </c>
      <c r="L101" s="25">
        <f>IF(VLOOKUP(B101,'Data qoq'!$A:$AT,MATCH($L$1,'Data qoq'!$A$1:$AT$1,),)=0,#N/A,VLOOKUP(B101,'Data qoq'!$A:$AT,MATCH($L$1,'Data qoq'!$A$1:$AT$1,),))</f>
        <v/>
      </c>
      <c r="M101" s="25">
        <f>IF(VLOOKUP(B101,'Data qoq'!$A:$AT,MATCH($M$1,'Data qoq'!$A$1:$AT$1,),)=0,#N/A,VLOOKUP(B101,'Data qoq'!$A:$AT,MATCH($M$1,'Data qoq'!$A$1:$AT$1,),))</f>
        <v/>
      </c>
      <c r="N101" s="25">
        <f>IF(VLOOKUP(B101,'Data qoq'!$A:$AT,MATCH($N$1,'Data qoq'!$A$1:$AT$1,),)=0,#N/A,VLOOKUP(B101,'Data qoq'!$A:$AT,MATCH($N$1,'Data qoq'!$A$1:$AT$1,),))</f>
        <v/>
      </c>
      <c r="O101" s="25">
        <f>IF(VLOOKUP(B101,'Data qoq'!$A:$AT,MATCH($O$1,'Data qoq'!$J$1:$AT$1,),)=0,#N/A,VLOOKUP(B101,'Data qoq'!$A:$AT,MATCH($O$1,'Data qoq'!$J$1:$AT$1,),))</f>
        <v/>
      </c>
      <c r="P101" s="25">
        <f>IF(VLOOKUP(B101,'Data qoq'!$A:$AT,MATCH($P$1,'Data qoq'!$A$1:$AT$1,),)=0,#N/A,VLOOKUP(B101,'Data qoq'!$A:$AT,MATCH($P$1,'Data qoq'!$A$1:$AT$1,),))</f>
        <v/>
      </c>
      <c r="Q101" s="25">
        <f>IF(VLOOKUP(B101,'Data qoq'!$A:$AT,MATCH($Q$1,'Data qoq'!$A$1:$AT$1,),)=0,#N/A,VLOOKUP(B101,'Data qoq'!$A:$AT,MATCH($Q$1,'Data qoq'!$A$1:$AT$1,),))</f>
        <v/>
      </c>
      <c r="R101" s="25">
        <f>IF(VLOOKUP(B101,'Data qoq'!$A:$AT,MATCH($R$1,'Data qoq'!$A$1:$AT$1,),)=0,#N/A,VLOOKUP(B101,'Data qoq'!$A:$AT,MATCH($R$1,'Data qoq'!$A$1:$AT$1,),))</f>
        <v/>
      </c>
      <c r="S101" s="25">
        <f>IF(VLOOKUP(B101,'Data qoq'!$A:$AT,MATCH($S$1,'Data qoq'!$A$1:$AT$1,),)=0,#N/A,VLOOKUP(B101,'Data qoq'!$A:$AT,MATCH($S$1,'Data qoq'!$A$1:$AT$1,),))</f>
        <v/>
      </c>
      <c r="T101" s="25">
        <f>IF(VLOOKUP(B101,'Data qoq'!$A:$AT,MATCH($T$1,'Data qoq'!$A$1:$AT$1,),)=0,#N/A,VLOOKUP(B101,'Data qoq'!$A:$AT,MATCH($T$1,'Data qoq'!$A$1:$AT$1,),))</f>
        <v/>
      </c>
      <c r="U101" s="25">
        <f>IF(VLOOKUP(B101,'Data qoq'!$A:$AT,MATCH($U$1,'Data qoq'!$A$1:$AT$1,),)=0,#N/A,VLOOKUP(B101,'Data qoq'!$A:$AT,MATCH($U$1,'Data qoq'!$A$1:$AT$1,),))</f>
        <v/>
      </c>
      <c r="V101" s="25">
        <f>IF(VLOOKUP(B101,'Data qoq'!$A:$AT,MATCH($V$1,'Data qoq'!$A$1:$AT$1,),)=0,#N/A,VLOOKUP(B101,'Data qoq'!$A:$AT,MATCH($V$1,'Data qoq'!$A$1:$AT$1,),))</f>
        <v/>
      </c>
      <c r="W101" s="25">
        <f>IF(VLOOKUP(B101,'Data qoq'!$A:$AT,MATCH($W$1,'Data qoq'!$A$1:$AT$1,),)=0,#N/A,VLOOKUP(B101,'Data qoq'!$A:$AT,MATCH($W$1,'Data qoq'!$A$1:$AT$1,),))</f>
        <v/>
      </c>
      <c r="X101" s="25">
        <f>IF(VLOOKUP(B101,'Data qoq'!$A:$AT,MATCH($X$1,'Data qoq'!$A$1:$AT$1,),)=0,#N/A,VLOOKUP(B101,'Data qoq'!$A:$AT,MATCH($X$1,'Data qoq'!$A$1:$AT$1,),))</f>
        <v/>
      </c>
      <c r="Y101" s="25">
        <f>IF(VLOOKUP(B101,'Data qoq'!$A:$AT,MATCH($Y$1,'Data qoq'!$A$1:$AT$1,),)=0,#N/A,VLOOKUP(B101,'Data qoq'!$A:$AT,MATCH($Y$1,'Data qoq'!$A$1:$AT$1,),))</f>
        <v/>
      </c>
      <c r="Z101" s="25">
        <f>IF(VLOOKUP(B101,'Data qoq'!$A:$AU,MATCH($Z$1,'Data qoq'!$A$1:$AU$1,),)=0,#N/A,VLOOKUP(B101,'Data qoq'!$A:$AU,MATCH($Z$1,'Data qoq'!$A$1:$AU$1,),))</f>
        <v/>
      </c>
      <c r="AA101" s="25">
        <f>IF(VLOOKUP(B101,'Data qoq'!$A:$AU,MATCH($AA$1,'Data qoq'!$A$1:$AU$1,),)=0,#N/A,VLOOKUP(B101,'Data qoq'!$A:$AU,MATCH($AA$1,'Data qoq'!$A$1:$AU$1,),))</f>
        <v/>
      </c>
      <c r="AC101" s="26">
        <f>B101</f>
        <v/>
      </c>
      <c r="AD101" s="27">
        <f>(VLOOKUP(AC101,B:Y,MATCH($AE$6,$B$1:$Y$1,),))-(VLOOKUP(AC101,B:Y,MATCH($AE$7,$B$1:$Y$1,),))</f>
        <v/>
      </c>
    </row>
    <row r="102" customFormat="1" s="74"/>
    <row r="103" customFormat="1" s="74"/>
    <row r="104" customFormat="1" s="74">
      <c r="C104" s="27" t="n"/>
    </row>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101">
    <cfRule type="colorScale" priority="3">
      <colorScale>
        <cfvo type="min"/>
        <cfvo type="percentile" val="50"/>
        <cfvo type="max"/>
        <color rgb="FFF8696B"/>
        <color rgb="FFFFEB84"/>
        <color rgb="FF63BE7B"/>
      </colorScale>
    </cfRule>
  </conditionalFormatting>
  <conditionalFormatting sqref="D11:D101">
    <cfRule type="colorScale" priority="4">
      <colorScale>
        <cfvo type="min"/>
        <cfvo type="percentile" val="50"/>
        <cfvo type="max"/>
        <color rgb="FFF8696B"/>
        <color rgb="FFFFEB84"/>
        <color rgb="FF63BE7B"/>
      </colorScale>
    </cfRule>
  </conditionalFormatting>
  <conditionalFormatting sqref="E11:E101">
    <cfRule type="colorScale" priority="5">
      <colorScale>
        <cfvo type="min"/>
        <cfvo type="percentile" val="50"/>
        <cfvo type="max"/>
        <color rgb="FFF8696B"/>
        <color rgb="FFFFEB84"/>
        <color rgb="FF63BE7B"/>
      </colorScale>
    </cfRule>
  </conditionalFormatting>
  <conditionalFormatting sqref="F11:F101">
    <cfRule type="colorScale" priority="6">
      <colorScale>
        <cfvo type="min"/>
        <cfvo type="percentile" val="50"/>
        <cfvo type="max"/>
        <color rgb="FFF8696B"/>
        <color rgb="FFFFEB84"/>
        <color rgb="FF63BE7B"/>
      </colorScale>
    </cfRule>
  </conditionalFormatting>
  <conditionalFormatting sqref="G11:G101">
    <cfRule type="colorScale" priority="7">
      <colorScale>
        <cfvo type="min"/>
        <cfvo type="percentile" val="50"/>
        <cfvo type="max"/>
        <color rgb="FFF8696B"/>
        <color rgb="FFFFEB84"/>
        <color rgb="FF63BE7B"/>
      </colorScale>
    </cfRule>
  </conditionalFormatting>
  <conditionalFormatting sqref="H11:H101">
    <cfRule type="colorScale" priority="8">
      <colorScale>
        <cfvo type="min"/>
        <cfvo type="percentile" val="50"/>
        <cfvo type="max"/>
        <color rgb="FFF8696B"/>
        <color rgb="FFFFEB84"/>
        <color rgb="FF63BE7B"/>
      </colorScale>
    </cfRule>
  </conditionalFormatting>
  <conditionalFormatting sqref="I11:I101">
    <cfRule type="colorScale" priority="9">
      <colorScale>
        <cfvo type="min"/>
        <cfvo type="percentile" val="50"/>
        <cfvo type="max"/>
        <color rgb="FFF8696B"/>
        <color rgb="FFFFEB84"/>
        <color rgb="FF63BE7B"/>
      </colorScale>
    </cfRule>
  </conditionalFormatting>
  <conditionalFormatting sqref="J11:J101">
    <cfRule type="colorScale" priority="10">
      <colorScale>
        <cfvo type="min"/>
        <cfvo type="percentile" val="50"/>
        <cfvo type="max"/>
        <color rgb="FFF8696B"/>
        <color rgb="FFFFEB84"/>
        <color rgb="FF63BE7B"/>
      </colorScale>
    </cfRule>
  </conditionalFormatting>
  <conditionalFormatting sqref="K11:K101">
    <cfRule type="colorScale" priority="11">
      <colorScale>
        <cfvo type="min"/>
        <cfvo type="percentile" val="50"/>
        <cfvo type="max"/>
        <color rgb="FFF8696B"/>
        <color rgb="FFFFEB84"/>
        <color rgb="FF63BE7B"/>
      </colorScale>
    </cfRule>
  </conditionalFormatting>
  <conditionalFormatting sqref="L11:L101">
    <cfRule type="colorScale" priority="12">
      <colorScale>
        <cfvo type="min"/>
        <cfvo type="percentile" val="50"/>
        <cfvo type="max"/>
        <color rgb="FFF8696B"/>
        <color rgb="FFFFEB84"/>
        <color rgb="FF63BE7B"/>
      </colorScale>
    </cfRule>
  </conditionalFormatting>
  <conditionalFormatting sqref="M11:M101">
    <cfRule type="colorScale" priority="13">
      <colorScale>
        <cfvo type="min"/>
        <cfvo type="percentile" val="50"/>
        <cfvo type="max"/>
        <color rgb="FFF8696B"/>
        <color rgb="FFFFEB84"/>
        <color rgb="FF63BE7B"/>
      </colorScale>
    </cfRule>
  </conditionalFormatting>
  <conditionalFormatting sqref="N11:N101">
    <cfRule type="colorScale" priority="14">
      <colorScale>
        <cfvo type="min"/>
        <cfvo type="percentile" val="50"/>
        <cfvo type="max"/>
        <color rgb="FFF8696B"/>
        <color rgb="FFFFEB84"/>
        <color rgb="FF63BE7B"/>
      </colorScale>
    </cfRule>
  </conditionalFormatting>
  <conditionalFormatting sqref="O11:O101">
    <cfRule type="colorScale" priority="15">
      <colorScale>
        <cfvo type="min"/>
        <cfvo type="percentile" val="50"/>
        <cfvo type="max"/>
        <color rgb="FFF8696B"/>
        <color rgb="FFFFEB84"/>
        <color rgb="FF63BE7B"/>
      </colorScale>
    </cfRule>
  </conditionalFormatting>
  <conditionalFormatting sqref="P11:P101">
    <cfRule type="colorScale" priority="16">
      <colorScale>
        <cfvo type="min"/>
        <cfvo type="percentile" val="50"/>
        <cfvo type="max"/>
        <color rgb="FFF8696B"/>
        <color rgb="FFFFEB84"/>
        <color rgb="FF63BE7B"/>
      </colorScale>
    </cfRule>
  </conditionalFormatting>
  <conditionalFormatting sqref="Q11:Q101">
    <cfRule type="colorScale" priority="17">
      <colorScale>
        <cfvo type="min"/>
        <cfvo type="percentile" val="50"/>
        <cfvo type="max"/>
        <color rgb="FFF8696B"/>
        <color rgb="FFFFEB84"/>
        <color rgb="FF63BE7B"/>
      </colorScale>
    </cfRule>
  </conditionalFormatting>
  <conditionalFormatting sqref="R11:R101">
    <cfRule type="colorScale" priority="18">
      <colorScale>
        <cfvo type="min"/>
        <cfvo type="percentile" val="50"/>
        <cfvo type="max"/>
        <color rgb="FFF8696B"/>
        <color rgb="FFFFEB84"/>
        <color rgb="FF63BE7B"/>
      </colorScale>
    </cfRule>
  </conditionalFormatting>
  <conditionalFormatting sqref="S11:S101">
    <cfRule type="colorScale" priority="19">
      <colorScale>
        <cfvo type="min"/>
        <cfvo type="percentile" val="50"/>
        <cfvo type="max"/>
        <color rgb="FFF8696B"/>
        <color rgb="FFFFEB84"/>
        <color rgb="FF63BE7B"/>
      </colorScale>
    </cfRule>
  </conditionalFormatting>
  <conditionalFormatting sqref="T11:T101">
    <cfRule type="colorScale" priority="20">
      <colorScale>
        <cfvo type="min"/>
        <cfvo type="percentile" val="50"/>
        <cfvo type="max"/>
        <color rgb="FFF8696B"/>
        <color rgb="FFFFEB84"/>
        <color rgb="FF63BE7B"/>
      </colorScale>
    </cfRule>
  </conditionalFormatting>
  <conditionalFormatting sqref="U11:U101">
    <cfRule type="colorScale" priority="21">
      <colorScale>
        <cfvo type="min"/>
        <cfvo type="percentile" val="50"/>
        <cfvo type="max"/>
        <color rgb="FFF8696B"/>
        <color rgb="FFFFEB84"/>
        <color rgb="FF63BE7B"/>
      </colorScale>
    </cfRule>
  </conditionalFormatting>
  <conditionalFormatting sqref="V11:V101">
    <cfRule type="colorScale" priority="22">
      <colorScale>
        <cfvo type="min"/>
        <cfvo type="percentile" val="50"/>
        <cfvo type="max"/>
        <color rgb="FFF8696B"/>
        <color rgb="FFFFEB84"/>
        <color rgb="FF63BE7B"/>
      </colorScale>
    </cfRule>
  </conditionalFormatting>
  <conditionalFormatting sqref="W11:W101">
    <cfRule type="colorScale" priority="23">
      <colorScale>
        <cfvo type="min"/>
        <cfvo type="percentile" val="50"/>
        <cfvo type="max"/>
        <color rgb="FFF8696B"/>
        <color rgb="FFFFEB84"/>
        <color rgb="FF63BE7B"/>
      </colorScale>
    </cfRule>
  </conditionalFormatting>
  <conditionalFormatting sqref="X11:X101">
    <cfRule type="colorScale" priority="24">
      <colorScale>
        <cfvo type="min"/>
        <cfvo type="percentile" val="50"/>
        <cfvo type="max"/>
        <color rgb="FFF8696B"/>
        <color rgb="FFFFEB84"/>
        <color rgb="FF63BE7B"/>
      </colorScale>
    </cfRule>
  </conditionalFormatting>
  <conditionalFormatting sqref="Y11:Y101">
    <cfRule type="colorScale" priority="25">
      <colorScale>
        <cfvo type="min"/>
        <cfvo type="percentile" val="50"/>
        <cfvo type="max"/>
        <color rgb="FFF8696B"/>
        <color rgb="FFFFEB84"/>
        <color rgb="FF63BE7B"/>
      </colorScale>
    </cfRule>
  </conditionalFormatting>
  <conditionalFormatting sqref="Z11:Z101">
    <cfRule type="colorScale" priority="26">
      <colorScale>
        <cfvo type="min"/>
        <cfvo type="percentile" val="50"/>
        <cfvo type="max"/>
        <color rgb="FFF8696B"/>
        <color rgb="FFFFEB84"/>
        <color rgb="FF63BE7B"/>
      </colorScale>
    </cfRule>
  </conditionalFormatting>
  <conditionalFormatting sqref="AA11:AA101">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2"/>
  <sheetViews>
    <sheetView zoomScale="70" zoomScaleNormal="70" workbookViewId="0">
      <pane ySplit="3" topLeftCell="A81" activePane="bottomLeft" state="frozen"/>
      <selection activeCell="L191" sqref="L191"/>
      <selection pane="bottomLeft" activeCell="C108" sqref="C108"/>
    </sheetView>
  </sheetViews>
  <sheetFormatPr baseColWidth="8" defaultColWidth="8.81640625" defaultRowHeight="14.5"/>
  <cols>
    <col width="10.453125" customWidth="1" style="74"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4" min="28" max="28"/>
    <col width="8" bestFit="1" customWidth="1" style="74" min="29" max="29"/>
    <col width="15" bestFit="1" customWidth="1" style="74" min="30" max="30"/>
    <col width="8" bestFit="1" customWidth="1" style="74" min="31" max="31"/>
    <col width="9.1796875" customWidth="1" style="74" min="32" max="33"/>
    <col width="18.1796875"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4"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4">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4">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4">
      <c r="A102" s="30" t="n">
        <v>44896</v>
      </c>
      <c r="B102" s="24" t="inlineStr">
        <is>
          <t>2022-Q4</t>
        </is>
      </c>
      <c r="C102" s="32">
        <f>IF((((VLOOKUP(B102,'Data qoq'!$A:$AT,MATCH($C$1,'Data qoq'!$A$1:$AT$1,),))/100+1)^4)-1=0,#N/A,(((VLOOKUP(B102,'Data qoq'!$A:$AT,MATCH($C$1,'Data qoq'!$A$1:$AT$1,),))/100+1)^4)-1)</f>
        <v/>
      </c>
      <c r="D102" s="32">
        <f>IF((((VLOOKUP(B102,'Data qoq'!$A:$AT,MATCH($D$1,'Data qoq'!$A$1:$AT$1,),))/100+1)^4)-1=0,#N/A,(((VLOOKUP(B102,'Data qoq'!$A:$AT,MATCH($D$1,'Data qoq'!$A$1:$AT$1,),))/100+1)^4)-1)</f>
        <v/>
      </c>
      <c r="E102" s="32">
        <f>IF((((VLOOKUP(B102,'Data qoq'!$A:$AT,MATCH($E$1,'Data qoq'!$A$1:$AT$1,),))/100+1)^4)-1=0,#N/A,(((VLOOKUP(B102,'Data qoq'!$A:$AT,MATCH($E$1,'Data qoq'!$A$1:$AT$1,),))/100+1)^4)-1)</f>
        <v/>
      </c>
      <c r="F102" s="32">
        <f>IF((((VLOOKUP(B102,'Data qoq'!$A:$AT,MATCH($F$1,'Data qoq'!$A$1:$AT$1,),))/100+1)^4)-1=0,#N/A,(((VLOOKUP(B102,'Data qoq'!$A:$AT,MATCH($F$1,'Data qoq'!$A$1:$AT$1,),))/100+1)^4)-1)</f>
        <v/>
      </c>
      <c r="G102" s="32">
        <f>IF((((VLOOKUP(B102,'Data qoq'!$A:$AT,MATCH($G$1,'Data qoq'!$A$1:$AT$1,),))/100+1)^4)-1=0,#N/A,(((VLOOKUP(B102,'Data qoq'!$A:$AT,MATCH($G$1,'Data qoq'!$A$1:$AT$1,),))/100+1)^4)-1)</f>
        <v/>
      </c>
      <c r="H102" s="32">
        <f>IF((((VLOOKUP(B102,'Data qoq'!$A:$AT,MATCH($H$1,'Data qoq'!$A$1:$AT$1,),))/100+1)^4)-1=0,#N/A,(((VLOOKUP(B102,'Data qoq'!$A:$AT,MATCH($H$1,'Data qoq'!$A$1:$AT$1,),))/100+1)^4)-1)</f>
        <v/>
      </c>
      <c r="I102" s="32">
        <f>IF((((VLOOKUP(B102,'Data qoq'!$A:$AT,MATCH($I$1,'Data qoq'!$A$1:$AT$1,),))/100+1)^4)-1=0,#N/A,(((VLOOKUP(B102,'Data qoq'!$A:$AT,MATCH($I$1,'Data qoq'!$A$1:$AT$1,),))/100+1)^4)-1)</f>
        <v/>
      </c>
      <c r="J102" s="32">
        <f>IF((((VLOOKUP(B102,'Data qoq'!$A:$AT,MATCH($J$1,'Data qoq'!$A$1:$AT$1,),))/100+1)^4)-1=0,#N/A,(((VLOOKUP(B102,'Data qoq'!$A:$AT,MATCH($J$1,'Data qoq'!$A$1:$AT$1,),))/100+1)^4)-1)</f>
        <v/>
      </c>
      <c r="K102" s="32">
        <f>IF((((VLOOKUP(B102,'Data qoq'!$A:$AT,MATCH($K$1,'Data qoq'!$A$1:$AT$1,),))/100+1)^4)-1=0,#N/A,(((VLOOKUP(B102,'Data qoq'!$A:$AT,MATCH($K$1,'Data qoq'!$A$1:$AT$1,),))/100+1)^4)-1)</f>
        <v/>
      </c>
      <c r="L102" s="32">
        <f>IF((((VLOOKUP(B102,'Data qoq'!$A:$AT,MATCH($L$1,'Data qoq'!$A$1:$AT$1,),))/100+1)^4)-1=0,#N/A,(((VLOOKUP(B102,'Data qoq'!$A:$AT,MATCH($L$1,'Data qoq'!$A$1:$AT$1,),))/100+1)^4)-1)</f>
        <v/>
      </c>
      <c r="M102" s="32">
        <f>IF((((VLOOKUP(B102,'Data qoq'!$A:$AT,MATCH($M$1,'Data qoq'!$A$1:$AT$1,),))/100+1)^4)-1=0,#N/A,(((VLOOKUP(B102,'Data qoq'!$A:$AT,MATCH($M$1,'Data qoq'!$A$1:$AT$1,),))/100+1)^4)-1)</f>
        <v/>
      </c>
      <c r="N102" s="32">
        <f>IF((((VLOOKUP(B102,'Data qoq'!$A:$AT,MATCH($N$1,'Data qoq'!$A$1:$AT$1,),))/100+1)^4)-1=0,#N/A,(((VLOOKUP(B102,'Data qoq'!$A:$AT,MATCH($N$1,'Data qoq'!$A$1:$AT$1,),))/100+1)^4)-1)</f>
        <v/>
      </c>
      <c r="O102" s="32">
        <f>IF((((VLOOKUP(B102,'Data qoq'!$A:$AT,MATCH($O$1,'Data qoq'!$A$1:$AT$1,),))/100+1)^4)-1=0,#N/A,(((VLOOKUP(B102,'Data qoq'!$A:$AT,MATCH($O$1,'Data qoq'!$A$1:$AT$1,),))/100+1)^4)-1)</f>
        <v/>
      </c>
      <c r="P102" s="32">
        <f>IF((((VLOOKUP(B102,'Data qoq'!$A:$AT,MATCH($P$1,'Data qoq'!$A$1:$AT$1,),))/100+1)^4)-1=0,#N/A,(((VLOOKUP(B102,'Data qoq'!$A:$AT,MATCH($P$1,'Data qoq'!$A$1:$AT$1,),))/100+1)^4)-1)</f>
        <v/>
      </c>
      <c r="Q102" s="32">
        <f>IF((((VLOOKUP(B102,'Data qoq'!$A:$AT,MATCH($Q$1,'Data qoq'!$A$1:$AT$1,),))/100+1)^4)-1=0,#N/A,(((VLOOKUP(B102,'Data qoq'!$A:$AT,MATCH($Q$1,'Data qoq'!$A$1:$AT$1,),))/100+1)^4)-1)</f>
        <v/>
      </c>
      <c r="R102" s="32">
        <f>IF((((VLOOKUP(B102,'Data qoq'!$A:$AT,MATCH($R$1,'Data qoq'!$A$1:$AT$1,),))/100+1)^4)-1=0,#N/A,(((VLOOKUP(B102,'Data qoq'!$A:$AT,MATCH($R$1,'Data qoq'!$A$1:$AT$1,),))/100+1)^4)-1)</f>
        <v/>
      </c>
      <c r="S102" s="32">
        <f>IF((((VLOOKUP(B102,'Data qoq'!$A:$AT,MATCH($S$1,'Data qoq'!$A$1:$AT$1,),))/100+1)^4)-1=0,#N/A,(((VLOOKUP(B102,'Data qoq'!$A:$AT,MATCH($S$1,'Data qoq'!$A$1:$AT$1,),))/100+1)^4)-1)</f>
        <v/>
      </c>
      <c r="T102" s="32">
        <f>IF((((VLOOKUP(B102,'Data qoq'!$A:$AT,MATCH($T$1,'Data qoq'!$A$1:$AT$1,),))/100+1)^4)-1=0,#N/A,(((VLOOKUP(B102,'Data qoq'!$A:$AT,MATCH($T$1,'Data qoq'!$A$1:$AT$1,),))/100+1)^4)-1)</f>
        <v/>
      </c>
      <c r="U102" s="32">
        <f>IF((((VLOOKUP(B102,'Data qoq'!$A:$AT,MATCH($U$1,'Data qoq'!$A$1:$AT$1,),))/100+1)^4)-1=0,#N/A,(((VLOOKUP(B102,'Data qoq'!$A:$AT,MATCH($U$1,'Data qoq'!$A$1:$AT$1,),))/100+1)^4)-1)</f>
        <v/>
      </c>
      <c r="V102" s="32">
        <f>IF((((VLOOKUP(B102,'Data qoq'!$A:$AT,MATCH($V$1,'Data qoq'!$A$1:$AT$1,),))/100+1)^4)-1=0,#N/A,(((VLOOKUP(B102,'Data qoq'!$A:$AT,MATCH($V$1,'Data qoq'!$A$1:$AT$1,),))/100+1)^4)-1)</f>
        <v/>
      </c>
      <c r="W102" s="32">
        <f>IF((((VLOOKUP(B102,'Data qoq'!$A:$AT,MATCH($W$1,'Data qoq'!$A$1:$AT$1,),))/100+1)^4)-1=0,#N/A,(((VLOOKUP(B102,'Data qoq'!$A:$AT,MATCH($W$1,'Data qoq'!$A$1:$AT$1,),))/100+1)^4)-1)</f>
        <v/>
      </c>
      <c r="X102" s="32">
        <f>IF((((VLOOKUP(B102,'Data qoq'!$A:$AT,MATCH($X$1,'Data qoq'!$A$1:$AT$1,),))/100+1)^4)-1=0,#N/A,(((VLOOKUP(B102,'Data qoq'!$A:$AT,MATCH($X$1,'Data qoq'!$A$1:$AT$1,),))/100+1)^4)-1)</f>
        <v/>
      </c>
      <c r="Y102" s="32">
        <f>IF((((VLOOKUP(B102,'Data qoq'!$A:$AT,MATCH($Y$1,'Data qoq'!$A$1:$AT$1,),))/100+1)^4)-1=0,#N/A,(((VLOOKUP(B102,'Data qoq'!$A:$AT,MATCH($Y$1,'Data qoq'!$A$1:$AT$1,),))/100+1)^4)-1)</f>
        <v/>
      </c>
      <c r="Z102" s="32">
        <f>IF((((VLOOKUP(B102,'Data qoq'!$A:$AU,MATCH($Z$1,'Data qoq'!$A$1:$AU$1,),))/100+1)^4)-1=0,#N/A,(((VLOOKUP(B102,'Data qoq'!$A:$AU,MATCH($Z$1,'Data qoq'!$A$1:$AU$1,),))/100+1)^4)-1)</f>
        <v/>
      </c>
      <c r="AA102" s="32">
        <f>IF((((VLOOKUP(B102,'Data qoq'!$A:$AU,MATCH($AA$1,'Data qoq'!$A$1:$AU$1,),))/100+1)^4)-1=0,#N/A,(((VLOOKUP(B102,'Data qoq'!$A:$AU,MATCH($AA$1,'Data qoq'!$A$1:$AU$1,),))/100+1)^4)-1)</f>
        <v/>
      </c>
      <c r="AC102" s="26">
        <f>B102</f>
        <v/>
      </c>
      <c r="AD102" s="31">
        <f>(VLOOKUP(AC102,B:Y,MATCH($AE$6,$B$1:$Y$1,),))-(VLOOKUP(AC102,B:Y,MATCH($AE$7,$B$1:$Y$1,),))</f>
        <v/>
      </c>
    </row>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102">
    <cfRule type="colorScale" priority="26">
      <colorScale>
        <cfvo type="min"/>
        <cfvo type="percentile" val="50"/>
        <cfvo type="max"/>
        <color rgb="FFF8696B"/>
        <color rgb="FFFFEB84"/>
        <color rgb="FF63BE7B"/>
      </colorScale>
    </cfRule>
  </conditionalFormatting>
  <conditionalFormatting sqref="D11:D102">
    <cfRule type="colorScale" priority="27">
      <colorScale>
        <cfvo type="min"/>
        <cfvo type="percentile" val="50"/>
        <cfvo type="max"/>
        <color rgb="FFF8696B"/>
        <color rgb="FFFFEB84"/>
        <color rgb="FF63BE7B"/>
      </colorScale>
    </cfRule>
  </conditionalFormatting>
  <conditionalFormatting sqref="E11:E102">
    <cfRule type="colorScale" priority="28">
      <colorScale>
        <cfvo type="min"/>
        <cfvo type="percentile" val="50"/>
        <cfvo type="max"/>
        <color rgb="FFF8696B"/>
        <color rgb="FFFFEB84"/>
        <color rgb="FF63BE7B"/>
      </colorScale>
    </cfRule>
  </conditionalFormatting>
  <conditionalFormatting sqref="F11:F102">
    <cfRule type="colorScale" priority="29">
      <colorScale>
        <cfvo type="min"/>
        <cfvo type="percentile" val="50"/>
        <cfvo type="max"/>
        <color rgb="FFF8696B"/>
        <color rgb="FFFFEB84"/>
        <color rgb="FF63BE7B"/>
      </colorScale>
    </cfRule>
  </conditionalFormatting>
  <conditionalFormatting sqref="G11:G102">
    <cfRule type="colorScale" priority="30">
      <colorScale>
        <cfvo type="min"/>
        <cfvo type="percentile" val="50"/>
        <cfvo type="max"/>
        <color rgb="FFF8696B"/>
        <color rgb="FFFFEB84"/>
        <color rgb="FF63BE7B"/>
      </colorScale>
    </cfRule>
  </conditionalFormatting>
  <conditionalFormatting sqref="H11:H102">
    <cfRule type="colorScale" priority="31">
      <colorScale>
        <cfvo type="min"/>
        <cfvo type="percentile" val="50"/>
        <cfvo type="max"/>
        <color rgb="FFF8696B"/>
        <color rgb="FFFFEB84"/>
        <color rgb="FF63BE7B"/>
      </colorScale>
    </cfRule>
  </conditionalFormatting>
  <conditionalFormatting sqref="I11:I102">
    <cfRule type="colorScale" priority="32">
      <colorScale>
        <cfvo type="min"/>
        <cfvo type="percentile" val="50"/>
        <cfvo type="max"/>
        <color rgb="FFF8696B"/>
        <color rgb="FFFFEB84"/>
        <color rgb="FF63BE7B"/>
      </colorScale>
    </cfRule>
  </conditionalFormatting>
  <conditionalFormatting sqref="J11:J102">
    <cfRule type="colorScale" priority="33">
      <colorScale>
        <cfvo type="min"/>
        <cfvo type="percentile" val="50"/>
        <cfvo type="max"/>
        <color rgb="FFF8696B"/>
        <color rgb="FFFFEB84"/>
        <color rgb="FF63BE7B"/>
      </colorScale>
    </cfRule>
  </conditionalFormatting>
  <conditionalFormatting sqref="K11:K102">
    <cfRule type="colorScale" priority="34">
      <colorScale>
        <cfvo type="min"/>
        <cfvo type="percentile" val="50"/>
        <cfvo type="max"/>
        <color rgb="FFF8696B"/>
        <color rgb="FFFFEB84"/>
        <color rgb="FF63BE7B"/>
      </colorScale>
    </cfRule>
  </conditionalFormatting>
  <conditionalFormatting sqref="L11:L102">
    <cfRule type="colorScale" priority="35">
      <colorScale>
        <cfvo type="min"/>
        <cfvo type="percentile" val="50"/>
        <cfvo type="max"/>
        <color rgb="FFF8696B"/>
        <color rgb="FFFFEB84"/>
        <color rgb="FF63BE7B"/>
      </colorScale>
    </cfRule>
  </conditionalFormatting>
  <conditionalFormatting sqref="M11:M102">
    <cfRule type="colorScale" priority="36">
      <colorScale>
        <cfvo type="min"/>
        <cfvo type="percentile" val="50"/>
        <cfvo type="max"/>
        <color rgb="FFF8696B"/>
        <color rgb="FFFFEB84"/>
        <color rgb="FF63BE7B"/>
      </colorScale>
    </cfRule>
  </conditionalFormatting>
  <conditionalFormatting sqref="N11:N102">
    <cfRule type="colorScale" priority="37">
      <colorScale>
        <cfvo type="min"/>
        <cfvo type="percentile" val="50"/>
        <cfvo type="max"/>
        <color rgb="FFF8696B"/>
        <color rgb="FFFFEB84"/>
        <color rgb="FF63BE7B"/>
      </colorScale>
    </cfRule>
  </conditionalFormatting>
  <conditionalFormatting sqref="O11:O102">
    <cfRule type="colorScale" priority="38">
      <colorScale>
        <cfvo type="min"/>
        <cfvo type="percentile" val="50"/>
        <cfvo type="max"/>
        <color rgb="FFF8696B"/>
        <color rgb="FFFFEB84"/>
        <color rgb="FF63BE7B"/>
      </colorScale>
    </cfRule>
  </conditionalFormatting>
  <conditionalFormatting sqref="P11:P102">
    <cfRule type="colorScale" priority="39">
      <colorScale>
        <cfvo type="min"/>
        <cfvo type="percentile" val="50"/>
        <cfvo type="max"/>
        <color rgb="FFF8696B"/>
        <color rgb="FFFFEB84"/>
        <color rgb="FF63BE7B"/>
      </colorScale>
    </cfRule>
  </conditionalFormatting>
  <conditionalFormatting sqref="Q11:Q102">
    <cfRule type="colorScale" priority="40">
      <colorScale>
        <cfvo type="min"/>
        <cfvo type="percentile" val="50"/>
        <cfvo type="max"/>
        <color rgb="FFF8696B"/>
        <color rgb="FFFFEB84"/>
        <color rgb="FF63BE7B"/>
      </colorScale>
    </cfRule>
  </conditionalFormatting>
  <conditionalFormatting sqref="R11:R102">
    <cfRule type="colorScale" priority="41">
      <colorScale>
        <cfvo type="min"/>
        <cfvo type="percentile" val="50"/>
        <cfvo type="max"/>
        <color rgb="FFF8696B"/>
        <color rgb="FFFFEB84"/>
        <color rgb="FF63BE7B"/>
      </colorScale>
    </cfRule>
  </conditionalFormatting>
  <conditionalFormatting sqref="S11:S102">
    <cfRule type="colorScale" priority="42">
      <colorScale>
        <cfvo type="min"/>
        <cfvo type="percentile" val="50"/>
        <cfvo type="max"/>
        <color rgb="FFF8696B"/>
        <color rgb="FFFFEB84"/>
        <color rgb="FF63BE7B"/>
      </colorScale>
    </cfRule>
  </conditionalFormatting>
  <conditionalFormatting sqref="T11:T102">
    <cfRule type="colorScale" priority="43">
      <colorScale>
        <cfvo type="min"/>
        <cfvo type="percentile" val="50"/>
        <cfvo type="max"/>
        <color rgb="FFF8696B"/>
        <color rgb="FFFFEB84"/>
        <color rgb="FF63BE7B"/>
      </colorScale>
    </cfRule>
  </conditionalFormatting>
  <conditionalFormatting sqref="U11:U102">
    <cfRule type="colorScale" priority="44">
      <colorScale>
        <cfvo type="min"/>
        <cfvo type="percentile" val="50"/>
        <cfvo type="max"/>
        <color rgb="FFF8696B"/>
        <color rgb="FFFFEB84"/>
        <color rgb="FF63BE7B"/>
      </colorScale>
    </cfRule>
  </conditionalFormatting>
  <conditionalFormatting sqref="V11:V102">
    <cfRule type="colorScale" priority="45">
      <colorScale>
        <cfvo type="min"/>
        <cfvo type="percentile" val="50"/>
        <cfvo type="max"/>
        <color rgb="FFF8696B"/>
        <color rgb="FFFFEB84"/>
        <color rgb="FF63BE7B"/>
      </colorScale>
    </cfRule>
  </conditionalFormatting>
  <conditionalFormatting sqref="W11:W102">
    <cfRule type="colorScale" priority="46">
      <colorScale>
        <cfvo type="min"/>
        <cfvo type="percentile" val="50"/>
        <cfvo type="max"/>
        <color rgb="FFF8696B"/>
        <color rgb="FFFFEB84"/>
        <color rgb="FF63BE7B"/>
      </colorScale>
    </cfRule>
  </conditionalFormatting>
  <conditionalFormatting sqref="X11:X102">
    <cfRule type="colorScale" priority="47">
      <colorScale>
        <cfvo type="min"/>
        <cfvo type="percentile" val="50"/>
        <cfvo type="max"/>
        <color rgb="FFF8696B"/>
        <color rgb="FFFFEB84"/>
        <color rgb="FF63BE7B"/>
      </colorScale>
    </cfRule>
  </conditionalFormatting>
  <conditionalFormatting sqref="Y11:Y102">
    <cfRule type="colorScale" priority="48">
      <colorScale>
        <cfvo type="min"/>
        <cfvo type="percentile" val="50"/>
        <cfvo type="max"/>
        <color rgb="FFF8696B"/>
        <color rgb="FFFFEB84"/>
        <color rgb="FF63BE7B"/>
      </colorScale>
    </cfRule>
  </conditionalFormatting>
  <conditionalFormatting sqref="Z11:Z102">
    <cfRule type="colorScale" priority="49">
      <colorScale>
        <cfvo type="min"/>
        <cfvo type="percentile" val="50"/>
        <cfvo type="max"/>
        <color rgb="FFF8696B"/>
        <color rgb="FFFFEB84"/>
        <color rgb="FF63BE7B"/>
      </colorScale>
    </cfRule>
  </conditionalFormatting>
  <conditionalFormatting sqref="AA11:AA102">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10" zoomScaleNormal="110" workbookViewId="0">
      <selection activeCell="A22" sqref="A22:XFD22"/>
    </sheetView>
  </sheetViews>
  <sheetFormatPr baseColWidth="8" defaultColWidth="9.1796875" defaultRowHeight="14.5"/>
  <cols>
    <col width="9.1796875" customWidth="1" style="74" min="1" max="1"/>
    <col width="31.81640625" customWidth="1" style="74" min="2" max="2"/>
    <col width="13.81640625" customWidth="1" style="74" min="3" max="3"/>
    <col width="12.36328125" customWidth="1" style="74" min="4" max="4"/>
    <col width="19.7265625" customWidth="1" style="74" min="5" max="5"/>
    <col width="9.1796875" customWidth="1" style="74" min="6" max="41"/>
    <col width="9.1796875" customWidth="1" style="74" min="42" max="16384"/>
  </cols>
  <sheetData>
    <row r="1" ht="16" customHeight="1" thickBot="1"/>
    <row r="2" ht="17" customHeight="1" thickBot="1">
      <c r="B2" s="69" t="inlineStr">
        <is>
          <t>Country Name</t>
        </is>
      </c>
      <c r="C2" s="60" t="inlineStr">
        <is>
          <t>% World GDP</t>
        </is>
      </c>
      <c r="D2" s="61" t="inlineStr">
        <is>
          <t xml:space="preserve">GDP y/y </t>
        </is>
      </c>
      <c r="E2" s="61" t="inlineStr">
        <is>
          <t>GDP q/q Annualized</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4"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4"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4" t="inlineStr">
        <is>
          <t>Total GDP</t>
        </is>
      </c>
      <c r="C31" s="74">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J435"/>
  <sheetViews>
    <sheetView zoomScaleNormal="100" workbookViewId="0">
      <pane ySplit="1" topLeftCell="A283" activePane="bottomLeft" state="frozen"/>
      <selection activeCell="F175" sqref="F175"/>
      <selection pane="bottomLeft" activeCell="B304" sqref="B304"/>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4" min="5" max="48"/>
  </cols>
  <sheetData>
    <row r="1" ht="32" customHeight="1">
      <c r="A1" s="39" t="inlineStr">
        <is>
          <t>Data</t>
        </is>
      </c>
      <c r="B1" s="45" t="inlineStr">
        <is>
          <t>JPN</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8" t="inlineStr">
        <is>
          <t>ARG</t>
        </is>
      </c>
      <c r="G2" s="46" t="n"/>
      <c r="H2" s="46" t="n"/>
      <c r="J2" s="74">
        <f>B1&amp;" "&amp;C1</f>
        <v/>
      </c>
    </row>
    <row r="3">
      <c r="A3" s="42" t="n">
        <v>17441</v>
      </c>
      <c r="B3" s="43">
        <f>VLOOKUP(A3,'Data yoy'!$B:$AW,MATCH($B$1,'Data yoy'!$B$1:$AW$1,0),FALSE)</f>
        <v/>
      </c>
      <c r="C3" s="43">
        <f>Table13456789101112131415161734[[#This Row],[JPN]]-B2</f>
        <v/>
      </c>
      <c r="D3" s="46" t="n"/>
      <c r="E3" s="46" t="n"/>
      <c r="F3" s="48" t="inlineStr">
        <is>
          <t>AUS</t>
        </is>
      </c>
      <c r="G3" s="46" t="n"/>
      <c r="H3" s="46" t="n"/>
      <c r="J3" s="74">
        <f>J2&amp;" 2000-"</f>
        <v/>
      </c>
    </row>
    <row r="4">
      <c r="A4" s="42" t="n">
        <v>17533</v>
      </c>
      <c r="B4" s="43">
        <f>VLOOKUP(A4,'Data yoy'!$B:$AW,MATCH($B$1,'Data yoy'!$B$1:$AW$1,0),FALSE)</f>
        <v/>
      </c>
      <c r="C4" s="43">
        <f>Table13456789101112131415161734[[#This Row],[JPN]]-B3</f>
        <v/>
      </c>
      <c r="D4" s="46" t="n"/>
      <c r="E4" s="46" t="n"/>
      <c r="F4" s="48" t="inlineStr">
        <is>
          <t>AUT</t>
        </is>
      </c>
      <c r="G4" s="46" t="n"/>
      <c r="H4" s="46" t="n"/>
    </row>
    <row r="5">
      <c r="A5" s="42" t="n">
        <v>17624</v>
      </c>
      <c r="B5" s="43">
        <f>VLOOKUP(A5,'Data yoy'!$B:$AW,MATCH($B$1,'Data yoy'!$B$1:$AW$1,0),FALSE)</f>
        <v/>
      </c>
      <c r="C5" s="43">
        <f>Table13456789101112131415161734[[#This Row],[JPN]]-B4</f>
        <v/>
      </c>
      <c r="D5" s="46" t="n"/>
      <c r="E5" s="46" t="n"/>
      <c r="F5" s="48" t="inlineStr">
        <is>
          <t>BEL</t>
        </is>
      </c>
      <c r="G5" s="46" t="n"/>
      <c r="H5" s="46" t="n"/>
    </row>
    <row r="6">
      <c r="A6" s="42" t="n">
        <v>17715</v>
      </c>
      <c r="B6" s="43">
        <f>VLOOKUP(A6,'Data yoy'!$B:$AW,MATCH($B$1,'Data yoy'!$B$1:$AW$1,0),FALSE)</f>
        <v/>
      </c>
      <c r="C6" s="43">
        <f>Table13456789101112131415161734[[#This Row],[JPN]]-B5</f>
        <v/>
      </c>
      <c r="D6" s="46" t="n"/>
      <c r="E6" s="46" t="n"/>
      <c r="F6" s="48" t="inlineStr">
        <is>
          <t>BRA</t>
        </is>
      </c>
      <c r="G6" s="46" t="n"/>
      <c r="H6" s="46" t="n"/>
    </row>
    <row r="7">
      <c r="A7" s="42" t="n">
        <v>17807</v>
      </c>
      <c r="B7" s="43">
        <f>VLOOKUP(A7,'Data yoy'!$B:$AW,MATCH($B$1,'Data yoy'!$B$1:$AW$1,0),FALSE)</f>
        <v/>
      </c>
      <c r="C7" s="43">
        <f>Table13456789101112131415161734[[#This Row],[JPN]]-B6</f>
        <v/>
      </c>
      <c r="D7" s="46" t="n"/>
      <c r="E7" s="46" t="n"/>
      <c r="F7" s="48" t="inlineStr">
        <is>
          <t>CAN</t>
        </is>
      </c>
      <c r="G7" s="46" t="n"/>
      <c r="H7" s="46" t="n"/>
    </row>
    <row r="8">
      <c r="A8" s="42" t="n">
        <v>17899</v>
      </c>
      <c r="B8" s="43">
        <f>VLOOKUP(A8,'Data yoy'!$B:$AW,MATCH($B$1,'Data yoy'!$B$1:$AW$1,0),FALSE)</f>
        <v/>
      </c>
      <c r="C8" s="43">
        <f>Table13456789101112131415161734[[#This Row],[JPN]]-B7</f>
        <v/>
      </c>
      <c r="D8" s="46" t="n"/>
      <c r="E8" s="46" t="n"/>
      <c r="F8" s="48" t="inlineStr">
        <is>
          <t>CHE</t>
        </is>
      </c>
      <c r="G8" s="46" t="n"/>
      <c r="H8" s="46" t="n"/>
    </row>
    <row r="9">
      <c r="A9" s="42" t="n">
        <v>17989</v>
      </c>
      <c r="B9" s="43">
        <f>VLOOKUP(A9,'Data yoy'!$B:$AW,MATCH($B$1,'Data yoy'!$B$1:$AW$1,0),FALSE)</f>
        <v/>
      </c>
      <c r="C9" s="43">
        <f>Table13456789101112131415161734[[#This Row],[JPN]]-B8</f>
        <v/>
      </c>
      <c r="D9" s="46" t="n"/>
      <c r="E9" s="46" t="n"/>
      <c r="F9" s="48" t="inlineStr">
        <is>
          <t>CHL</t>
        </is>
      </c>
      <c r="G9" s="46" t="n"/>
      <c r="H9" s="46" t="n"/>
    </row>
    <row r="10">
      <c r="A10" s="42" t="n">
        <v>18080</v>
      </c>
      <c r="B10" s="43">
        <f>VLOOKUP(A10,'Data yoy'!$B:$AW,MATCH($B$1,'Data yoy'!$B$1:$AW$1,0),FALSE)</f>
        <v/>
      </c>
      <c r="C10" s="43">
        <f>Table13456789101112131415161734[[#This Row],[JPN]]-B9</f>
        <v/>
      </c>
      <c r="D10" s="46" t="n"/>
      <c r="E10" s="46" t="n"/>
      <c r="F10" s="48" t="inlineStr">
        <is>
          <t>CHN</t>
        </is>
      </c>
      <c r="G10" s="46" t="n"/>
      <c r="H10" s="46" t="n"/>
    </row>
    <row r="11">
      <c r="A11" s="42" t="n">
        <v>18172</v>
      </c>
      <c r="B11" s="43">
        <f>VLOOKUP(A11,'Data yoy'!$B:$AW,MATCH($B$1,'Data yoy'!$B$1:$AW$1,0),FALSE)</f>
        <v/>
      </c>
      <c r="C11" s="43">
        <f>Table13456789101112131415161734[[#This Row],[JPN]]-B10</f>
        <v/>
      </c>
      <c r="D11" s="46" t="n"/>
      <c r="E11" s="46" t="n"/>
      <c r="F11" s="48" t="inlineStr">
        <is>
          <t>CZE</t>
        </is>
      </c>
      <c r="G11" s="46" t="n"/>
      <c r="H11" s="46" t="n"/>
    </row>
    <row r="12">
      <c r="A12" s="42" t="n">
        <v>18264</v>
      </c>
      <c r="B12" s="43">
        <f>VLOOKUP(A12,'Data yoy'!$B:$AW,MATCH($B$1,'Data yoy'!$B$1:$AW$1,0),FALSE)</f>
        <v/>
      </c>
      <c r="C12" s="43">
        <f>Table13456789101112131415161734[[#This Row],[JPN]]-B11</f>
        <v/>
      </c>
      <c r="D12" s="27" t="n"/>
      <c r="F12" s="74" t="inlineStr">
        <is>
          <t>DEU</t>
        </is>
      </c>
    </row>
    <row r="13">
      <c r="A13" s="42" t="n">
        <v>18354</v>
      </c>
      <c r="B13" s="43">
        <f>VLOOKUP(A13,'Data yoy'!$B:$AW,MATCH($B$1,'Data yoy'!$B$1:$AW$1,0),FALSE)</f>
        <v/>
      </c>
      <c r="C13" s="43">
        <f>Table13456789101112131415161734[[#This Row],[JPN]]-B12</f>
        <v/>
      </c>
      <c r="D13" s="27" t="n"/>
      <c r="F13" s="74" t="inlineStr">
        <is>
          <t>DNK</t>
        </is>
      </c>
    </row>
    <row r="14">
      <c r="A14" s="42" t="n">
        <v>18445</v>
      </c>
      <c r="B14" s="43">
        <f>VLOOKUP(A14,'Data yoy'!$B:$AW,MATCH($B$1,'Data yoy'!$B$1:$AW$1,0),FALSE)</f>
        <v/>
      </c>
      <c r="C14" s="43">
        <f>Table13456789101112131415161734[[#This Row],[JPN]]-B13</f>
        <v/>
      </c>
      <c r="D14" s="27" t="n"/>
      <c r="F14" s="74" t="inlineStr">
        <is>
          <t>EA19</t>
        </is>
      </c>
    </row>
    <row r="15">
      <c r="A15" s="42" t="n">
        <v>18537</v>
      </c>
      <c r="B15" s="43">
        <f>VLOOKUP(A15,'Data yoy'!$B:$AW,MATCH($B$1,'Data yoy'!$B$1:$AW$1,0),FALSE)</f>
        <v/>
      </c>
      <c r="C15" s="43">
        <f>Table13456789101112131415161734[[#This Row],[JPN]]-B14</f>
        <v/>
      </c>
      <c r="D15" s="27" t="n"/>
      <c r="F15" s="74" t="inlineStr">
        <is>
          <t>ESP</t>
        </is>
      </c>
    </row>
    <row r="16">
      <c r="A16" s="42" t="n">
        <v>18629</v>
      </c>
      <c r="B16" s="43">
        <f>VLOOKUP(A16,'Data yoy'!$B:$AW,MATCH($B$1,'Data yoy'!$B$1:$AW$1,0),FALSE)</f>
        <v/>
      </c>
      <c r="C16" s="43">
        <f>Table13456789101112131415161734[[#This Row],[JPN]]-B15</f>
        <v/>
      </c>
      <c r="D16" s="27" t="n"/>
      <c r="F16" s="74" t="inlineStr">
        <is>
          <t>EST</t>
        </is>
      </c>
    </row>
    <row r="17">
      <c r="A17" s="42" t="n">
        <v>18719</v>
      </c>
      <c r="B17" s="43">
        <f>VLOOKUP(A17,'Data yoy'!$B:$AW,MATCH($B$1,'Data yoy'!$B$1:$AW$1,0),FALSE)</f>
        <v/>
      </c>
      <c r="C17" s="43">
        <f>Table13456789101112131415161734[[#This Row],[JPN]]-B16</f>
        <v/>
      </c>
      <c r="D17" s="27" t="n"/>
      <c r="F17" s="74" t="inlineStr">
        <is>
          <t>EU27_2020</t>
        </is>
      </c>
    </row>
    <row r="18">
      <c r="A18" s="42" t="n">
        <v>18810</v>
      </c>
      <c r="B18" s="43">
        <f>VLOOKUP(A18,'Data yoy'!$B:$AW,MATCH($B$1,'Data yoy'!$B$1:$AW$1,0),FALSE)</f>
        <v/>
      </c>
      <c r="C18" s="43">
        <f>Table13456789101112131415161734[[#This Row],[JPN]]-B17</f>
        <v/>
      </c>
      <c r="D18" s="27" t="n"/>
      <c r="F18" s="74" t="inlineStr">
        <is>
          <t>EU28</t>
        </is>
      </c>
    </row>
    <row r="19">
      <c r="A19" s="42" t="n">
        <v>18902</v>
      </c>
      <c r="B19" s="43">
        <f>VLOOKUP(A19,'Data yoy'!$B:$AW,MATCH($B$1,'Data yoy'!$B$1:$AW$1,0),FALSE)</f>
        <v/>
      </c>
      <c r="C19" s="43">
        <f>Table13456789101112131415161734[[#This Row],[JPN]]-B18</f>
        <v/>
      </c>
      <c r="D19" s="27" t="n"/>
      <c r="F19" s="74" t="inlineStr">
        <is>
          <t>FIN</t>
        </is>
      </c>
    </row>
    <row r="20">
      <c r="A20" s="42" t="n">
        <v>18994</v>
      </c>
      <c r="B20" s="43">
        <f>VLOOKUP(A20,'Data yoy'!$B:$AW,MATCH($B$1,'Data yoy'!$B$1:$AW$1,0),FALSE)</f>
        <v/>
      </c>
      <c r="C20" s="43">
        <f>Table13456789101112131415161734[[#This Row],[JPN]]-B19</f>
        <v/>
      </c>
      <c r="D20" s="27" t="n"/>
      <c r="F20" s="74" t="inlineStr">
        <is>
          <t>FRA</t>
        </is>
      </c>
    </row>
    <row r="21">
      <c r="A21" s="42" t="n">
        <v>19085</v>
      </c>
      <c r="B21" s="43">
        <f>VLOOKUP(A21,'Data yoy'!$B:$AW,MATCH($B$1,'Data yoy'!$B$1:$AW$1,0),FALSE)</f>
        <v/>
      </c>
      <c r="C21" s="43">
        <f>Table13456789101112131415161734[[#This Row],[JPN]]-B20</f>
        <v/>
      </c>
      <c r="D21" s="27" t="n"/>
      <c r="F21" s="74" t="inlineStr">
        <is>
          <t>G-7</t>
        </is>
      </c>
    </row>
    <row r="22">
      <c r="A22" s="42" t="n">
        <v>19176</v>
      </c>
      <c r="B22" s="43">
        <f>VLOOKUP(A22,'Data yoy'!$B:$AW,MATCH($B$1,'Data yoy'!$B$1:$AW$1,0),FALSE)</f>
        <v/>
      </c>
      <c r="C22" s="43">
        <f>Table13456789101112131415161734[[#This Row],[JPN]]-B21</f>
        <v/>
      </c>
      <c r="D22" s="27" t="n"/>
      <c r="F22" s="74" t="inlineStr">
        <is>
          <t>G7</t>
        </is>
      </c>
    </row>
    <row r="23">
      <c r="A23" s="42" t="n">
        <v>19268</v>
      </c>
      <c r="B23" s="43">
        <f>VLOOKUP(A23,'Data yoy'!$B:$AW,MATCH($B$1,'Data yoy'!$B$1:$AW$1,0),FALSE)</f>
        <v/>
      </c>
      <c r="C23" s="43">
        <f>Table13456789101112131415161734[[#This Row],[JPN]]-B22</f>
        <v/>
      </c>
      <c r="D23" s="27" t="n"/>
      <c r="F23" s="74" t="inlineStr">
        <is>
          <t>GBR</t>
        </is>
      </c>
    </row>
    <row r="24">
      <c r="A24" s="42" t="n">
        <v>19360</v>
      </c>
      <c r="B24" s="43">
        <f>VLOOKUP(A24,'Data yoy'!$B:$AW,MATCH($B$1,'Data yoy'!$B$1:$AW$1,0),FALSE)</f>
        <v/>
      </c>
      <c r="C24" s="43">
        <f>Table13456789101112131415161734[[#This Row],[JPN]]-B23</f>
        <v/>
      </c>
      <c r="D24" s="27" t="n"/>
      <c r="F24" s="74" t="inlineStr">
        <is>
          <t>GRC</t>
        </is>
      </c>
    </row>
    <row r="25">
      <c r="A25" s="42" t="n">
        <v>19450</v>
      </c>
      <c r="B25" s="43">
        <f>VLOOKUP(A25,'Data yoy'!$B:$AW,MATCH($B$1,'Data yoy'!$B$1:$AW$1,0),FALSE)</f>
        <v/>
      </c>
      <c r="C25" s="43">
        <f>Table13456789101112131415161734[[#This Row],[JPN]]-B24</f>
        <v/>
      </c>
      <c r="D25" s="27" t="n"/>
      <c r="F25" s="74" t="inlineStr">
        <is>
          <t>HUN</t>
        </is>
      </c>
    </row>
    <row r="26">
      <c r="A26" s="42" t="n">
        <v>19541</v>
      </c>
      <c r="B26" s="43">
        <f>VLOOKUP(A26,'Data yoy'!$B:$AW,MATCH($B$1,'Data yoy'!$B$1:$AW$1,0),FALSE)</f>
        <v/>
      </c>
      <c r="C26" s="43">
        <f>Table13456789101112131415161734[[#This Row],[JPN]]-B25</f>
        <v/>
      </c>
      <c r="D26" s="27" t="n"/>
      <c r="F26" s="74" t="inlineStr">
        <is>
          <t>IND</t>
        </is>
      </c>
    </row>
    <row r="27">
      <c r="A27" s="42" t="n">
        <v>19633</v>
      </c>
      <c r="B27" s="43">
        <f>VLOOKUP(A27,'Data yoy'!$B:$AW,MATCH($B$1,'Data yoy'!$B$1:$AW$1,0),FALSE)</f>
        <v/>
      </c>
      <c r="C27" s="43">
        <f>Table13456789101112131415161734[[#This Row],[JPN]]-B26</f>
        <v/>
      </c>
      <c r="D27" s="27" t="n"/>
      <c r="F27" s="74" t="inlineStr">
        <is>
          <t>IRL</t>
        </is>
      </c>
    </row>
    <row r="28">
      <c r="A28" s="42" t="n">
        <v>19725</v>
      </c>
      <c r="B28" s="43">
        <f>VLOOKUP(A28,'Data yoy'!$B:$AW,MATCH($B$1,'Data yoy'!$B$1:$AW$1,0),FALSE)</f>
        <v/>
      </c>
      <c r="C28" s="43">
        <f>Table13456789101112131415161734[[#This Row],[JPN]]-B27</f>
        <v/>
      </c>
      <c r="D28" s="27" t="n"/>
      <c r="F28" s="74" t="inlineStr">
        <is>
          <t>ISL</t>
        </is>
      </c>
    </row>
    <row r="29">
      <c r="A29" s="42" t="n">
        <v>19815</v>
      </c>
      <c r="B29" s="43">
        <f>VLOOKUP(A29,'Data yoy'!$B:$AW,MATCH($B$1,'Data yoy'!$B$1:$AW$1,0),FALSE)</f>
        <v/>
      </c>
      <c r="C29" s="43">
        <f>Table13456789101112131415161734[[#This Row],[JPN]]-B28</f>
        <v/>
      </c>
      <c r="D29" s="27" t="n"/>
      <c r="F29" s="74" t="inlineStr">
        <is>
          <t>ISR</t>
        </is>
      </c>
    </row>
    <row r="30">
      <c r="A30" s="42" t="n">
        <v>19906</v>
      </c>
      <c r="B30" s="43">
        <f>VLOOKUP(A30,'Data yoy'!$B:$AW,MATCH($B$1,'Data yoy'!$B$1:$AW$1,0),FALSE)</f>
        <v/>
      </c>
      <c r="C30" s="43">
        <f>Table13456789101112131415161734[[#This Row],[JPN]]-B29</f>
        <v/>
      </c>
      <c r="D30" s="27" t="n"/>
      <c r="F30" s="74" t="inlineStr">
        <is>
          <t>ITA</t>
        </is>
      </c>
    </row>
    <row r="31">
      <c r="A31" s="42" t="n">
        <v>19998</v>
      </c>
      <c r="B31" s="43">
        <f>VLOOKUP(A31,'Data yoy'!$B:$AW,MATCH($B$1,'Data yoy'!$B$1:$AW$1,0),FALSE)</f>
        <v/>
      </c>
      <c r="C31" s="43">
        <f>Table13456789101112131415161734[[#This Row],[JPN]]-B30</f>
        <v/>
      </c>
      <c r="D31" s="27" t="n"/>
      <c r="F31" s="74" t="inlineStr">
        <is>
          <t>JPN</t>
        </is>
      </c>
    </row>
    <row r="32">
      <c r="A32" s="42" t="n">
        <v>20090</v>
      </c>
      <c r="B32" s="43">
        <f>VLOOKUP(A32,'Data yoy'!$B:$AW,MATCH($B$1,'Data yoy'!$B$1:$AW$1,0),FALSE)</f>
        <v/>
      </c>
      <c r="C32" s="43">
        <f>Table13456789101112131415161734[[#This Row],[JPN]]-B31</f>
        <v/>
      </c>
      <c r="D32" s="27" t="n"/>
      <c r="F32" s="74" t="inlineStr">
        <is>
          <t>KOR</t>
        </is>
      </c>
    </row>
    <row r="33">
      <c r="A33" s="42" t="n">
        <v>20180</v>
      </c>
      <c r="B33" s="43">
        <f>VLOOKUP(A33,'Data yoy'!$B:$AW,MATCH($B$1,'Data yoy'!$B$1:$AW$1,0),FALSE)</f>
        <v/>
      </c>
      <c r="C33" s="43">
        <f>Table13456789101112131415161734[[#This Row],[JPN]]-B32</f>
        <v/>
      </c>
      <c r="D33" s="27" t="n"/>
      <c r="F33" s="74" t="inlineStr">
        <is>
          <t>LUX</t>
        </is>
      </c>
    </row>
    <row r="34">
      <c r="A34" s="42" t="n">
        <v>20271</v>
      </c>
      <c r="B34" s="43">
        <f>VLOOKUP(A34,'Data yoy'!$B:$AW,MATCH($B$1,'Data yoy'!$B$1:$AW$1,0),FALSE)</f>
        <v/>
      </c>
      <c r="C34" s="43">
        <f>Table13456789101112131415161734[[#This Row],[JPN]]-B33</f>
        <v/>
      </c>
      <c r="D34" s="27" t="n"/>
      <c r="F34" s="74" t="inlineStr">
        <is>
          <t>LVA</t>
        </is>
      </c>
    </row>
    <row r="35">
      <c r="A35" s="42" t="n">
        <v>20363</v>
      </c>
      <c r="B35" s="43">
        <f>VLOOKUP(A35,'Data yoy'!$B:$AW,MATCH($B$1,'Data yoy'!$B$1:$AW$1,0),FALSE)</f>
        <v/>
      </c>
      <c r="C35" s="43">
        <f>Table13456789101112131415161734[[#This Row],[JPN]]-B34</f>
        <v/>
      </c>
      <c r="D35" s="27" t="n"/>
      <c r="F35" s="74" t="inlineStr">
        <is>
          <t>MEX</t>
        </is>
      </c>
    </row>
    <row r="36">
      <c r="A36" s="42" t="n">
        <v>20455</v>
      </c>
      <c r="B36" s="43">
        <f>VLOOKUP(A36,'Data yoy'!$B:$AW,MATCH($B$1,'Data yoy'!$B$1:$AW$1,0),FALSE)</f>
        <v/>
      </c>
      <c r="C36" s="43">
        <f>Table13456789101112131415161734[[#This Row],[JPN]]-B35</f>
        <v/>
      </c>
      <c r="D36" s="27" t="n"/>
      <c r="F36" s="74" t="inlineStr">
        <is>
          <t>NLD</t>
        </is>
      </c>
    </row>
    <row r="37">
      <c r="A37" s="42" t="n">
        <v>20546</v>
      </c>
      <c r="B37" s="43">
        <f>VLOOKUP(A37,'Data yoy'!$B:$AW,MATCH($B$1,'Data yoy'!$B$1:$AW$1,0),FALSE)</f>
        <v/>
      </c>
      <c r="C37" s="43">
        <f>Table13456789101112131415161734[[#This Row],[JPN]]-B36</f>
        <v/>
      </c>
      <c r="D37" s="27" t="n"/>
      <c r="F37" s="74" t="inlineStr">
        <is>
          <t>NOR</t>
        </is>
      </c>
    </row>
    <row r="38">
      <c r="A38" s="42" t="n">
        <v>20637</v>
      </c>
      <c r="B38" s="43">
        <f>VLOOKUP(A38,'Data yoy'!$B:$AW,MATCH($B$1,'Data yoy'!$B$1:$AW$1,0),FALSE)</f>
        <v/>
      </c>
      <c r="C38" s="43">
        <f>Table13456789101112131415161734[[#This Row],[JPN]]-B37</f>
        <v/>
      </c>
      <c r="D38" s="27" t="n"/>
      <c r="F38" s="74" t="inlineStr">
        <is>
          <t>NZL</t>
        </is>
      </c>
    </row>
    <row r="39">
      <c r="A39" s="42" t="n">
        <v>20729</v>
      </c>
      <c r="B39" s="43">
        <f>VLOOKUP(A39,'Data yoy'!$B:$AW,MATCH($B$1,'Data yoy'!$B$1:$AW$1,0),FALSE)</f>
        <v/>
      </c>
      <c r="C39" s="43">
        <f>Table13456789101112131415161734[[#This Row],[JPN]]-B38</f>
        <v/>
      </c>
      <c r="D39" s="27" t="n"/>
      <c r="F39" s="74" t="inlineStr">
        <is>
          <t>OECD</t>
        </is>
      </c>
    </row>
    <row r="40">
      <c r="A40" s="42" t="n">
        <v>20821</v>
      </c>
      <c r="B40" s="43">
        <f>VLOOKUP(A40,'Data yoy'!$B:$AW,MATCH($B$1,'Data yoy'!$B$1:$AW$1,0),FALSE)</f>
        <v/>
      </c>
      <c r="C40" s="43">
        <f>Table13456789101112131415161734[[#This Row],[JPN]]-B39</f>
        <v/>
      </c>
      <c r="D40" s="27" t="n"/>
      <c r="F40" s="74" t="inlineStr">
        <is>
          <t>POL</t>
        </is>
      </c>
    </row>
    <row r="41">
      <c r="A41" s="42" t="n">
        <v>20911</v>
      </c>
      <c r="B41" s="43">
        <f>VLOOKUP(A41,'Data yoy'!$B:$AW,MATCH($B$1,'Data yoy'!$B$1:$AW$1,0),FALSE)</f>
        <v/>
      </c>
      <c r="C41" s="43">
        <f>Table13456789101112131415161734[[#This Row],[JPN]]-B40</f>
        <v/>
      </c>
      <c r="D41" s="27" t="n"/>
      <c r="F41" s="74" t="inlineStr">
        <is>
          <t>PRT</t>
        </is>
      </c>
    </row>
    <row r="42">
      <c r="A42" s="42" t="n">
        <v>21002</v>
      </c>
      <c r="B42" s="43">
        <f>VLOOKUP(A42,'Data yoy'!$B:$AW,MATCH($B$1,'Data yoy'!$B$1:$AW$1,0),FALSE)</f>
        <v/>
      </c>
      <c r="C42" s="43">
        <f>Table13456789101112131415161734[[#This Row],[JPN]]-B41</f>
        <v/>
      </c>
      <c r="D42" s="27" t="n"/>
      <c r="F42" s="74" t="inlineStr">
        <is>
          <t>RUS</t>
        </is>
      </c>
    </row>
    <row r="43">
      <c r="A43" s="42" t="n">
        <v>21094</v>
      </c>
      <c r="B43" s="43">
        <f>VLOOKUP(A43,'Data yoy'!$B:$AW,MATCH($B$1,'Data yoy'!$B$1:$AW$1,0),FALSE)</f>
        <v/>
      </c>
      <c r="C43" s="43">
        <f>Table13456789101112131415161734[[#This Row],[JPN]]-B42</f>
        <v/>
      </c>
      <c r="D43" s="27" t="n"/>
      <c r="F43" s="74" t="inlineStr">
        <is>
          <t>SVK</t>
        </is>
      </c>
    </row>
    <row r="44">
      <c r="A44" s="42" t="n">
        <v>21186</v>
      </c>
      <c r="B44" s="43">
        <f>VLOOKUP(A44,'Data yoy'!$B:$AW,MATCH($B$1,'Data yoy'!$B$1:$AW$1,0),FALSE)</f>
        <v/>
      </c>
      <c r="C44" s="43">
        <f>Table13456789101112131415161734[[#This Row],[JPN]]-B43</f>
        <v/>
      </c>
      <c r="D44" s="27" t="n"/>
      <c r="F44" s="74" t="inlineStr">
        <is>
          <t>SVN</t>
        </is>
      </c>
    </row>
    <row r="45">
      <c r="A45" s="42" t="n">
        <v>21276</v>
      </c>
      <c r="B45" s="43">
        <f>VLOOKUP(A45,'Data yoy'!$B:$AW,MATCH($B$1,'Data yoy'!$B$1:$AW$1,0),FALSE)</f>
        <v/>
      </c>
      <c r="C45" s="43">
        <f>Table13456789101112131415161734[[#This Row],[JPN]]-B44</f>
        <v/>
      </c>
      <c r="D45" s="27" t="n"/>
      <c r="F45" s="74" t="inlineStr">
        <is>
          <t>SWE</t>
        </is>
      </c>
    </row>
    <row r="46">
      <c r="A46" s="42" t="n">
        <v>21367</v>
      </c>
      <c r="B46" s="43">
        <f>VLOOKUP(A46,'Data yoy'!$B:$AW,MATCH($B$1,'Data yoy'!$B$1:$AW$1,0),FALSE)</f>
        <v/>
      </c>
      <c r="C46" s="43">
        <f>Table13456789101112131415161734[[#This Row],[JPN]]-B45</f>
        <v/>
      </c>
      <c r="D46" s="27" t="n"/>
      <c r="F46" s="74" t="inlineStr">
        <is>
          <t>TUR</t>
        </is>
      </c>
    </row>
    <row r="47">
      <c r="A47" s="42" t="n">
        <v>21459</v>
      </c>
      <c r="B47" s="43">
        <f>VLOOKUP(A47,'Data yoy'!$B:$AW,MATCH($B$1,'Data yoy'!$B$1:$AW$1,0),FALSE)</f>
        <v/>
      </c>
      <c r="C47" s="43">
        <f>Table13456789101112131415161734[[#This Row],[JPN]]-B46</f>
        <v/>
      </c>
      <c r="D47" s="27" t="n"/>
      <c r="F47" s="74" t="inlineStr">
        <is>
          <t>USA</t>
        </is>
      </c>
    </row>
    <row r="48">
      <c r="A48" s="42" t="n">
        <v>21551</v>
      </c>
      <c r="B48" s="43">
        <f>VLOOKUP(A48,'Data yoy'!$B:$AW,MATCH($B$1,'Data yoy'!$B$1:$AW$1,0),FALSE)</f>
        <v/>
      </c>
      <c r="C48" s="43">
        <f>Table13456789101112131415161734[[#This Row],[JPN]]-B47</f>
        <v/>
      </c>
      <c r="D48" s="27" t="n"/>
      <c r="F48" s="74" t="inlineStr">
        <is>
          <t>ZAF</t>
        </is>
      </c>
    </row>
    <row r="49">
      <c r="A49" s="42" t="n">
        <v>21641</v>
      </c>
      <c r="B49" s="43">
        <f>VLOOKUP(A49,'Data yoy'!$B:$AW,MATCH($B$1,'Data yoy'!$B$1:$AW$1,0),FALSE)</f>
        <v/>
      </c>
      <c r="C49" s="43">
        <f>Table13456789101112131415161734[[#This Row],[JPN]]-B48</f>
        <v/>
      </c>
      <c r="D49" s="27" t="n"/>
    </row>
    <row r="50">
      <c r="A50" s="42" t="n">
        <v>21732</v>
      </c>
      <c r="B50" s="43">
        <f>VLOOKUP(A50,'Data yoy'!$B:$AW,MATCH($B$1,'Data yoy'!$B$1:$AW$1,0),FALSE)</f>
        <v/>
      </c>
      <c r="C50" s="43">
        <f>Table13456789101112131415161734[[#This Row],[JPN]]-B49</f>
        <v/>
      </c>
      <c r="D50" s="27" t="n"/>
    </row>
    <row r="51">
      <c r="A51" s="42" t="n">
        <v>21824</v>
      </c>
      <c r="B51" s="43">
        <f>VLOOKUP(A51,'Data yoy'!$B:$AW,MATCH($B$1,'Data yoy'!$B$1:$AW$1,0),FALSE)</f>
        <v/>
      </c>
      <c r="C51" s="43">
        <f>Table13456789101112131415161734[[#This Row],[JPN]]-B50</f>
        <v/>
      </c>
      <c r="D51" s="27" t="n"/>
    </row>
    <row r="52">
      <c r="A52" s="42" t="n">
        <v>21916</v>
      </c>
      <c r="B52" s="43">
        <f>VLOOKUP(A52,'Data yoy'!$B:$AW,MATCH($B$1,'Data yoy'!$B$1:$AW$1,0),FALSE)</f>
        <v/>
      </c>
      <c r="C52" s="43">
        <f>Table13456789101112131415161734[[#This Row],[JPN]]-B51</f>
        <v/>
      </c>
      <c r="D52" s="27" t="n"/>
    </row>
    <row r="53">
      <c r="A53" s="42" t="n">
        <v>22007</v>
      </c>
      <c r="B53" s="43">
        <f>VLOOKUP(A53,'Data yoy'!$B:$AW,MATCH($B$1,'Data yoy'!$B$1:$AW$1,0),FALSE)</f>
        <v/>
      </c>
      <c r="C53" s="43">
        <f>Table13456789101112131415161734[[#This Row],[JPN]]-B52</f>
        <v/>
      </c>
      <c r="D53" s="27" t="n"/>
    </row>
    <row r="54">
      <c r="A54" s="42" t="n">
        <v>22098</v>
      </c>
      <c r="B54" s="43">
        <f>VLOOKUP(A54,'Data yoy'!$B:$AW,MATCH($B$1,'Data yoy'!$B$1:$AW$1,0),FALSE)</f>
        <v/>
      </c>
      <c r="C54" s="43">
        <f>Table13456789101112131415161734[[#This Row],[JPN]]-B53</f>
        <v/>
      </c>
      <c r="D54" s="27" t="n"/>
    </row>
    <row r="55">
      <c r="A55" s="42" t="n">
        <v>22190</v>
      </c>
      <c r="B55" s="43">
        <f>VLOOKUP(A55,'Data yoy'!$B:$AW,MATCH($B$1,'Data yoy'!$B$1:$AW$1,0),FALSE)</f>
        <v/>
      </c>
      <c r="C55" s="43">
        <f>Table13456789101112131415161734[[#This Row],[JPN]]-B54</f>
        <v/>
      </c>
      <c r="D55" s="27" t="n"/>
    </row>
    <row r="56">
      <c r="A56" s="42" t="n">
        <v>22282</v>
      </c>
      <c r="B56" s="43">
        <f>VLOOKUP(A56,'Data yoy'!$B:$AW,MATCH($B$1,'Data yoy'!$B$1:$AW$1,0),FALSE)</f>
        <v/>
      </c>
      <c r="C56" s="43">
        <f>Table13456789101112131415161734[[#This Row],[JPN]]-B55</f>
        <v/>
      </c>
      <c r="D56" s="27" t="n"/>
    </row>
    <row r="57">
      <c r="A57" s="42" t="n">
        <v>22372</v>
      </c>
      <c r="B57" s="43">
        <f>VLOOKUP(A57,'Data yoy'!$B:$AW,MATCH($B$1,'Data yoy'!$B$1:$AW$1,0),FALSE)</f>
        <v/>
      </c>
      <c r="C57" s="43">
        <f>Table13456789101112131415161734[[#This Row],[JPN]]-B56</f>
        <v/>
      </c>
      <c r="D57" s="27" t="n"/>
    </row>
    <row r="58">
      <c r="A58" s="42" t="n">
        <v>22463</v>
      </c>
      <c r="B58" s="43">
        <f>VLOOKUP(A58,'Data yoy'!$B:$AW,MATCH($B$1,'Data yoy'!$B$1:$AW$1,0),FALSE)</f>
        <v/>
      </c>
      <c r="C58" s="43">
        <f>Table13456789101112131415161734[[#This Row],[JPN]]-B57</f>
        <v/>
      </c>
      <c r="D58" s="27" t="n"/>
    </row>
    <row r="59">
      <c r="A59" s="42" t="n">
        <v>22555</v>
      </c>
      <c r="B59" s="43">
        <f>VLOOKUP(A59,'Data yoy'!$B:$AW,MATCH($B$1,'Data yoy'!$B$1:$AW$1,0),FALSE)</f>
        <v/>
      </c>
      <c r="C59" s="43">
        <f>Table13456789101112131415161734[[#This Row],[JPN]]-B58</f>
        <v/>
      </c>
      <c r="D59" s="27" t="n"/>
    </row>
    <row r="60">
      <c r="A60" s="42" t="n">
        <v>22647</v>
      </c>
      <c r="B60" s="43">
        <f>VLOOKUP(A60,'Data yoy'!$B:$AW,MATCH($B$1,'Data yoy'!$B$1:$AW$1,0),FALSE)</f>
        <v/>
      </c>
      <c r="C60" s="43">
        <f>Table13456789101112131415161734[[#This Row],[JPN]]-B59</f>
        <v/>
      </c>
      <c r="D60" s="27" t="n"/>
    </row>
    <row r="61">
      <c r="A61" s="42" t="n">
        <v>22737</v>
      </c>
      <c r="B61" s="43">
        <f>VLOOKUP(A61,'Data yoy'!$B:$AW,MATCH($B$1,'Data yoy'!$B$1:$AW$1,0),FALSE)</f>
        <v/>
      </c>
      <c r="C61" s="43">
        <f>Table13456789101112131415161734[[#This Row],[JPN]]-B60</f>
        <v/>
      </c>
      <c r="D61" s="27" t="n"/>
    </row>
    <row r="62">
      <c r="A62" s="42" t="n">
        <v>22828</v>
      </c>
      <c r="B62" s="43">
        <f>VLOOKUP(A62,'Data yoy'!$B:$AW,MATCH($B$1,'Data yoy'!$B$1:$AW$1,0),FALSE)</f>
        <v/>
      </c>
      <c r="C62" s="43">
        <f>Table13456789101112131415161734[[#This Row],[JPN]]-B61</f>
        <v/>
      </c>
      <c r="D62" s="27" t="n"/>
    </row>
    <row r="63">
      <c r="A63" s="42" t="n">
        <v>22920</v>
      </c>
      <c r="B63" s="43">
        <f>VLOOKUP(A63,'Data yoy'!$B:$AW,MATCH($B$1,'Data yoy'!$B$1:$AW$1,0),FALSE)</f>
        <v/>
      </c>
      <c r="C63" s="43">
        <f>Table13456789101112131415161734[[#This Row],[JPN]]-B62</f>
        <v/>
      </c>
      <c r="D63" s="27" t="n"/>
    </row>
    <row r="64">
      <c r="A64" s="42" t="n">
        <v>23012</v>
      </c>
      <c r="B64" s="43">
        <f>VLOOKUP(A64,'Data yoy'!$B:$AW,MATCH($B$1,'Data yoy'!$B$1:$AW$1,0),FALSE)</f>
        <v/>
      </c>
      <c r="C64" s="43">
        <f>Table13456789101112131415161734[[#This Row],[JPN]]-B63</f>
        <v/>
      </c>
      <c r="D64" s="27" t="n"/>
    </row>
    <row r="65">
      <c r="A65" s="42" t="n">
        <v>23102</v>
      </c>
      <c r="B65" s="43">
        <f>VLOOKUP(A65,'Data yoy'!$B:$AW,MATCH($B$1,'Data yoy'!$B$1:$AW$1,0),FALSE)</f>
        <v/>
      </c>
      <c r="C65" s="43">
        <f>Table13456789101112131415161734[[#This Row],[JPN]]-B64</f>
        <v/>
      </c>
      <c r="D65" s="27" t="n"/>
    </row>
    <row r="66">
      <c r="A66" s="42" t="n">
        <v>23193</v>
      </c>
      <c r="B66" s="43">
        <f>VLOOKUP(A66,'Data yoy'!$B:$AW,MATCH($B$1,'Data yoy'!$B$1:$AW$1,0),FALSE)</f>
        <v/>
      </c>
      <c r="C66" s="43">
        <f>Table13456789101112131415161734[[#This Row],[JPN]]-B65</f>
        <v/>
      </c>
      <c r="D66" s="27" t="n"/>
    </row>
    <row r="67">
      <c r="A67" s="42" t="n">
        <v>23285</v>
      </c>
      <c r="B67" s="43">
        <f>VLOOKUP(A67,'Data yoy'!$B:$AW,MATCH($B$1,'Data yoy'!$B$1:$AW$1,0),FALSE)</f>
        <v/>
      </c>
      <c r="C67" s="43">
        <f>Table13456789101112131415161734[[#This Row],[JPN]]-B66</f>
        <v/>
      </c>
      <c r="D67" s="27" t="n"/>
    </row>
    <row r="68">
      <c r="A68" s="42" t="n">
        <v>23377</v>
      </c>
      <c r="B68" s="43">
        <f>VLOOKUP(A68,'Data yoy'!$B:$AW,MATCH($B$1,'Data yoy'!$B$1:$AW$1,0),FALSE)</f>
        <v/>
      </c>
      <c r="C68" s="43">
        <f>Table13456789101112131415161734[[#This Row],[JPN]]-B67</f>
        <v/>
      </c>
      <c r="D68" s="27" t="n"/>
    </row>
    <row r="69">
      <c r="A69" s="42" t="n">
        <v>23468</v>
      </c>
      <c r="B69" s="43">
        <f>VLOOKUP(A69,'Data yoy'!$B:$AW,MATCH($B$1,'Data yoy'!$B$1:$AW$1,0),FALSE)</f>
        <v/>
      </c>
      <c r="C69" s="43">
        <f>Table13456789101112131415161734[[#This Row],[JPN]]-B68</f>
        <v/>
      </c>
      <c r="D69" s="27" t="n"/>
    </row>
    <row r="70">
      <c r="A70" s="42" t="n">
        <v>23559</v>
      </c>
      <c r="B70" s="43">
        <f>VLOOKUP(A70,'Data yoy'!$B:$AW,MATCH($B$1,'Data yoy'!$B$1:$AW$1,0),FALSE)</f>
        <v/>
      </c>
      <c r="C70" s="43">
        <f>Table13456789101112131415161734[[#This Row],[JPN]]-B69</f>
        <v/>
      </c>
      <c r="D70" s="27" t="n"/>
    </row>
    <row r="71">
      <c r="A71" s="42" t="n">
        <v>23651</v>
      </c>
      <c r="B71" s="43">
        <f>VLOOKUP(A71,'Data yoy'!$B:$AW,MATCH($B$1,'Data yoy'!$B$1:$AW$1,0),FALSE)</f>
        <v/>
      </c>
      <c r="C71" s="43">
        <f>Table13456789101112131415161734[[#This Row],[JPN]]-B70</f>
        <v/>
      </c>
      <c r="D71" s="27" t="n"/>
    </row>
    <row r="72">
      <c r="A72" s="42" t="n">
        <v>23743</v>
      </c>
      <c r="B72" s="43">
        <f>VLOOKUP(A72,'Data yoy'!$B:$AW,MATCH($B$1,'Data yoy'!$B$1:$AW$1,0),FALSE)</f>
        <v/>
      </c>
      <c r="C72" s="43">
        <f>Table13456789101112131415161734[[#This Row],[JPN]]-B71</f>
        <v/>
      </c>
      <c r="D72" s="27" t="n"/>
    </row>
    <row r="73">
      <c r="A73" s="42" t="n">
        <v>23833</v>
      </c>
      <c r="B73" s="43">
        <f>VLOOKUP(A73,'Data yoy'!$B:$AW,MATCH($B$1,'Data yoy'!$B$1:$AW$1,0),FALSE)</f>
        <v/>
      </c>
      <c r="C73" s="43">
        <f>Table13456789101112131415161734[[#This Row],[JPN]]-B72</f>
        <v/>
      </c>
      <c r="D73" s="27" t="n"/>
    </row>
    <row r="74">
      <c r="A74" s="42" t="n">
        <v>23924</v>
      </c>
      <c r="B74" s="43">
        <f>VLOOKUP(A74,'Data yoy'!$B:$AW,MATCH($B$1,'Data yoy'!$B$1:$AW$1,0),FALSE)</f>
        <v/>
      </c>
      <c r="C74" s="43">
        <f>Table13456789101112131415161734[[#This Row],[JPN]]-B73</f>
        <v/>
      </c>
      <c r="D74" s="27" t="n"/>
    </row>
    <row r="75">
      <c r="A75" s="42" t="n">
        <v>24016</v>
      </c>
      <c r="B75" s="43">
        <f>VLOOKUP(A75,'Data yoy'!$B:$AW,MATCH($B$1,'Data yoy'!$B$1:$AW$1,0),FALSE)</f>
        <v/>
      </c>
      <c r="C75" s="43">
        <f>Table13456789101112131415161734[[#This Row],[JPN]]-B74</f>
        <v/>
      </c>
      <c r="D75" s="27" t="n"/>
    </row>
    <row r="76">
      <c r="A76" s="42" t="n">
        <v>24108</v>
      </c>
      <c r="B76" s="43">
        <f>VLOOKUP(A76,'Data yoy'!$B:$AW,MATCH($B$1,'Data yoy'!$B$1:$AW$1,0),FALSE)</f>
        <v/>
      </c>
      <c r="C76" s="43">
        <f>Table13456789101112131415161734[[#This Row],[JPN]]-B75</f>
        <v/>
      </c>
      <c r="D76" s="27" t="n"/>
    </row>
    <row r="77">
      <c r="A77" s="42" t="n">
        <v>24198</v>
      </c>
      <c r="B77" s="43">
        <f>VLOOKUP(A77,'Data yoy'!$B:$AW,MATCH($B$1,'Data yoy'!$B$1:$AW$1,0),FALSE)</f>
        <v/>
      </c>
      <c r="C77" s="43">
        <f>Table13456789101112131415161734[[#This Row],[JPN]]-B76</f>
        <v/>
      </c>
      <c r="D77" s="27" t="n"/>
    </row>
    <row r="78">
      <c r="A78" s="42" t="n">
        <v>24289</v>
      </c>
      <c r="B78" s="43">
        <f>VLOOKUP(A78,'Data yoy'!$B:$AW,MATCH($B$1,'Data yoy'!$B$1:$AW$1,0),FALSE)</f>
        <v/>
      </c>
      <c r="C78" s="43">
        <f>Table13456789101112131415161734[[#This Row],[JPN]]-B77</f>
        <v/>
      </c>
      <c r="D78" s="27" t="n"/>
    </row>
    <row r="79">
      <c r="A79" s="42" t="n">
        <v>24381</v>
      </c>
      <c r="B79" s="43">
        <f>VLOOKUP(A79,'Data yoy'!$B:$AW,MATCH($B$1,'Data yoy'!$B$1:$AW$1,0),FALSE)</f>
        <v/>
      </c>
      <c r="C79" s="43">
        <f>Table13456789101112131415161734[[#This Row],[JPN]]-B78</f>
        <v/>
      </c>
      <c r="D79" s="27" t="n"/>
    </row>
    <row r="80">
      <c r="A80" s="42" t="n">
        <v>24473</v>
      </c>
      <c r="B80" s="43">
        <f>VLOOKUP(A80,'Data yoy'!$B:$AW,MATCH($B$1,'Data yoy'!$B$1:$AW$1,0),FALSE)</f>
        <v/>
      </c>
      <c r="C80" s="43">
        <f>Table13456789101112131415161734[[#This Row],[JPN]]-B79</f>
        <v/>
      </c>
      <c r="D80" s="27" t="n"/>
    </row>
    <row r="81">
      <c r="A81" s="42" t="n">
        <v>24563</v>
      </c>
      <c r="B81" s="43">
        <f>VLOOKUP(A81,'Data yoy'!$B:$AW,MATCH($B$1,'Data yoy'!$B$1:$AW$1,0),FALSE)</f>
        <v/>
      </c>
      <c r="C81" s="43">
        <f>Table13456789101112131415161734[[#This Row],[JPN]]-B80</f>
        <v/>
      </c>
      <c r="D81" s="27" t="n"/>
    </row>
    <row r="82">
      <c r="A82" s="42" t="n">
        <v>24654</v>
      </c>
      <c r="B82" s="43">
        <f>VLOOKUP(A82,'Data yoy'!$B:$AW,MATCH($B$1,'Data yoy'!$B$1:$AW$1,0),FALSE)</f>
        <v/>
      </c>
      <c r="C82" s="43">
        <f>Table13456789101112131415161734[[#This Row],[JPN]]-B81</f>
        <v/>
      </c>
      <c r="D82" s="27" t="n"/>
    </row>
    <row r="83">
      <c r="A83" s="42" t="n">
        <v>24746</v>
      </c>
      <c r="B83" s="43">
        <f>VLOOKUP(A83,'Data yoy'!$B:$AW,MATCH($B$1,'Data yoy'!$B$1:$AW$1,0),FALSE)</f>
        <v/>
      </c>
      <c r="C83" s="43">
        <f>Table13456789101112131415161734[[#This Row],[JPN]]-B82</f>
        <v/>
      </c>
      <c r="D83" s="27" t="n"/>
    </row>
    <row r="84">
      <c r="A84" s="42" t="n">
        <v>24838</v>
      </c>
      <c r="B84" s="43">
        <f>VLOOKUP(A84,'Data yoy'!$B:$AW,MATCH($B$1,'Data yoy'!$B$1:$AW$1,0),FALSE)</f>
        <v/>
      </c>
      <c r="C84" s="43">
        <f>Table13456789101112131415161734[[#This Row],[JPN]]-B83</f>
        <v/>
      </c>
      <c r="D84" s="27" t="n"/>
    </row>
    <row r="85">
      <c r="A85" s="42" t="n">
        <v>24929</v>
      </c>
      <c r="B85" s="43">
        <f>VLOOKUP(A85,'Data yoy'!$B:$AW,MATCH($B$1,'Data yoy'!$B$1:$AW$1,0),FALSE)</f>
        <v/>
      </c>
      <c r="C85" s="43">
        <f>Table13456789101112131415161734[[#This Row],[JPN]]-B84</f>
        <v/>
      </c>
      <c r="D85" s="27" t="n"/>
    </row>
    <row r="86">
      <c r="A86" s="42" t="n">
        <v>25020</v>
      </c>
      <c r="B86" s="43">
        <f>VLOOKUP(A86,'Data yoy'!$B:$AW,MATCH($B$1,'Data yoy'!$B$1:$AW$1,0),FALSE)</f>
        <v/>
      </c>
      <c r="C86" s="43">
        <f>Table13456789101112131415161734[[#This Row],[JPN]]-B85</f>
        <v/>
      </c>
      <c r="D86" s="27" t="n"/>
    </row>
    <row r="87">
      <c r="A87" s="42" t="n">
        <v>25112</v>
      </c>
      <c r="B87" s="43">
        <f>VLOOKUP(A87,'Data yoy'!$B:$AW,MATCH($B$1,'Data yoy'!$B$1:$AW$1,0),FALSE)</f>
        <v/>
      </c>
      <c r="C87" s="43">
        <f>Table13456789101112131415161734[[#This Row],[JPN]]-B86</f>
        <v/>
      </c>
      <c r="D87" s="27" t="n"/>
    </row>
    <row r="88">
      <c r="A88" s="42" t="n">
        <v>25204</v>
      </c>
      <c r="B88" s="43">
        <f>VLOOKUP(A88,'Data yoy'!$B:$AW,MATCH($B$1,'Data yoy'!$B$1:$AW$1,0),FALSE)</f>
        <v/>
      </c>
      <c r="C88" s="43">
        <f>Table13456789101112131415161734[[#This Row],[JPN]]-B87</f>
        <v/>
      </c>
      <c r="D88" s="27" t="n"/>
    </row>
    <row r="89">
      <c r="A89" s="42" t="n">
        <v>25294</v>
      </c>
      <c r="B89" s="43">
        <f>VLOOKUP(A89,'Data yoy'!$B:$AW,MATCH($B$1,'Data yoy'!$B$1:$AW$1,0),FALSE)</f>
        <v/>
      </c>
      <c r="C89" s="43">
        <f>Table13456789101112131415161734[[#This Row],[JPN]]-B88</f>
        <v/>
      </c>
      <c r="D89" s="27" t="n"/>
    </row>
    <row r="90">
      <c r="A90" s="42" t="n">
        <v>25385</v>
      </c>
      <c r="B90" s="43">
        <f>VLOOKUP(A90,'Data yoy'!$B:$AW,MATCH($B$1,'Data yoy'!$B$1:$AW$1,0),FALSE)</f>
        <v/>
      </c>
      <c r="C90" s="43">
        <f>Table13456789101112131415161734[[#This Row],[JPN]]-B89</f>
        <v/>
      </c>
      <c r="D90" s="27" t="n"/>
    </row>
    <row r="91">
      <c r="A91" s="42" t="n">
        <v>25477</v>
      </c>
      <c r="B91" s="43">
        <f>VLOOKUP(A91,'Data yoy'!$B:$AW,MATCH($B$1,'Data yoy'!$B$1:$AW$1,0),FALSE)</f>
        <v/>
      </c>
      <c r="C91" s="43">
        <f>Table13456789101112131415161734[[#This Row],[JPN]]-B90</f>
        <v/>
      </c>
      <c r="D91" s="27" t="n"/>
    </row>
    <row r="92">
      <c r="A92" s="42" t="n">
        <v>25569</v>
      </c>
      <c r="B92" s="43">
        <f>VLOOKUP(A92,'Data yoy'!$B:$AW,MATCH($B$1,'Data yoy'!$B$1:$AW$1,0),FALSE)</f>
        <v/>
      </c>
      <c r="C92" s="43">
        <f>Table13456789101112131415161734[[#This Row],[JPN]]-B91</f>
        <v/>
      </c>
      <c r="D92" s="27" t="n"/>
    </row>
    <row r="93">
      <c r="A93" s="42" t="n">
        <v>25659</v>
      </c>
      <c r="B93" s="43">
        <f>VLOOKUP(A93,'Data yoy'!$B:$AW,MATCH($B$1,'Data yoy'!$B$1:$AW$1,0),FALSE)</f>
        <v/>
      </c>
      <c r="C93" s="43">
        <f>Table13456789101112131415161734[[#This Row],[JPN]]-B92</f>
        <v/>
      </c>
      <c r="D93" s="27" t="n"/>
    </row>
    <row r="94">
      <c r="A94" s="42" t="n">
        <v>25750</v>
      </c>
      <c r="B94" s="43">
        <f>VLOOKUP(A94,'Data yoy'!$B:$AW,MATCH($B$1,'Data yoy'!$B$1:$AW$1,0),FALSE)</f>
        <v/>
      </c>
      <c r="C94" s="43">
        <f>Table13456789101112131415161734[[#This Row],[JPN]]-B93</f>
        <v/>
      </c>
      <c r="D94" s="27" t="n"/>
    </row>
    <row r="95">
      <c r="A95" s="42" t="n">
        <v>25842</v>
      </c>
      <c r="B95" s="43">
        <f>VLOOKUP(A95,'Data yoy'!$B:$AW,MATCH($B$1,'Data yoy'!$B$1:$AW$1,0),FALSE)</f>
        <v/>
      </c>
      <c r="C95" s="43">
        <f>Table13456789101112131415161734[[#This Row],[JPN]]-B94</f>
        <v/>
      </c>
      <c r="D95" s="27" t="n"/>
    </row>
    <row r="96">
      <c r="A96" s="42" t="n">
        <v>25934</v>
      </c>
      <c r="B96" s="43">
        <f>VLOOKUP(A96,'Data yoy'!$B:$AW,MATCH($B$1,'Data yoy'!$B$1:$AW$1,0),FALSE)</f>
        <v/>
      </c>
      <c r="C96" s="43">
        <f>Table13456789101112131415161734[[#This Row],[JPN]]-B95</f>
        <v/>
      </c>
      <c r="D96" s="27" t="n"/>
    </row>
    <row r="97">
      <c r="A97" s="42" t="n">
        <v>26024</v>
      </c>
      <c r="B97" s="43">
        <f>VLOOKUP(A97,'Data yoy'!$B:$AW,MATCH($B$1,'Data yoy'!$B$1:$AW$1,0),FALSE)</f>
        <v/>
      </c>
      <c r="C97" s="43">
        <f>Table13456789101112131415161734[[#This Row],[JPN]]-B96</f>
        <v/>
      </c>
      <c r="D97" s="27" t="n"/>
    </row>
    <row r="98">
      <c r="A98" s="42" t="n">
        <v>26115</v>
      </c>
      <c r="B98" s="43">
        <f>VLOOKUP(A98,'Data yoy'!$B:$AW,MATCH($B$1,'Data yoy'!$B$1:$AW$1,0),FALSE)</f>
        <v/>
      </c>
      <c r="C98" s="43">
        <f>Table13456789101112131415161734[[#This Row],[JPN]]-B97</f>
        <v/>
      </c>
      <c r="D98" s="27" t="n"/>
    </row>
    <row r="99">
      <c r="A99" s="42" t="n">
        <v>26207</v>
      </c>
      <c r="B99" s="43">
        <f>VLOOKUP(A99,'Data yoy'!$B:$AW,MATCH($B$1,'Data yoy'!$B$1:$AW$1,0),FALSE)</f>
        <v/>
      </c>
      <c r="C99" s="43">
        <f>Table13456789101112131415161734[[#This Row],[JPN]]-B98</f>
        <v/>
      </c>
      <c r="D99" s="27" t="n"/>
    </row>
    <row r="100">
      <c r="A100" s="42" t="n">
        <v>26299</v>
      </c>
      <c r="B100" s="43">
        <f>VLOOKUP(A100,'Data yoy'!$B:$AW,MATCH($B$1,'Data yoy'!$B$1:$AW$1,0),FALSE)</f>
        <v/>
      </c>
      <c r="C100" s="43">
        <f>Table13456789101112131415161734[[#This Row],[JPN]]-B99</f>
        <v/>
      </c>
      <c r="D100" s="27" t="n"/>
    </row>
    <row r="101">
      <c r="A101" s="42" t="n">
        <v>26390</v>
      </c>
      <c r="B101" s="43">
        <f>VLOOKUP(A101,'Data yoy'!$B:$AW,MATCH($B$1,'Data yoy'!$B$1:$AW$1,0),FALSE)</f>
        <v/>
      </c>
      <c r="C101" s="43">
        <f>Table13456789101112131415161734[[#This Row],[JPN]]-B100</f>
        <v/>
      </c>
      <c r="D101" s="27" t="n"/>
    </row>
    <row r="102">
      <c r="A102" s="42" t="n">
        <v>26481</v>
      </c>
      <c r="B102" s="43">
        <f>VLOOKUP(A102,'Data yoy'!$B:$AW,MATCH($B$1,'Data yoy'!$B$1:$AW$1,0),FALSE)</f>
        <v/>
      </c>
      <c r="C102" s="43">
        <f>Table13456789101112131415161734[[#This Row],[JPN]]-B101</f>
        <v/>
      </c>
      <c r="D102" s="27" t="n"/>
    </row>
    <row r="103">
      <c r="A103" s="42" t="n">
        <v>26573</v>
      </c>
      <c r="B103" s="43">
        <f>VLOOKUP(A103,'Data yoy'!$B:$AW,MATCH($B$1,'Data yoy'!$B$1:$AW$1,0),FALSE)</f>
        <v/>
      </c>
      <c r="C103" s="43">
        <f>Table13456789101112131415161734[[#This Row],[JPN]]-B102</f>
        <v/>
      </c>
      <c r="D103" s="27" t="n"/>
    </row>
    <row r="104">
      <c r="A104" s="42" t="n">
        <v>26665</v>
      </c>
      <c r="B104" s="43">
        <f>VLOOKUP(A104,'Data yoy'!$B:$AW,MATCH($B$1,'Data yoy'!$B$1:$AW$1,0),FALSE)</f>
        <v/>
      </c>
      <c r="C104" s="43">
        <f>Table13456789101112131415161734[[#This Row],[JPN]]-B103</f>
        <v/>
      </c>
      <c r="D104" s="27" t="n"/>
    </row>
    <row r="105">
      <c r="A105" s="42" t="n">
        <v>26755</v>
      </c>
      <c r="B105" s="43">
        <f>VLOOKUP(A105,'Data yoy'!$B:$AW,MATCH($B$1,'Data yoy'!$B$1:$AW$1,0),FALSE)</f>
        <v/>
      </c>
      <c r="C105" s="43">
        <f>Table13456789101112131415161734[[#This Row],[JPN]]-B104</f>
        <v/>
      </c>
      <c r="D105" s="27" t="n"/>
    </row>
    <row r="106">
      <c r="A106" s="42" t="n">
        <v>26846</v>
      </c>
      <c r="B106" s="43">
        <f>VLOOKUP(A106,'Data yoy'!$B:$AW,MATCH($B$1,'Data yoy'!$B$1:$AW$1,0),FALSE)</f>
        <v/>
      </c>
      <c r="C106" s="43">
        <f>Table13456789101112131415161734[[#This Row],[JPN]]-B105</f>
        <v/>
      </c>
      <c r="D106" s="27" t="n"/>
    </row>
    <row r="107">
      <c r="A107" s="42" t="n">
        <v>26938</v>
      </c>
      <c r="B107" s="43">
        <f>VLOOKUP(A107,'Data yoy'!$B:$AW,MATCH($B$1,'Data yoy'!$B$1:$AW$1,0),FALSE)</f>
        <v/>
      </c>
      <c r="C107" s="43">
        <f>Table13456789101112131415161734[[#This Row],[JPN]]-B106</f>
        <v/>
      </c>
      <c r="D107" s="27" t="n"/>
    </row>
    <row r="108">
      <c r="A108" s="42" t="n">
        <v>27030</v>
      </c>
      <c r="B108" s="43">
        <f>VLOOKUP(A108,'Data yoy'!$B:$AW,MATCH($B$1,'Data yoy'!$B$1:$AW$1,0),FALSE)</f>
        <v/>
      </c>
      <c r="C108" s="43">
        <f>Table13456789101112131415161734[[#This Row],[JPN]]-B107</f>
        <v/>
      </c>
      <c r="D108" s="27" t="n"/>
    </row>
    <row r="109">
      <c r="A109" s="42" t="n">
        <v>27120</v>
      </c>
      <c r="B109" s="43">
        <f>VLOOKUP(A109,'Data yoy'!$B:$AW,MATCH($B$1,'Data yoy'!$B$1:$AW$1,0),FALSE)</f>
        <v/>
      </c>
      <c r="C109" s="43">
        <f>Table13456789101112131415161734[[#This Row],[JPN]]-B108</f>
        <v/>
      </c>
      <c r="D109" s="27" t="n"/>
    </row>
    <row r="110">
      <c r="A110" s="42" t="n">
        <v>27211</v>
      </c>
      <c r="B110" s="43">
        <f>VLOOKUP(A110,'Data yoy'!$B:$AW,MATCH($B$1,'Data yoy'!$B$1:$AW$1,0),FALSE)</f>
        <v/>
      </c>
      <c r="C110" s="43">
        <f>Table13456789101112131415161734[[#This Row],[JPN]]-B109</f>
        <v/>
      </c>
      <c r="D110" s="27" t="n"/>
    </row>
    <row r="111">
      <c r="A111" s="42" t="n">
        <v>27303</v>
      </c>
      <c r="B111" s="43">
        <f>VLOOKUP(A111,'Data yoy'!$B:$AW,MATCH($B$1,'Data yoy'!$B$1:$AW$1,0),FALSE)</f>
        <v/>
      </c>
      <c r="C111" s="43">
        <f>Table13456789101112131415161734[[#This Row],[JPN]]-B110</f>
        <v/>
      </c>
      <c r="D111" s="27" t="n"/>
    </row>
    <row r="112">
      <c r="A112" s="42" t="n">
        <v>27395</v>
      </c>
      <c r="B112" s="43">
        <f>VLOOKUP(A112,'Data yoy'!$B:$AW,MATCH($B$1,'Data yoy'!$B$1:$AW$1,0),FALSE)</f>
        <v/>
      </c>
      <c r="C112" s="43">
        <f>Table13456789101112131415161734[[#This Row],[JPN]]-B111</f>
        <v/>
      </c>
      <c r="D112" s="27" t="n"/>
    </row>
    <row r="113">
      <c r="A113" s="42" t="n">
        <v>27485</v>
      </c>
      <c r="B113" s="43">
        <f>VLOOKUP(A113,'Data yoy'!$B:$AW,MATCH($B$1,'Data yoy'!$B$1:$AW$1,0),FALSE)</f>
        <v/>
      </c>
      <c r="C113" s="43">
        <f>Table13456789101112131415161734[[#This Row],[JPN]]-B112</f>
        <v/>
      </c>
      <c r="D113" s="27" t="n"/>
    </row>
    <row r="114">
      <c r="A114" s="42" t="n">
        <v>27576</v>
      </c>
      <c r="B114" s="43">
        <f>VLOOKUP(A114,'Data yoy'!$B:$AW,MATCH($B$1,'Data yoy'!$B$1:$AW$1,0),FALSE)</f>
        <v/>
      </c>
      <c r="C114" s="43">
        <f>Table13456789101112131415161734[[#This Row],[JPN]]-B113</f>
        <v/>
      </c>
      <c r="D114" s="27" t="n"/>
    </row>
    <row r="115">
      <c r="A115" s="42" t="n">
        <v>27668</v>
      </c>
      <c r="B115" s="43">
        <f>VLOOKUP(A115,'Data yoy'!$B:$AW,MATCH($B$1,'Data yoy'!$B$1:$AW$1,0),FALSE)</f>
        <v/>
      </c>
      <c r="C115" s="43">
        <f>Table13456789101112131415161734[[#This Row],[JPN]]-B114</f>
        <v/>
      </c>
      <c r="D115" s="27" t="n"/>
    </row>
    <row r="116">
      <c r="A116" s="42" t="n">
        <v>27760</v>
      </c>
      <c r="B116" s="43">
        <f>VLOOKUP(A116,'Data yoy'!$B:$AW,MATCH($B$1,'Data yoy'!$B$1:$AW$1,0),FALSE)</f>
        <v/>
      </c>
      <c r="C116" s="43">
        <f>Table13456789101112131415161734[[#This Row],[JPN]]-B115</f>
        <v/>
      </c>
      <c r="D116" s="27" t="n"/>
    </row>
    <row r="117">
      <c r="A117" s="42" t="n">
        <v>27851</v>
      </c>
      <c r="B117" s="43">
        <f>VLOOKUP(A117,'Data yoy'!$B:$AW,MATCH($B$1,'Data yoy'!$B$1:$AW$1,0),FALSE)</f>
        <v/>
      </c>
      <c r="C117" s="43">
        <f>Table13456789101112131415161734[[#This Row],[JPN]]-B116</f>
        <v/>
      </c>
      <c r="D117" s="27" t="n"/>
    </row>
    <row r="118">
      <c r="A118" s="42" t="n">
        <v>27942</v>
      </c>
      <c r="B118" s="43">
        <f>VLOOKUP(A118,'Data yoy'!$B:$AW,MATCH($B$1,'Data yoy'!$B$1:$AW$1,0),FALSE)</f>
        <v/>
      </c>
      <c r="C118" s="43">
        <f>Table13456789101112131415161734[[#This Row],[JPN]]-B117</f>
        <v/>
      </c>
      <c r="D118" s="27" t="n"/>
    </row>
    <row r="119">
      <c r="A119" s="42" t="n">
        <v>28034</v>
      </c>
      <c r="B119" s="43">
        <f>VLOOKUP(A119,'Data yoy'!$B:$AW,MATCH($B$1,'Data yoy'!$B$1:$AW$1,0),FALSE)</f>
        <v/>
      </c>
      <c r="C119" s="43">
        <f>Table13456789101112131415161734[[#This Row],[JPN]]-B118</f>
        <v/>
      </c>
      <c r="D119" s="27" t="n"/>
    </row>
    <row r="120">
      <c r="A120" s="42" t="n">
        <v>28126</v>
      </c>
      <c r="B120" s="43">
        <f>VLOOKUP(A120,'Data yoy'!$B:$AW,MATCH($B$1,'Data yoy'!$B$1:$AW$1,0),FALSE)</f>
        <v/>
      </c>
      <c r="C120" s="43">
        <f>Table13456789101112131415161734[[#This Row],[JPN]]-B119</f>
        <v/>
      </c>
      <c r="D120" s="27" t="n"/>
    </row>
    <row r="121">
      <c r="A121" s="42" t="n">
        <v>28216</v>
      </c>
      <c r="B121" s="43">
        <f>VLOOKUP(A121,'Data yoy'!$B:$AW,MATCH($B$1,'Data yoy'!$B$1:$AW$1,0),FALSE)</f>
        <v/>
      </c>
      <c r="C121" s="43">
        <f>Table13456789101112131415161734[[#This Row],[JPN]]-B120</f>
        <v/>
      </c>
      <c r="D121" s="27" t="n"/>
    </row>
    <row r="122">
      <c r="A122" s="42" t="n">
        <v>28307</v>
      </c>
      <c r="B122" s="43">
        <f>VLOOKUP(A122,'Data yoy'!$B:$AW,MATCH($B$1,'Data yoy'!$B$1:$AW$1,0),FALSE)</f>
        <v/>
      </c>
      <c r="C122" s="43">
        <f>Table13456789101112131415161734[[#This Row],[JPN]]-B121</f>
        <v/>
      </c>
      <c r="D122" s="27" t="n"/>
    </row>
    <row r="123">
      <c r="A123" s="42" t="n">
        <v>28399</v>
      </c>
      <c r="B123" s="43">
        <f>VLOOKUP(A123,'Data yoy'!$B:$AW,MATCH($B$1,'Data yoy'!$B$1:$AW$1,0),FALSE)</f>
        <v/>
      </c>
      <c r="C123" s="43">
        <f>Table13456789101112131415161734[[#This Row],[JPN]]-B122</f>
        <v/>
      </c>
      <c r="D123" s="27" t="n"/>
    </row>
    <row r="124">
      <c r="A124" s="42" t="n">
        <v>28491</v>
      </c>
      <c r="B124" s="43">
        <f>VLOOKUP(A124,'Data yoy'!$B:$AW,MATCH($B$1,'Data yoy'!$B$1:$AW$1,0),FALSE)</f>
        <v/>
      </c>
      <c r="C124" s="43">
        <f>Table13456789101112131415161734[[#This Row],[JPN]]-B123</f>
        <v/>
      </c>
      <c r="D124" s="27" t="n"/>
    </row>
    <row r="125">
      <c r="A125" s="42" t="n">
        <v>28581</v>
      </c>
      <c r="B125" s="43">
        <f>VLOOKUP(A125,'Data yoy'!$B:$AW,MATCH($B$1,'Data yoy'!$B$1:$AW$1,0),FALSE)</f>
        <v/>
      </c>
      <c r="C125" s="43">
        <f>Table13456789101112131415161734[[#This Row],[JPN]]-B124</f>
        <v/>
      </c>
      <c r="D125" s="27" t="n"/>
    </row>
    <row r="126">
      <c r="A126" s="42" t="n">
        <v>28672</v>
      </c>
      <c r="B126" s="43">
        <f>VLOOKUP(A126,'Data yoy'!$B:$AW,MATCH($B$1,'Data yoy'!$B$1:$AW$1,0),FALSE)</f>
        <v/>
      </c>
      <c r="C126" s="43">
        <f>Table13456789101112131415161734[[#This Row],[JPN]]-B125</f>
        <v/>
      </c>
      <c r="D126" s="27" t="n"/>
    </row>
    <row r="127">
      <c r="A127" s="42" t="n">
        <v>28764</v>
      </c>
      <c r="B127" s="43">
        <f>VLOOKUP(A127,'Data yoy'!$B:$AW,MATCH($B$1,'Data yoy'!$B$1:$AW$1,0),FALSE)</f>
        <v/>
      </c>
      <c r="C127" s="43">
        <f>Table13456789101112131415161734[[#This Row],[JPN]]-B126</f>
        <v/>
      </c>
      <c r="D127" s="27" t="n"/>
    </row>
    <row r="128">
      <c r="A128" s="42" t="n">
        <v>28856</v>
      </c>
      <c r="B128" s="43">
        <f>VLOOKUP(A128,'Data yoy'!$B:$AW,MATCH($B$1,'Data yoy'!$B$1:$AW$1,0),FALSE)</f>
        <v/>
      </c>
      <c r="C128" s="43">
        <f>Table13456789101112131415161734[[#This Row],[JPN]]-B127</f>
        <v/>
      </c>
      <c r="D128" s="27" t="n"/>
    </row>
    <row r="129">
      <c r="A129" s="42" t="n">
        <v>28946</v>
      </c>
      <c r="B129" s="43">
        <f>VLOOKUP(A129,'Data yoy'!$B:$AW,MATCH($B$1,'Data yoy'!$B$1:$AW$1,0),FALSE)</f>
        <v/>
      </c>
      <c r="C129" s="43">
        <f>Table13456789101112131415161734[[#This Row],[JPN]]-B128</f>
        <v/>
      </c>
      <c r="D129" s="27" t="n"/>
    </row>
    <row r="130">
      <c r="A130" s="42" t="n">
        <v>29037</v>
      </c>
      <c r="B130" s="43">
        <f>VLOOKUP(A130,'Data yoy'!$B:$AW,MATCH($B$1,'Data yoy'!$B$1:$AW$1,0),FALSE)</f>
        <v/>
      </c>
      <c r="C130" s="43">
        <f>Table13456789101112131415161734[[#This Row],[JPN]]-B129</f>
        <v/>
      </c>
      <c r="D130" s="27" t="n"/>
    </row>
    <row r="131">
      <c r="A131" s="42" t="n">
        <v>29129</v>
      </c>
      <c r="B131" s="43">
        <f>VLOOKUP(A131,'Data yoy'!$B:$AW,MATCH($B$1,'Data yoy'!$B$1:$AW$1,0),FALSE)</f>
        <v/>
      </c>
      <c r="C131" s="43">
        <f>Table13456789101112131415161734[[#This Row],[JPN]]-B130</f>
        <v/>
      </c>
      <c r="D131" s="27" t="n"/>
    </row>
    <row r="132">
      <c r="A132" s="42" t="n">
        <v>29221</v>
      </c>
      <c r="B132" s="43">
        <f>VLOOKUP(A132,'Data yoy'!$B:$AW,MATCH($B$1,'Data yoy'!$B$1:$AW$1,0),FALSE)</f>
        <v/>
      </c>
      <c r="C132" s="43">
        <f>Table13456789101112131415161734[[#This Row],[JPN]]-B131</f>
        <v/>
      </c>
      <c r="D132" s="27" t="n"/>
    </row>
    <row r="133">
      <c r="A133" s="42" t="n">
        <v>29312</v>
      </c>
      <c r="B133" s="43">
        <f>VLOOKUP(A133,'Data yoy'!$B:$AW,MATCH($B$1,'Data yoy'!$B$1:$AW$1,0),FALSE)</f>
        <v/>
      </c>
      <c r="C133" s="43">
        <f>Table13456789101112131415161734[[#This Row],[JPN]]-B132</f>
        <v/>
      </c>
      <c r="D133" s="27" t="n"/>
    </row>
    <row r="134">
      <c r="A134" s="42" t="n">
        <v>29403</v>
      </c>
      <c r="B134" s="43">
        <f>VLOOKUP(A134,'Data yoy'!$B:$AW,MATCH($B$1,'Data yoy'!$B$1:$AW$1,0),FALSE)</f>
        <v/>
      </c>
      <c r="C134" s="43">
        <f>Table13456789101112131415161734[[#This Row],[JPN]]-B133</f>
        <v/>
      </c>
      <c r="D134" s="27" t="n"/>
    </row>
    <row r="135">
      <c r="A135" s="42" t="n">
        <v>29495</v>
      </c>
      <c r="B135" s="43">
        <f>VLOOKUP(A135,'Data yoy'!$B:$AW,MATCH($B$1,'Data yoy'!$B$1:$AW$1,0),FALSE)</f>
        <v/>
      </c>
      <c r="C135" s="43">
        <f>Table13456789101112131415161734[[#This Row],[JPN]]-B134</f>
        <v/>
      </c>
      <c r="D135" s="27" t="n"/>
    </row>
    <row r="136">
      <c r="A136" s="42" t="n">
        <v>29587</v>
      </c>
      <c r="B136" s="43">
        <f>VLOOKUP(A136,'Data yoy'!$B:$AW,MATCH($B$1,'Data yoy'!$B$1:$AW$1,0),FALSE)</f>
        <v/>
      </c>
      <c r="C136" s="43">
        <f>Table13456789101112131415161734[[#This Row],[JPN]]-B135</f>
        <v/>
      </c>
      <c r="D136" s="27" t="n"/>
    </row>
    <row r="137">
      <c r="A137" s="42" t="n">
        <v>29677</v>
      </c>
      <c r="B137" s="43">
        <f>VLOOKUP(A137,'Data yoy'!$B:$AW,MATCH($B$1,'Data yoy'!$B$1:$AW$1,0),FALSE)</f>
        <v/>
      </c>
      <c r="C137" s="43">
        <f>Table13456789101112131415161734[[#This Row],[JPN]]-B136</f>
        <v/>
      </c>
      <c r="D137" s="27" t="n"/>
    </row>
    <row r="138">
      <c r="A138" s="42" t="n">
        <v>29768</v>
      </c>
      <c r="B138" s="43">
        <f>VLOOKUP(A138,'Data yoy'!$B:$AW,MATCH($B$1,'Data yoy'!$B$1:$AW$1,0),FALSE)</f>
        <v/>
      </c>
      <c r="C138" s="43">
        <f>Table13456789101112131415161734[[#This Row],[JPN]]-B137</f>
        <v/>
      </c>
      <c r="D138" s="27" t="n"/>
    </row>
    <row r="139">
      <c r="A139" s="42" t="n">
        <v>29860</v>
      </c>
      <c r="B139" s="43">
        <f>VLOOKUP(A139,'Data yoy'!$B:$AW,MATCH($B$1,'Data yoy'!$B$1:$AW$1,0),FALSE)</f>
        <v/>
      </c>
      <c r="C139" s="43">
        <f>Table13456789101112131415161734[[#This Row],[JPN]]-B138</f>
        <v/>
      </c>
      <c r="D139" s="27" t="n"/>
    </row>
    <row r="140">
      <c r="A140" s="42" t="n">
        <v>29952</v>
      </c>
      <c r="B140" s="43">
        <f>VLOOKUP(A140,'Data yoy'!$B:$AW,MATCH($B$1,'Data yoy'!$B$1:$AW$1,0),FALSE)</f>
        <v/>
      </c>
      <c r="C140" s="43">
        <f>Table13456789101112131415161734[[#This Row],[JPN]]-B139</f>
        <v/>
      </c>
      <c r="D140" s="27" t="n"/>
    </row>
    <row r="141">
      <c r="A141" s="42" t="n">
        <v>30042</v>
      </c>
      <c r="B141" s="43">
        <f>VLOOKUP(A141,'Data yoy'!$B:$AW,MATCH($B$1,'Data yoy'!$B$1:$AW$1,0),FALSE)</f>
        <v/>
      </c>
      <c r="C141" s="43">
        <f>Table13456789101112131415161734[[#This Row],[JPN]]-B140</f>
        <v/>
      </c>
      <c r="D141" s="27" t="n"/>
    </row>
    <row r="142">
      <c r="A142" s="42" t="n">
        <v>30133</v>
      </c>
      <c r="B142" s="43">
        <f>VLOOKUP(A142,'Data yoy'!$B:$AW,MATCH($B$1,'Data yoy'!$B$1:$AW$1,0),FALSE)</f>
        <v/>
      </c>
      <c r="C142" s="43">
        <f>Table13456789101112131415161734[[#This Row],[JPN]]-B141</f>
        <v/>
      </c>
      <c r="D142" s="27" t="n"/>
    </row>
    <row r="143">
      <c r="A143" s="42" t="n">
        <v>30225</v>
      </c>
      <c r="B143" s="43">
        <f>VLOOKUP(A143,'Data yoy'!$B:$AW,MATCH($B$1,'Data yoy'!$B$1:$AW$1,0),FALSE)</f>
        <v/>
      </c>
      <c r="C143" s="43">
        <f>Table13456789101112131415161734[[#This Row],[JPN]]-B142</f>
        <v/>
      </c>
      <c r="D143" s="27" t="n"/>
    </row>
    <row r="144">
      <c r="A144" s="42" t="n">
        <v>30317</v>
      </c>
      <c r="B144" s="43">
        <f>VLOOKUP(A144,'Data yoy'!$B:$AW,MATCH($B$1,'Data yoy'!$B$1:$AW$1,0),FALSE)</f>
        <v/>
      </c>
      <c r="C144" s="43">
        <f>Table13456789101112131415161734[[#This Row],[JPN]]-B143</f>
        <v/>
      </c>
      <c r="D144" s="27" t="n"/>
    </row>
    <row r="145">
      <c r="A145" s="42" t="n">
        <v>30407</v>
      </c>
      <c r="B145" s="43">
        <f>VLOOKUP(A145,'Data yoy'!$B:$AW,MATCH($B$1,'Data yoy'!$B$1:$AW$1,0),FALSE)</f>
        <v/>
      </c>
      <c r="C145" s="43">
        <f>Table13456789101112131415161734[[#This Row],[JPN]]-B144</f>
        <v/>
      </c>
      <c r="D145" s="27" t="n"/>
    </row>
    <row r="146">
      <c r="A146" s="42" t="n">
        <v>30498</v>
      </c>
      <c r="B146" s="43">
        <f>VLOOKUP(A146,'Data yoy'!$B:$AW,MATCH($B$1,'Data yoy'!$B$1:$AW$1,0),FALSE)</f>
        <v/>
      </c>
      <c r="C146" s="43">
        <f>Table13456789101112131415161734[[#This Row],[JPN]]-B145</f>
        <v/>
      </c>
      <c r="D146" s="27" t="n"/>
    </row>
    <row r="147">
      <c r="A147" s="42" t="n">
        <v>30590</v>
      </c>
      <c r="B147" s="43">
        <f>VLOOKUP(A147,'Data yoy'!$B:$AW,MATCH($B$1,'Data yoy'!$B$1:$AW$1,0),FALSE)</f>
        <v/>
      </c>
      <c r="C147" s="43">
        <f>Table13456789101112131415161734[[#This Row],[JPN]]-B146</f>
        <v/>
      </c>
      <c r="D147" s="27" t="n"/>
    </row>
    <row r="148">
      <c r="A148" s="42" t="n">
        <v>30682</v>
      </c>
      <c r="B148" s="43">
        <f>VLOOKUP(A148,'Data yoy'!$B:$AW,MATCH($B$1,'Data yoy'!$B$1:$AW$1,0),FALSE)</f>
        <v/>
      </c>
      <c r="C148" s="43">
        <f>Table13456789101112131415161734[[#This Row],[JPN]]-B147</f>
        <v/>
      </c>
      <c r="D148" s="27" t="n"/>
    </row>
    <row r="149">
      <c r="A149" s="42" t="n">
        <v>30773</v>
      </c>
      <c r="B149" s="43">
        <f>VLOOKUP(A149,'Data yoy'!$B:$AW,MATCH($B$1,'Data yoy'!$B$1:$AW$1,0),FALSE)</f>
        <v/>
      </c>
      <c r="C149" s="43">
        <f>Table13456789101112131415161734[[#This Row],[JPN]]-B148</f>
        <v/>
      </c>
      <c r="D149" s="27" t="n"/>
    </row>
    <row r="150">
      <c r="A150" s="42" t="n">
        <v>30864</v>
      </c>
      <c r="B150" s="43">
        <f>VLOOKUP(A150,'Data yoy'!$B:$AW,MATCH($B$1,'Data yoy'!$B$1:$AW$1,0),FALSE)</f>
        <v/>
      </c>
      <c r="C150" s="43">
        <f>Table13456789101112131415161734[[#This Row],[JPN]]-B149</f>
        <v/>
      </c>
      <c r="D150" s="27" t="n"/>
    </row>
    <row r="151">
      <c r="A151" s="42" t="n">
        <v>30956</v>
      </c>
      <c r="B151" s="43">
        <f>VLOOKUP(A151,'Data yoy'!$B:$AW,MATCH($B$1,'Data yoy'!$B$1:$AW$1,0),FALSE)</f>
        <v/>
      </c>
      <c r="C151" s="43">
        <f>Table13456789101112131415161734[[#This Row],[JPN]]-B150</f>
        <v/>
      </c>
      <c r="D151" s="27" t="n"/>
    </row>
    <row r="152">
      <c r="A152" s="42" t="n">
        <v>31048</v>
      </c>
      <c r="B152" s="43">
        <f>VLOOKUP(A152,'Data yoy'!$B:$AW,MATCH($B$1,'Data yoy'!$B$1:$AW$1,0),FALSE)</f>
        <v/>
      </c>
      <c r="C152" s="43">
        <f>Table13456789101112131415161734[[#This Row],[JPN]]-B151</f>
        <v/>
      </c>
      <c r="D152" s="27" t="n"/>
    </row>
    <row r="153">
      <c r="A153" s="42" t="n">
        <v>31138</v>
      </c>
      <c r="B153" s="43">
        <f>VLOOKUP(A153,'Data yoy'!$B:$AW,MATCH($B$1,'Data yoy'!$B$1:$AW$1,0),FALSE)</f>
        <v/>
      </c>
      <c r="C153" s="43">
        <f>Table13456789101112131415161734[[#This Row],[JPN]]-B152</f>
        <v/>
      </c>
      <c r="D153" s="27" t="n"/>
    </row>
    <row r="154">
      <c r="A154" s="42" t="n">
        <v>31229</v>
      </c>
      <c r="B154" s="43">
        <f>VLOOKUP(A154,'Data yoy'!$B:$AW,MATCH($B$1,'Data yoy'!$B$1:$AW$1,0),FALSE)</f>
        <v/>
      </c>
      <c r="C154" s="43">
        <f>Table13456789101112131415161734[[#This Row],[JPN]]-B153</f>
        <v/>
      </c>
      <c r="D154" s="27" t="n"/>
    </row>
    <row r="155">
      <c r="A155" s="42" t="n">
        <v>31321</v>
      </c>
      <c r="B155" s="43">
        <f>VLOOKUP(A155,'Data yoy'!$B:$AW,MATCH($B$1,'Data yoy'!$B$1:$AW$1,0),FALSE)</f>
        <v/>
      </c>
      <c r="C155" s="43">
        <f>Table13456789101112131415161734[[#This Row],[JPN]]-B154</f>
        <v/>
      </c>
      <c r="D155" s="27" t="n"/>
    </row>
    <row r="156">
      <c r="A156" s="42" t="n">
        <v>31413</v>
      </c>
      <c r="B156" s="43">
        <f>VLOOKUP(A156,'Data yoy'!$B:$AW,MATCH($B$1,'Data yoy'!$B$1:$AW$1,0),FALSE)</f>
        <v/>
      </c>
      <c r="C156" s="43">
        <f>Table13456789101112131415161734[[#This Row],[JPN]]-B155</f>
        <v/>
      </c>
      <c r="D156" s="27" t="n"/>
    </row>
    <row r="157">
      <c r="A157" s="42" t="n">
        <v>31503</v>
      </c>
      <c r="B157" s="43">
        <f>VLOOKUP(A157,'Data yoy'!$B:$AW,MATCH($B$1,'Data yoy'!$B$1:$AW$1,0),FALSE)</f>
        <v/>
      </c>
      <c r="C157" s="43">
        <f>Table13456789101112131415161734[[#This Row],[JPN]]-B156</f>
        <v/>
      </c>
      <c r="D157" s="27" t="n"/>
    </row>
    <row r="158">
      <c r="A158" s="42" t="n">
        <v>31594</v>
      </c>
      <c r="B158" s="43">
        <f>VLOOKUP(A158,'Data yoy'!$B:$AW,MATCH($B$1,'Data yoy'!$B$1:$AW$1,0),FALSE)</f>
        <v/>
      </c>
      <c r="C158" s="43">
        <f>Table13456789101112131415161734[[#This Row],[JPN]]-B157</f>
        <v/>
      </c>
      <c r="D158" s="27" t="n"/>
    </row>
    <row r="159">
      <c r="A159" s="42" t="n">
        <v>31686</v>
      </c>
      <c r="B159" s="43">
        <f>VLOOKUP(A159,'Data yoy'!$B:$AW,MATCH($B$1,'Data yoy'!$B$1:$AW$1,0),FALSE)</f>
        <v/>
      </c>
      <c r="C159" s="43">
        <f>Table13456789101112131415161734[[#This Row],[JPN]]-B158</f>
        <v/>
      </c>
      <c r="D159" s="27" t="n"/>
    </row>
    <row r="160">
      <c r="A160" s="42" t="n">
        <v>31778</v>
      </c>
      <c r="B160" s="43">
        <f>VLOOKUP(A160,'Data yoy'!$B:$AW,MATCH($B$1,'Data yoy'!$B$1:$AW$1,0),FALSE)</f>
        <v/>
      </c>
      <c r="C160" s="43">
        <f>Table13456789101112131415161734[[#This Row],[JPN]]-B159</f>
        <v/>
      </c>
      <c r="D160" s="27" t="n"/>
    </row>
    <row r="161">
      <c r="A161" s="42" t="n">
        <v>31868</v>
      </c>
      <c r="B161" s="43">
        <f>VLOOKUP(A161,'Data yoy'!$B:$AW,MATCH($B$1,'Data yoy'!$B$1:$AW$1,0),FALSE)</f>
        <v/>
      </c>
      <c r="C161" s="43">
        <f>Table13456789101112131415161734[[#This Row],[JPN]]-B160</f>
        <v/>
      </c>
      <c r="D161" s="27" t="n"/>
    </row>
    <row r="162">
      <c r="A162" s="42" t="n">
        <v>31959</v>
      </c>
      <c r="B162" s="43">
        <f>VLOOKUP(A162,'Data yoy'!$B:$AW,MATCH($B$1,'Data yoy'!$B$1:$AW$1,0),FALSE)</f>
        <v/>
      </c>
      <c r="C162" s="43">
        <f>Table13456789101112131415161734[[#This Row],[JPN]]-B161</f>
        <v/>
      </c>
      <c r="D162" s="27" t="n"/>
    </row>
    <row r="163">
      <c r="A163" s="42" t="n">
        <v>32051</v>
      </c>
      <c r="B163" s="43">
        <f>VLOOKUP(A163,'Data yoy'!$B:$AW,MATCH($B$1,'Data yoy'!$B$1:$AW$1,0),FALSE)</f>
        <v/>
      </c>
      <c r="C163" s="43">
        <f>Table13456789101112131415161734[[#This Row],[JPN]]-B162</f>
        <v/>
      </c>
      <c r="D163" s="27" t="n"/>
    </row>
    <row r="164">
      <c r="A164" s="42" t="n">
        <v>32143</v>
      </c>
      <c r="B164" s="43">
        <f>VLOOKUP(A164,'Data yoy'!$B:$AW,MATCH($B$1,'Data yoy'!$B$1:$AW$1,0),FALSE)</f>
        <v/>
      </c>
      <c r="C164" s="43">
        <f>Table13456789101112131415161734[[#This Row],[JPN]]-B163</f>
        <v/>
      </c>
      <c r="D164" s="27" t="n"/>
    </row>
    <row r="165">
      <c r="A165" s="42" t="n">
        <v>32234</v>
      </c>
      <c r="B165" s="43">
        <f>VLOOKUP(A165,'Data yoy'!$B:$AW,MATCH($B$1,'Data yoy'!$B$1:$AW$1,0),FALSE)</f>
        <v/>
      </c>
      <c r="C165" s="43">
        <f>Table13456789101112131415161734[[#This Row],[JPN]]-B164</f>
        <v/>
      </c>
      <c r="D165" s="27" t="n"/>
    </row>
    <row r="166">
      <c r="A166" s="42" t="n">
        <v>32325</v>
      </c>
      <c r="B166" s="43">
        <f>VLOOKUP(A166,'Data yoy'!$B:$AW,MATCH($B$1,'Data yoy'!$B$1:$AW$1,0),FALSE)</f>
        <v/>
      </c>
      <c r="C166" s="43">
        <f>Table13456789101112131415161734[[#This Row],[JPN]]-B165</f>
        <v/>
      </c>
      <c r="D166" s="27" t="n"/>
    </row>
    <row r="167">
      <c r="A167" s="42" t="n">
        <v>32417</v>
      </c>
      <c r="B167" s="43">
        <f>VLOOKUP(A167,'Data yoy'!$B:$AW,MATCH($B$1,'Data yoy'!$B$1:$AW$1,0),FALSE)</f>
        <v/>
      </c>
      <c r="C167" s="43">
        <f>Table13456789101112131415161734[[#This Row],[JPN]]-B166</f>
        <v/>
      </c>
      <c r="D167" s="27" t="n"/>
    </row>
    <row r="168">
      <c r="A168" s="42" t="n">
        <v>32509</v>
      </c>
      <c r="B168" s="43">
        <f>VLOOKUP(A168,'Data yoy'!$B:$AW,MATCH($B$1,'Data yoy'!$B$1:$AW$1,0),FALSE)</f>
        <v/>
      </c>
      <c r="C168" s="43">
        <f>Table13456789101112131415161734[[#This Row],[JPN]]-B167</f>
        <v/>
      </c>
      <c r="D168" s="27" t="n"/>
    </row>
    <row r="169">
      <c r="A169" s="42" t="n">
        <v>32599</v>
      </c>
      <c r="B169" s="43">
        <f>VLOOKUP(A169,'Data yoy'!$B:$AW,MATCH($B$1,'Data yoy'!$B$1:$AW$1,0),FALSE)</f>
        <v/>
      </c>
      <c r="C169" s="43">
        <f>Table13456789101112131415161734[[#This Row],[JPN]]-B168</f>
        <v/>
      </c>
      <c r="D169" s="27" t="n"/>
    </row>
    <row r="170">
      <c r="A170" s="42" t="n">
        <v>32690</v>
      </c>
      <c r="B170" s="43">
        <f>VLOOKUP(A170,'Data yoy'!$B:$AW,MATCH($B$1,'Data yoy'!$B$1:$AW$1,0),FALSE)</f>
        <v/>
      </c>
      <c r="C170" s="43">
        <f>Table13456789101112131415161734[[#This Row],[JPN]]-B169</f>
        <v/>
      </c>
      <c r="D170" s="27" t="n"/>
    </row>
    <row r="171">
      <c r="A171" s="42" t="n">
        <v>32782</v>
      </c>
      <c r="B171" s="43">
        <f>VLOOKUP(A171,'Data yoy'!$B:$AW,MATCH($B$1,'Data yoy'!$B$1:$AW$1,0),FALSE)</f>
        <v/>
      </c>
      <c r="C171" s="43">
        <f>Table13456789101112131415161734[[#This Row],[JPN]]-B170</f>
        <v/>
      </c>
      <c r="D171" s="27" t="n"/>
    </row>
    <row r="172">
      <c r="A172" s="42" t="n">
        <v>32874</v>
      </c>
      <c r="B172" s="43">
        <f>VLOOKUP(A172,'Data yoy'!$B:$AW,MATCH($B$1,'Data yoy'!$B$1:$AW$1,0),FALSE)</f>
        <v/>
      </c>
      <c r="C172" s="43">
        <f>Table13456789101112131415161734[[#This Row],[JPN]]-B171</f>
        <v/>
      </c>
      <c r="D172" s="27" t="n"/>
    </row>
    <row r="173">
      <c r="A173" s="42" t="n">
        <v>32964</v>
      </c>
      <c r="B173" s="43">
        <f>VLOOKUP(A173,'Data yoy'!$B:$AW,MATCH($B$1,'Data yoy'!$B$1:$AW$1,0),FALSE)</f>
        <v/>
      </c>
      <c r="C173" s="43">
        <f>Table13456789101112131415161734[[#This Row],[JPN]]-B172</f>
        <v/>
      </c>
      <c r="D173" s="27" t="n"/>
    </row>
    <row r="174">
      <c r="A174" s="42" t="n">
        <v>33055</v>
      </c>
      <c r="B174" s="43">
        <f>VLOOKUP(A174,'Data yoy'!$B:$AW,MATCH($B$1,'Data yoy'!$B$1:$AW$1,0),FALSE)</f>
        <v/>
      </c>
      <c r="C174" s="43">
        <f>Table13456789101112131415161734[[#This Row],[JPN]]-B173</f>
        <v/>
      </c>
      <c r="D174" s="27" t="n"/>
    </row>
    <row r="175">
      <c r="A175" s="42" t="n">
        <v>33147</v>
      </c>
      <c r="B175" s="43">
        <f>VLOOKUP(A175,'Data yoy'!$B:$AW,MATCH($B$1,'Data yoy'!$B$1:$AW$1,0),FALSE)</f>
        <v/>
      </c>
      <c r="C175" s="43">
        <f>Table13456789101112131415161734[[#This Row],[JPN]]-B174</f>
        <v/>
      </c>
      <c r="D175" s="27" t="n"/>
    </row>
    <row r="176">
      <c r="A176" s="42" t="n">
        <v>33239</v>
      </c>
      <c r="B176" s="43">
        <f>VLOOKUP(A176,'Data yoy'!$B:$AW,MATCH($B$1,'Data yoy'!$B$1:$AW$1,0),FALSE)</f>
        <v/>
      </c>
      <c r="C176" s="43">
        <f>Table13456789101112131415161734[[#This Row],[JPN]]-B175</f>
        <v/>
      </c>
      <c r="D176" s="27" t="n"/>
    </row>
    <row r="177">
      <c r="A177" s="42" t="n">
        <v>33329</v>
      </c>
      <c r="B177" s="43">
        <f>VLOOKUP(A177,'Data yoy'!$B:$AW,MATCH($B$1,'Data yoy'!$B$1:$AW$1,0),FALSE)</f>
        <v/>
      </c>
      <c r="C177" s="43">
        <f>Table13456789101112131415161734[[#This Row],[JPN]]-B176</f>
        <v/>
      </c>
      <c r="D177" s="27" t="n"/>
    </row>
    <row r="178">
      <c r="A178" s="42" t="n">
        <v>33420</v>
      </c>
      <c r="B178" s="43">
        <f>VLOOKUP(A178,'Data yoy'!$B:$AW,MATCH($B$1,'Data yoy'!$B$1:$AW$1,0),FALSE)</f>
        <v/>
      </c>
      <c r="C178" s="43">
        <f>Table13456789101112131415161734[[#This Row],[JPN]]-B177</f>
        <v/>
      </c>
      <c r="D178" s="27" t="n"/>
    </row>
    <row r="179">
      <c r="A179" s="42" t="n">
        <v>33512</v>
      </c>
      <c r="B179" s="43">
        <f>VLOOKUP(A179,'Data yoy'!$B:$AW,MATCH($B$1,'Data yoy'!$B$1:$AW$1,0),FALSE)</f>
        <v/>
      </c>
      <c r="C179" s="43">
        <f>Table13456789101112131415161734[[#This Row],[JPN]]-B178</f>
        <v/>
      </c>
      <c r="D179" s="27" t="n"/>
    </row>
    <row r="180">
      <c r="A180" s="42" t="n">
        <v>33604</v>
      </c>
      <c r="B180" s="43">
        <f>VLOOKUP(A180,'Data yoy'!$B:$AW,MATCH($B$1,'Data yoy'!$B$1:$AW$1,0),FALSE)</f>
        <v/>
      </c>
      <c r="C180" s="43">
        <f>Table13456789101112131415161734[[#This Row],[JPN]]-B179</f>
        <v/>
      </c>
      <c r="D180" s="27" t="n"/>
    </row>
    <row r="181">
      <c r="A181" s="42" t="n">
        <v>33695</v>
      </c>
      <c r="B181" s="43">
        <f>VLOOKUP(A181,'Data yoy'!$B:$AW,MATCH($B$1,'Data yoy'!$B$1:$AW$1,0),FALSE)</f>
        <v/>
      </c>
      <c r="C181" s="43">
        <f>Table13456789101112131415161734[[#This Row],[JPN]]-B180</f>
        <v/>
      </c>
      <c r="D181" s="27" t="n"/>
    </row>
    <row r="182">
      <c r="A182" s="42" t="n">
        <v>33786</v>
      </c>
      <c r="B182" s="43">
        <f>VLOOKUP(A182,'Data yoy'!$B:$AW,MATCH($B$1,'Data yoy'!$B$1:$AW$1,0),FALSE)</f>
        <v/>
      </c>
      <c r="C182" s="43">
        <f>Table13456789101112131415161734[[#This Row],[JPN]]-B181</f>
        <v/>
      </c>
      <c r="D182" s="27" t="n"/>
    </row>
    <row r="183">
      <c r="A183" s="42" t="n">
        <v>33878</v>
      </c>
      <c r="B183" s="43">
        <f>VLOOKUP(A183,'Data yoy'!$B:$AW,MATCH($B$1,'Data yoy'!$B$1:$AW$1,0),FALSE)</f>
        <v/>
      </c>
      <c r="C183" s="43">
        <f>Table13456789101112131415161734[[#This Row],[JPN]]-B182</f>
        <v/>
      </c>
      <c r="D183" s="27" t="n"/>
    </row>
    <row r="184">
      <c r="A184" s="42" t="n">
        <v>33970</v>
      </c>
      <c r="B184" s="43">
        <f>VLOOKUP(A184,'Data yoy'!$B:$AW,MATCH($B$1,'Data yoy'!$B$1:$AW$1,0),FALSE)</f>
        <v/>
      </c>
      <c r="C184" s="43">
        <f>Table13456789101112131415161734[[#This Row],[JPN]]-B183</f>
        <v/>
      </c>
      <c r="D184" s="27" t="n"/>
    </row>
    <row r="185">
      <c r="A185" s="42" t="n">
        <v>34060</v>
      </c>
      <c r="B185" s="43">
        <f>VLOOKUP(A185,'Data yoy'!$B:$AW,MATCH($B$1,'Data yoy'!$B$1:$AW$1,0),FALSE)</f>
        <v/>
      </c>
      <c r="C185" s="43">
        <f>Table13456789101112131415161734[[#This Row],[JPN]]-B184</f>
        <v/>
      </c>
      <c r="D185" s="27" t="n"/>
    </row>
    <row r="186">
      <c r="A186" s="42" t="n">
        <v>34151</v>
      </c>
      <c r="B186" s="43">
        <f>VLOOKUP(A186,'Data yoy'!$B:$AW,MATCH($B$1,'Data yoy'!$B$1:$AW$1,0),FALSE)</f>
        <v/>
      </c>
      <c r="C186" s="43">
        <f>Table13456789101112131415161734[[#This Row],[JPN]]-B185</f>
        <v/>
      </c>
      <c r="D186" s="27" t="n"/>
    </row>
    <row r="187">
      <c r="A187" s="42" t="n">
        <v>34243</v>
      </c>
      <c r="B187" s="43">
        <f>VLOOKUP(A187,'Data yoy'!$B:$AW,MATCH($B$1,'Data yoy'!$B$1:$AW$1,0),FALSE)</f>
        <v/>
      </c>
      <c r="C187" s="43">
        <f>Table13456789101112131415161734[[#This Row],[JPN]]-B186</f>
        <v/>
      </c>
      <c r="D187" s="27" t="n"/>
    </row>
    <row r="188">
      <c r="A188" s="42" t="n">
        <v>34335</v>
      </c>
      <c r="B188" s="43">
        <f>VLOOKUP(A188,'Data yoy'!$B:$AW,MATCH($B$1,'Data yoy'!$B$1:$AW$1,0),FALSE)</f>
        <v/>
      </c>
      <c r="C188" s="43">
        <f>Table13456789101112131415161734[[#This Row],[JPN]]-B187</f>
        <v/>
      </c>
      <c r="D188" s="27" t="n"/>
    </row>
    <row r="189">
      <c r="A189" s="42" t="n">
        <v>34425</v>
      </c>
      <c r="B189" s="43">
        <f>VLOOKUP(A189,'Data yoy'!$B:$AW,MATCH($B$1,'Data yoy'!$B$1:$AW$1,0),FALSE)</f>
        <v/>
      </c>
      <c r="C189" s="43">
        <f>Table13456789101112131415161734[[#This Row],[JPN]]-B188</f>
        <v/>
      </c>
      <c r="D189" s="27" t="n"/>
    </row>
    <row r="190">
      <c r="A190" s="42" t="n">
        <v>34516</v>
      </c>
      <c r="B190" s="43">
        <f>VLOOKUP(A190,'Data yoy'!$B:$AW,MATCH($B$1,'Data yoy'!$B$1:$AW$1,0),FALSE)</f>
        <v/>
      </c>
      <c r="C190" s="43">
        <f>Table13456789101112131415161734[[#This Row],[JPN]]-B189</f>
        <v/>
      </c>
      <c r="D190" s="27" t="n"/>
    </row>
    <row r="191">
      <c r="A191" s="42" t="n">
        <v>34608</v>
      </c>
      <c r="B191" s="43">
        <f>VLOOKUP(A191,'Data yoy'!$B:$AW,MATCH($B$1,'Data yoy'!$B$1:$AW$1,0),FALSE)</f>
        <v/>
      </c>
      <c r="C191" s="43">
        <f>Table13456789101112131415161734[[#This Row],[JPN]]-B190</f>
        <v/>
      </c>
      <c r="D191" s="27" t="n"/>
    </row>
    <row r="192">
      <c r="A192" s="42" t="n">
        <v>34700</v>
      </c>
      <c r="B192" s="43">
        <f>VLOOKUP(A192,'Data yoy'!$B:$AW,MATCH($B$1,'Data yoy'!$B$1:$AW$1,0),FALSE)</f>
        <v/>
      </c>
      <c r="C192" s="43">
        <f>Table13456789101112131415161734[[#This Row],[JPN]]-B191</f>
        <v/>
      </c>
      <c r="D192" s="27" t="n"/>
    </row>
    <row r="193">
      <c r="A193" s="42" t="n">
        <v>34790</v>
      </c>
      <c r="B193" s="43">
        <f>VLOOKUP(A193,'Data yoy'!$B:$AW,MATCH($B$1,'Data yoy'!$B$1:$AW$1,0),FALSE)</f>
        <v/>
      </c>
      <c r="C193" s="43">
        <f>Table13456789101112131415161734[[#This Row],[JPN]]-B192</f>
        <v/>
      </c>
      <c r="D193" s="27" t="n"/>
    </row>
    <row r="194">
      <c r="A194" s="42" t="n">
        <v>34881</v>
      </c>
      <c r="B194" s="43">
        <f>VLOOKUP(A194,'Data yoy'!$B:$AW,MATCH($B$1,'Data yoy'!$B$1:$AW$1,0),FALSE)</f>
        <v/>
      </c>
      <c r="C194" s="43">
        <f>Table13456789101112131415161734[[#This Row],[JPN]]-B193</f>
        <v/>
      </c>
      <c r="D194" s="27" t="n"/>
    </row>
    <row r="195">
      <c r="A195" s="42" t="n">
        <v>34973</v>
      </c>
      <c r="B195" s="43">
        <f>VLOOKUP(A195,'Data yoy'!$B:$AW,MATCH($B$1,'Data yoy'!$B$1:$AW$1,0),FALSE)</f>
        <v/>
      </c>
      <c r="C195" s="43">
        <f>Table13456789101112131415161734[[#This Row],[JPN]]-B194</f>
        <v/>
      </c>
      <c r="D195" s="27" t="n"/>
    </row>
    <row r="196">
      <c r="A196" s="42" t="n">
        <v>35065</v>
      </c>
      <c r="B196" s="43">
        <f>VLOOKUP(A196,'Data yoy'!$B:$AW,MATCH($B$1,'Data yoy'!$B$1:$AW$1,0),FALSE)</f>
        <v/>
      </c>
      <c r="C196" s="43">
        <f>Table13456789101112131415161734[[#This Row],[JPN]]-B195</f>
        <v/>
      </c>
      <c r="D196" s="27" t="n"/>
    </row>
    <row r="197">
      <c r="A197" s="42" t="n">
        <v>35156</v>
      </c>
      <c r="B197" s="43">
        <f>VLOOKUP(A197,'Data yoy'!$B:$AW,MATCH($B$1,'Data yoy'!$B$1:$AW$1,0),FALSE)</f>
        <v/>
      </c>
      <c r="C197" s="43">
        <f>Table13456789101112131415161734[[#This Row],[JPN]]-B196</f>
        <v/>
      </c>
      <c r="D197" s="27" t="n"/>
    </row>
    <row r="198">
      <c r="A198" s="42" t="n">
        <v>35247</v>
      </c>
      <c r="B198" s="43">
        <f>VLOOKUP(A198,'Data yoy'!$B:$AW,MATCH($B$1,'Data yoy'!$B$1:$AW$1,0),FALSE)</f>
        <v/>
      </c>
      <c r="C198" s="43">
        <f>Table13456789101112131415161734[[#This Row],[JPN]]-B197</f>
        <v/>
      </c>
      <c r="D198" s="27" t="n"/>
    </row>
    <row r="199">
      <c r="A199" s="42" t="n">
        <v>35339</v>
      </c>
      <c r="B199" s="43">
        <f>VLOOKUP(A199,'Data yoy'!$B:$AW,MATCH($B$1,'Data yoy'!$B$1:$AW$1,0),FALSE)</f>
        <v/>
      </c>
      <c r="C199" s="43">
        <f>Table13456789101112131415161734[[#This Row],[JPN]]-B198</f>
        <v/>
      </c>
      <c r="D199" s="27" t="n"/>
    </row>
    <row r="200">
      <c r="A200" s="42" t="n">
        <v>35431</v>
      </c>
      <c r="B200" s="43">
        <f>VLOOKUP(A200,'Data yoy'!$B:$AW,MATCH($B$1,'Data yoy'!$B$1:$AW$1,0),FALSE)</f>
        <v/>
      </c>
      <c r="C200" s="43">
        <f>Table13456789101112131415161734[[#This Row],[JPN]]-B199</f>
        <v/>
      </c>
      <c r="D200" s="27" t="n"/>
    </row>
    <row r="201">
      <c r="A201" s="42" t="n">
        <v>35521</v>
      </c>
      <c r="B201" s="43">
        <f>VLOOKUP(A201,'Data yoy'!$B:$AW,MATCH($B$1,'Data yoy'!$B$1:$AW$1,0),FALSE)</f>
        <v/>
      </c>
      <c r="C201" s="43">
        <f>Table13456789101112131415161734[[#This Row],[JPN]]-B200</f>
        <v/>
      </c>
      <c r="D201" s="27" t="n"/>
    </row>
    <row r="202">
      <c r="A202" s="42" t="n">
        <v>35612</v>
      </c>
      <c r="B202" s="43">
        <f>VLOOKUP(A202,'Data yoy'!$B:$AW,MATCH($B$1,'Data yoy'!$B$1:$AW$1,0),FALSE)</f>
        <v/>
      </c>
      <c r="C202" s="43">
        <f>Table13456789101112131415161734[[#This Row],[JPN]]-B201</f>
        <v/>
      </c>
      <c r="D202" s="27" t="n"/>
    </row>
    <row r="203">
      <c r="A203" s="42" t="n">
        <v>35704</v>
      </c>
      <c r="B203" s="43">
        <f>VLOOKUP(A203,'Data yoy'!$B:$AW,MATCH($B$1,'Data yoy'!$B$1:$AW$1,0),FALSE)</f>
        <v/>
      </c>
      <c r="C203" s="43">
        <f>Table13456789101112131415161734[[#This Row],[JPN]]-B202</f>
        <v/>
      </c>
      <c r="D203" s="27" t="n"/>
    </row>
    <row r="204">
      <c r="A204" s="42" t="n">
        <v>35796</v>
      </c>
      <c r="B204" s="43">
        <f>VLOOKUP(A204,'Data yoy'!$B:$AW,MATCH($B$1,'Data yoy'!$B$1:$AW$1,0),FALSE)</f>
        <v/>
      </c>
      <c r="C204" s="43">
        <f>Table13456789101112131415161734[[#This Row],[JPN]]-B203</f>
        <v/>
      </c>
      <c r="D204" s="27" t="n"/>
    </row>
    <row r="205">
      <c r="A205" s="42" t="n">
        <v>35886</v>
      </c>
      <c r="B205" s="43">
        <f>VLOOKUP(A205,'Data yoy'!$B:$AW,MATCH($B$1,'Data yoy'!$B$1:$AW$1,0),FALSE)</f>
        <v/>
      </c>
      <c r="C205" s="43">
        <f>Table13456789101112131415161734[[#This Row],[JPN]]-B204</f>
        <v/>
      </c>
      <c r="D205" s="27" t="n"/>
    </row>
    <row r="206">
      <c r="A206" s="42" t="n">
        <v>35977</v>
      </c>
      <c r="B206" s="43">
        <f>VLOOKUP(A206,'Data yoy'!$B:$AW,MATCH($B$1,'Data yoy'!$B$1:$AW$1,0),FALSE)</f>
        <v/>
      </c>
      <c r="C206" s="43">
        <f>Table13456789101112131415161734[[#This Row],[JPN]]-B205</f>
        <v/>
      </c>
      <c r="D206" s="27" t="n"/>
    </row>
    <row r="207">
      <c r="A207" s="42" t="n">
        <v>36069</v>
      </c>
      <c r="B207" s="43">
        <f>VLOOKUP(A207,'Data yoy'!$B:$AW,MATCH($B$1,'Data yoy'!$B$1:$AW$1,0),FALSE)</f>
        <v/>
      </c>
      <c r="C207" s="43">
        <f>Table13456789101112131415161734[[#This Row],[JPN]]-B206</f>
        <v/>
      </c>
      <c r="D207" s="27" t="n"/>
    </row>
    <row r="208">
      <c r="A208" s="42" t="n">
        <v>36161</v>
      </c>
      <c r="B208" s="43">
        <f>VLOOKUP(A208,'Data yoy'!$B:$AW,MATCH($B$1,'Data yoy'!$B$1:$AW$1,0),FALSE)</f>
        <v/>
      </c>
      <c r="C208" s="43">
        <f>Table13456789101112131415161734[[#This Row],[JPN]]-B207</f>
        <v/>
      </c>
      <c r="D208" s="27" t="n"/>
    </row>
    <row r="209">
      <c r="A209" s="42" t="n">
        <v>36251</v>
      </c>
      <c r="B209" s="43">
        <f>VLOOKUP(A209,'Data yoy'!$B:$AW,MATCH($B$1,'Data yoy'!$B$1:$AW$1,0),FALSE)</f>
        <v/>
      </c>
      <c r="C209" s="43">
        <f>Table13456789101112131415161734[[#This Row],[JPN]]-B208</f>
        <v/>
      </c>
      <c r="D209" s="27" t="n"/>
    </row>
    <row r="210">
      <c r="A210" s="42" t="n">
        <v>36342</v>
      </c>
      <c r="B210" s="43">
        <f>VLOOKUP(A210,'Data yoy'!$B:$AW,MATCH($B$1,'Data yoy'!$B$1:$AW$1,0),FALSE)</f>
        <v/>
      </c>
      <c r="C210" s="43">
        <f>Table13456789101112131415161734[[#This Row],[JPN]]-B209</f>
        <v/>
      </c>
      <c r="D210" s="27" t="n"/>
    </row>
    <row r="211">
      <c r="A211" s="42" t="n">
        <v>36434</v>
      </c>
      <c r="B211" s="43">
        <f>VLOOKUP(A211,'Data yoy'!$B:$AW,MATCH($B$1,'Data yoy'!$B$1:$AW$1,0),FALSE)</f>
        <v/>
      </c>
      <c r="C211" s="43">
        <f>Table13456789101112131415161734[[#This Row],[JPN]]-B210</f>
        <v/>
      </c>
      <c r="D211" s="27" t="n"/>
    </row>
    <row r="212">
      <c r="A212" s="42" t="n">
        <v>36526</v>
      </c>
      <c r="B212" s="43">
        <f>VLOOKUP(A212,'Data yoy'!$B:$AW,MATCH($B$1,'Data yoy'!$B$1:$AW$1,0),FALSE)</f>
        <v/>
      </c>
      <c r="C212" s="43">
        <f>Table13456789101112131415161734[[#This Row],[JPN]]-B211</f>
        <v/>
      </c>
      <c r="D212" s="27" t="n"/>
    </row>
    <row r="213">
      <c r="A213" s="42" t="n">
        <v>36617</v>
      </c>
      <c r="B213" s="43">
        <f>VLOOKUP(A213,'Data yoy'!$B:$AW,MATCH($B$1,'Data yoy'!$B$1:$AW$1,0),FALSE)</f>
        <v/>
      </c>
      <c r="C213" s="43">
        <f>Table13456789101112131415161734[[#This Row],[JPN]]-B212</f>
        <v/>
      </c>
      <c r="D213" s="27" t="n"/>
    </row>
    <row r="214">
      <c r="A214" s="42" t="n">
        <v>36708</v>
      </c>
      <c r="B214" s="43">
        <f>VLOOKUP(A214,'Data yoy'!$B:$AW,MATCH($B$1,'Data yoy'!$B$1:$AW$1,0),FALSE)</f>
        <v/>
      </c>
      <c r="C214" s="43">
        <f>Table13456789101112131415161734[[#This Row],[JPN]]-B213</f>
        <v/>
      </c>
      <c r="D214" s="27" t="n"/>
    </row>
    <row r="215">
      <c r="A215" s="42" t="n">
        <v>36800</v>
      </c>
      <c r="B215" s="43">
        <f>VLOOKUP(A215,'Data yoy'!$B:$AW,MATCH($B$1,'Data yoy'!$B$1:$AW$1,0),FALSE)</f>
        <v/>
      </c>
      <c r="C215" s="43">
        <f>Table13456789101112131415161734[[#This Row],[JPN]]-B214</f>
        <v/>
      </c>
      <c r="D215" s="27" t="n"/>
    </row>
    <row r="216">
      <c r="A216" s="42" t="n">
        <v>36892</v>
      </c>
      <c r="B216" s="43">
        <f>VLOOKUP(A216,'Data yoy'!$B:$AW,MATCH($B$1,'Data yoy'!$B$1:$AW$1,0),FALSE)</f>
        <v/>
      </c>
      <c r="C216" s="43">
        <f>Table13456789101112131415161734[[#This Row],[JPN]]-B215</f>
        <v/>
      </c>
      <c r="D216" s="27" t="n"/>
    </row>
    <row r="217">
      <c r="A217" s="42" t="n">
        <v>36982</v>
      </c>
      <c r="B217" s="43">
        <f>VLOOKUP(A217,'Data yoy'!$B:$AW,MATCH($B$1,'Data yoy'!$B$1:$AW$1,0),FALSE)</f>
        <v/>
      </c>
      <c r="C217" s="43">
        <f>Table13456789101112131415161734[[#This Row],[JPN]]-B216</f>
        <v/>
      </c>
      <c r="D217" s="27" t="n"/>
    </row>
    <row r="218">
      <c r="A218" s="42" t="n">
        <v>37073</v>
      </c>
      <c r="B218" s="43">
        <f>VLOOKUP(A218,'Data yoy'!$B:$AW,MATCH($B$1,'Data yoy'!$B$1:$AW$1,0),FALSE)</f>
        <v/>
      </c>
      <c r="C218" s="43">
        <f>Table13456789101112131415161734[[#This Row],[JPN]]-B217</f>
        <v/>
      </c>
      <c r="D218" s="27" t="n"/>
    </row>
    <row r="219">
      <c r="A219" s="42" t="n">
        <v>37165</v>
      </c>
      <c r="B219" s="43">
        <f>VLOOKUP(A219,'Data yoy'!$B:$AW,MATCH($B$1,'Data yoy'!$B$1:$AW$1,0),FALSE)</f>
        <v/>
      </c>
      <c r="C219" s="43">
        <f>Table13456789101112131415161734[[#This Row],[JPN]]-B218</f>
        <v/>
      </c>
      <c r="D219" s="27" t="n"/>
    </row>
    <row r="220">
      <c r="A220" s="42" t="n">
        <v>37257</v>
      </c>
      <c r="B220" s="43">
        <f>VLOOKUP(A220,'Data yoy'!$B:$AW,MATCH($B$1,'Data yoy'!$B$1:$AW$1,0),FALSE)</f>
        <v/>
      </c>
      <c r="C220" s="43">
        <f>Table13456789101112131415161734[[#This Row],[JPN]]-B219</f>
        <v/>
      </c>
      <c r="D220" s="27" t="n"/>
    </row>
    <row r="221">
      <c r="A221" s="42" t="n">
        <v>37347</v>
      </c>
      <c r="B221" s="43">
        <f>VLOOKUP(A221,'Data yoy'!$B:$AW,MATCH($B$1,'Data yoy'!$B$1:$AW$1,0),FALSE)</f>
        <v/>
      </c>
      <c r="C221" s="43">
        <f>Table13456789101112131415161734[[#This Row],[JPN]]-B220</f>
        <v/>
      </c>
      <c r="D221" s="27" t="n"/>
    </row>
    <row r="222">
      <c r="A222" s="42" t="n">
        <v>37438</v>
      </c>
      <c r="B222" s="43">
        <f>VLOOKUP(A222,'Data yoy'!$B:$AW,MATCH($B$1,'Data yoy'!$B$1:$AW$1,0),FALSE)</f>
        <v/>
      </c>
      <c r="C222" s="43">
        <f>Table13456789101112131415161734[[#This Row],[JPN]]-B221</f>
        <v/>
      </c>
      <c r="D222" s="27" t="n"/>
    </row>
    <row r="223">
      <c r="A223" s="42" t="n">
        <v>37530</v>
      </c>
      <c r="B223" s="43">
        <f>VLOOKUP(A223,'Data yoy'!$B:$AW,MATCH($B$1,'Data yoy'!$B$1:$AW$1,0),FALSE)</f>
        <v/>
      </c>
      <c r="C223" s="43">
        <f>Table13456789101112131415161734[[#This Row],[JPN]]-B222</f>
        <v/>
      </c>
      <c r="D223" s="27" t="n"/>
    </row>
    <row r="224">
      <c r="A224" s="42" t="n">
        <v>37622</v>
      </c>
      <c r="B224" s="43">
        <f>VLOOKUP(A224,'Data yoy'!$B:$AW,MATCH($B$1,'Data yoy'!$B$1:$AW$1,0),FALSE)</f>
        <v/>
      </c>
      <c r="C224" s="43">
        <f>Table13456789101112131415161734[[#This Row],[JPN]]-B223</f>
        <v/>
      </c>
      <c r="D224" s="27" t="n"/>
    </row>
    <row r="225">
      <c r="A225" s="42" t="n">
        <v>37712</v>
      </c>
      <c r="B225" s="43">
        <f>VLOOKUP(A225,'Data yoy'!$B:$AW,MATCH($B$1,'Data yoy'!$B$1:$AW$1,0),FALSE)</f>
        <v/>
      </c>
      <c r="C225" s="43">
        <f>Table13456789101112131415161734[[#This Row],[JPN]]-B224</f>
        <v/>
      </c>
      <c r="D225" s="27" t="n"/>
    </row>
    <row r="226">
      <c r="A226" s="42" t="n">
        <v>37803</v>
      </c>
      <c r="B226" s="43">
        <f>VLOOKUP(A226,'Data yoy'!$B:$AW,MATCH($B$1,'Data yoy'!$B$1:$AW$1,0),FALSE)</f>
        <v/>
      </c>
      <c r="C226" s="43">
        <f>Table13456789101112131415161734[[#This Row],[JPN]]-B225</f>
        <v/>
      </c>
      <c r="D226" s="27" t="n"/>
    </row>
    <row r="227">
      <c r="A227" s="42" t="n">
        <v>37895</v>
      </c>
      <c r="B227" s="43">
        <f>VLOOKUP(A227,'Data yoy'!$B:$AW,MATCH($B$1,'Data yoy'!$B$1:$AW$1,0),FALSE)</f>
        <v/>
      </c>
      <c r="C227" s="43">
        <f>Table13456789101112131415161734[[#This Row],[JPN]]-B226</f>
        <v/>
      </c>
      <c r="D227" s="27" t="n"/>
    </row>
    <row r="228">
      <c r="A228" s="42" t="n">
        <v>37987</v>
      </c>
      <c r="B228" s="43">
        <f>VLOOKUP(A228,'Data yoy'!$B:$AW,MATCH($B$1,'Data yoy'!$B$1:$AW$1,0),FALSE)</f>
        <v/>
      </c>
      <c r="C228" s="43">
        <f>Table13456789101112131415161734[[#This Row],[JPN]]-B227</f>
        <v/>
      </c>
      <c r="D228" s="27" t="n"/>
    </row>
    <row r="229">
      <c r="A229" s="42" t="n">
        <v>38078</v>
      </c>
      <c r="B229" s="43">
        <f>VLOOKUP(A229,'Data yoy'!$B:$AW,MATCH($B$1,'Data yoy'!$B$1:$AW$1,0),FALSE)</f>
        <v/>
      </c>
      <c r="C229" s="43">
        <f>Table13456789101112131415161734[[#This Row],[JPN]]-B228</f>
        <v/>
      </c>
      <c r="D229" s="27" t="n"/>
    </row>
    <row r="230">
      <c r="A230" s="42" t="n">
        <v>38169</v>
      </c>
      <c r="B230" s="43">
        <f>VLOOKUP(A230,'Data yoy'!$B:$AW,MATCH($B$1,'Data yoy'!$B$1:$AW$1,0),FALSE)</f>
        <v/>
      </c>
      <c r="C230" s="43">
        <f>Table13456789101112131415161734[[#This Row],[JPN]]-B229</f>
        <v/>
      </c>
      <c r="D230" s="27" t="n"/>
    </row>
    <row r="231">
      <c r="A231" s="42" t="n">
        <v>38261</v>
      </c>
      <c r="B231" s="43">
        <f>VLOOKUP(A231,'Data yoy'!$B:$AW,MATCH($B$1,'Data yoy'!$B$1:$AW$1,0),FALSE)</f>
        <v/>
      </c>
      <c r="C231" s="43">
        <f>Table13456789101112131415161734[[#This Row],[JPN]]-B230</f>
        <v/>
      </c>
      <c r="D231" s="27" t="n"/>
    </row>
    <row r="232">
      <c r="A232" s="42" t="n">
        <v>38353</v>
      </c>
      <c r="B232" s="43">
        <f>VLOOKUP(A232,'Data yoy'!$B:$AW,MATCH($B$1,'Data yoy'!$B$1:$AW$1,0),FALSE)</f>
        <v/>
      </c>
      <c r="C232" s="43">
        <f>Table13456789101112131415161734[[#This Row],[JPN]]-B231</f>
        <v/>
      </c>
      <c r="D232" s="27" t="n"/>
    </row>
    <row r="233">
      <c r="A233" s="42" t="n">
        <v>38443</v>
      </c>
      <c r="B233" s="43">
        <f>VLOOKUP(A233,'Data yoy'!$B:$AW,MATCH($B$1,'Data yoy'!$B$1:$AW$1,0),FALSE)</f>
        <v/>
      </c>
      <c r="C233" s="43">
        <f>Table13456789101112131415161734[[#This Row],[JPN]]-B232</f>
        <v/>
      </c>
      <c r="D233" s="27" t="n"/>
    </row>
    <row r="234">
      <c r="A234" s="42" t="n">
        <v>38534</v>
      </c>
      <c r="B234" s="43">
        <f>VLOOKUP(A234,'Data yoy'!$B:$AW,MATCH($B$1,'Data yoy'!$B$1:$AW$1,0),FALSE)</f>
        <v/>
      </c>
      <c r="C234" s="43">
        <f>Table13456789101112131415161734[[#This Row],[JPN]]-B233</f>
        <v/>
      </c>
      <c r="D234" s="27" t="n"/>
    </row>
    <row r="235">
      <c r="A235" s="42" t="n">
        <v>38626</v>
      </c>
      <c r="B235" s="43">
        <f>VLOOKUP(A235,'Data yoy'!$B:$AW,MATCH($B$1,'Data yoy'!$B$1:$AW$1,0),FALSE)</f>
        <v/>
      </c>
      <c r="C235" s="43">
        <f>Table13456789101112131415161734[[#This Row],[JPN]]-B234</f>
        <v/>
      </c>
      <c r="D235" s="27" t="n"/>
    </row>
    <row r="236">
      <c r="A236" s="42" t="n">
        <v>38718</v>
      </c>
      <c r="B236" s="43">
        <f>VLOOKUP(A236,'Data yoy'!$B:$AW,MATCH($B$1,'Data yoy'!$B$1:$AW$1,0),FALSE)</f>
        <v/>
      </c>
      <c r="C236" s="43">
        <f>Table13456789101112131415161734[[#This Row],[JPN]]-B235</f>
        <v/>
      </c>
      <c r="D236" s="27" t="n"/>
    </row>
    <row r="237">
      <c r="A237" s="42" t="n">
        <v>38808</v>
      </c>
      <c r="B237" s="43">
        <f>VLOOKUP(A237,'Data yoy'!$B:$AW,MATCH($B$1,'Data yoy'!$B$1:$AW$1,0),FALSE)</f>
        <v/>
      </c>
      <c r="C237" s="43">
        <f>Table13456789101112131415161734[[#This Row],[JPN]]-B236</f>
        <v/>
      </c>
      <c r="D237" s="27" t="n"/>
    </row>
    <row r="238">
      <c r="A238" s="42" t="n">
        <v>38899</v>
      </c>
      <c r="B238" s="43">
        <f>VLOOKUP(A238,'Data yoy'!$B:$AW,MATCH($B$1,'Data yoy'!$B$1:$AW$1,0),FALSE)</f>
        <v/>
      </c>
      <c r="C238" s="43">
        <f>Table13456789101112131415161734[[#This Row],[JPN]]-B237</f>
        <v/>
      </c>
      <c r="D238" s="27" t="n"/>
    </row>
    <row r="239">
      <c r="A239" s="42" t="n">
        <v>38991</v>
      </c>
      <c r="B239" s="43">
        <f>VLOOKUP(A239,'Data yoy'!$B:$AW,MATCH($B$1,'Data yoy'!$B$1:$AW$1,0),FALSE)</f>
        <v/>
      </c>
      <c r="C239" s="43">
        <f>Table13456789101112131415161734[[#This Row],[JPN]]-B238</f>
        <v/>
      </c>
      <c r="D239" s="27" t="n"/>
    </row>
    <row r="240">
      <c r="A240" s="42" t="n">
        <v>39083</v>
      </c>
      <c r="B240" s="43">
        <f>VLOOKUP(A240,'Data yoy'!$B:$AW,MATCH($B$1,'Data yoy'!$B$1:$AW$1,0),FALSE)</f>
        <v/>
      </c>
      <c r="C240" s="43">
        <f>Table13456789101112131415161734[[#This Row],[JPN]]-B239</f>
        <v/>
      </c>
      <c r="D240" s="27" t="n"/>
    </row>
    <row r="241">
      <c r="A241" s="42" t="n">
        <v>39173</v>
      </c>
      <c r="B241" s="43">
        <f>VLOOKUP(A241,'Data yoy'!$B:$AW,MATCH($B$1,'Data yoy'!$B$1:$AW$1,0),FALSE)</f>
        <v/>
      </c>
      <c r="C241" s="43">
        <f>Table13456789101112131415161734[[#This Row],[JPN]]-B240</f>
        <v/>
      </c>
      <c r="D241" s="27" t="n"/>
    </row>
    <row r="242">
      <c r="A242" s="42" t="n">
        <v>39264</v>
      </c>
      <c r="B242" s="43">
        <f>VLOOKUP(A242,'Data yoy'!$B:$AW,MATCH($B$1,'Data yoy'!$B$1:$AW$1,0),FALSE)</f>
        <v/>
      </c>
      <c r="C242" s="43">
        <f>Table13456789101112131415161734[[#This Row],[JPN]]-B241</f>
        <v/>
      </c>
      <c r="D242" s="27" t="n"/>
    </row>
    <row r="243">
      <c r="A243" s="42" t="n">
        <v>39356</v>
      </c>
      <c r="B243" s="43">
        <f>VLOOKUP(A243,'Data yoy'!$B:$AW,MATCH($B$1,'Data yoy'!$B$1:$AW$1,0),FALSE)</f>
        <v/>
      </c>
      <c r="C243" s="43">
        <f>Table13456789101112131415161734[[#This Row],[JPN]]-B242</f>
        <v/>
      </c>
      <c r="D243" s="27" t="n"/>
    </row>
    <row r="244">
      <c r="A244" s="42" t="n">
        <v>39448</v>
      </c>
      <c r="B244" s="43">
        <f>VLOOKUP(A244,'Data yoy'!$B:$AW,MATCH($B$1,'Data yoy'!$B$1:$AW$1,0),FALSE)</f>
        <v/>
      </c>
      <c r="C244" s="43">
        <f>Table13456789101112131415161734[[#This Row],[JPN]]-B243</f>
        <v/>
      </c>
      <c r="D244" s="27" t="n"/>
    </row>
    <row r="245">
      <c r="A245" s="42" t="n">
        <v>39539</v>
      </c>
      <c r="B245" s="43">
        <f>VLOOKUP(A245,'Data yoy'!$B:$AW,MATCH($B$1,'Data yoy'!$B$1:$AW$1,0),FALSE)</f>
        <v/>
      </c>
      <c r="C245" s="43">
        <f>Table13456789101112131415161734[[#This Row],[JPN]]-B244</f>
        <v/>
      </c>
      <c r="D245" s="27" t="n"/>
    </row>
    <row r="246">
      <c r="A246" s="42" t="n">
        <v>39630</v>
      </c>
      <c r="B246" s="43">
        <f>VLOOKUP(A246,'Data yoy'!$B:$AW,MATCH($B$1,'Data yoy'!$B$1:$AW$1,0),FALSE)</f>
        <v/>
      </c>
      <c r="C246" s="43">
        <f>Table13456789101112131415161734[[#This Row],[JPN]]-B245</f>
        <v/>
      </c>
      <c r="D246" s="27" t="n"/>
    </row>
    <row r="247">
      <c r="A247" s="42" t="n">
        <v>39722</v>
      </c>
      <c r="B247" s="43">
        <f>VLOOKUP(A247,'Data yoy'!$B:$AW,MATCH($B$1,'Data yoy'!$B$1:$AW$1,0),FALSE)</f>
        <v/>
      </c>
      <c r="C247" s="43">
        <f>Table13456789101112131415161734[[#This Row],[JPN]]-B246</f>
        <v/>
      </c>
      <c r="D247" s="27" t="n"/>
    </row>
    <row r="248">
      <c r="A248" s="42" t="n">
        <v>39814</v>
      </c>
      <c r="B248" s="43">
        <f>VLOOKUP(A248,'Data yoy'!$B:$AW,MATCH($B$1,'Data yoy'!$B$1:$AW$1,0),FALSE)</f>
        <v/>
      </c>
      <c r="C248" s="43">
        <f>Table13456789101112131415161734[[#This Row],[JPN]]-B247</f>
        <v/>
      </c>
      <c r="D248" s="27" t="n"/>
    </row>
    <row r="249">
      <c r="A249" s="42" t="n">
        <v>39904</v>
      </c>
      <c r="B249" s="43">
        <f>VLOOKUP(A249,'Data yoy'!$B:$AW,MATCH($B$1,'Data yoy'!$B$1:$AW$1,0),FALSE)</f>
        <v/>
      </c>
      <c r="C249" s="43">
        <f>Table13456789101112131415161734[[#This Row],[JPN]]-B248</f>
        <v/>
      </c>
      <c r="D249" s="27" t="n"/>
    </row>
    <row r="250">
      <c r="A250" s="42" t="n">
        <v>39995</v>
      </c>
      <c r="B250" s="43">
        <f>VLOOKUP(A250,'Data yoy'!$B:$AW,MATCH($B$1,'Data yoy'!$B$1:$AW$1,0),FALSE)</f>
        <v/>
      </c>
      <c r="C250" s="43">
        <f>Table13456789101112131415161734[[#This Row],[JPN]]-B249</f>
        <v/>
      </c>
      <c r="D250" s="27" t="n"/>
    </row>
    <row r="251">
      <c r="A251" s="42" t="n">
        <v>40087</v>
      </c>
      <c r="B251" s="43">
        <f>VLOOKUP(A251,'Data yoy'!$B:$AW,MATCH($B$1,'Data yoy'!$B$1:$AW$1,0),FALSE)</f>
        <v/>
      </c>
      <c r="C251" s="43">
        <f>Table13456789101112131415161734[[#This Row],[JPN]]-B250</f>
        <v/>
      </c>
      <c r="D251" s="27" t="n"/>
    </row>
    <row r="252">
      <c r="A252" s="42" t="n">
        <v>40179</v>
      </c>
      <c r="B252" s="43">
        <f>VLOOKUP(A252,'Data yoy'!$B:$AW,MATCH($B$1,'Data yoy'!$B$1:$AW$1,0),FALSE)</f>
        <v/>
      </c>
      <c r="C252" s="43">
        <f>Table13456789101112131415161734[[#This Row],[JPN]]-B251</f>
        <v/>
      </c>
      <c r="D252" s="27" t="n"/>
    </row>
    <row r="253">
      <c r="A253" s="42" t="n">
        <v>40269</v>
      </c>
      <c r="B253" s="43">
        <f>VLOOKUP(A253,'Data yoy'!$B:$AW,MATCH($B$1,'Data yoy'!$B$1:$AW$1,0),FALSE)</f>
        <v/>
      </c>
      <c r="C253" s="43">
        <f>Table13456789101112131415161734[[#This Row],[JPN]]-B252</f>
        <v/>
      </c>
      <c r="D253" s="27" t="n"/>
    </row>
    <row r="254">
      <c r="A254" s="42" t="n">
        <v>40360</v>
      </c>
      <c r="B254" s="43">
        <f>VLOOKUP(A254,'Data yoy'!$B:$AW,MATCH($B$1,'Data yoy'!$B$1:$AW$1,0),FALSE)</f>
        <v/>
      </c>
      <c r="C254" s="43">
        <f>Table13456789101112131415161734[[#This Row],[JPN]]-B253</f>
        <v/>
      </c>
      <c r="D254" s="27" t="n"/>
    </row>
    <row r="255">
      <c r="A255" s="42" t="n">
        <v>40452</v>
      </c>
      <c r="B255" s="43">
        <f>VLOOKUP(A255,'Data yoy'!$B:$AW,MATCH($B$1,'Data yoy'!$B$1:$AW$1,0),FALSE)</f>
        <v/>
      </c>
      <c r="C255" s="43">
        <f>Table13456789101112131415161734[[#This Row],[JPN]]-B254</f>
        <v/>
      </c>
      <c r="D255" s="27" t="n"/>
    </row>
    <row r="256">
      <c r="A256" s="42" t="n">
        <v>40544</v>
      </c>
      <c r="B256" s="43">
        <f>VLOOKUP(A256,'Data yoy'!$B:$AW,MATCH($B$1,'Data yoy'!$B$1:$AW$1,0),FALSE)</f>
        <v/>
      </c>
      <c r="C256" s="43">
        <f>Table13456789101112131415161734[[#This Row],[JPN]]-B255</f>
        <v/>
      </c>
      <c r="D256" s="27" t="n"/>
    </row>
    <row r="257">
      <c r="A257" s="42" t="n">
        <v>40634</v>
      </c>
      <c r="B257" s="43">
        <f>VLOOKUP(A257,'Data yoy'!$B:$AW,MATCH($B$1,'Data yoy'!$B$1:$AW$1,0),FALSE)</f>
        <v/>
      </c>
      <c r="C257" s="43">
        <f>Table13456789101112131415161734[[#This Row],[JPN]]-B256</f>
        <v/>
      </c>
      <c r="D257" s="27" t="n"/>
    </row>
    <row r="258">
      <c r="A258" s="42" t="n">
        <v>40725</v>
      </c>
      <c r="B258" s="43">
        <f>VLOOKUP(A258,'Data yoy'!$B:$AW,MATCH($B$1,'Data yoy'!$B$1:$AW$1,0),FALSE)</f>
        <v/>
      </c>
      <c r="C258" s="43">
        <f>Table13456789101112131415161734[[#This Row],[JPN]]-B257</f>
        <v/>
      </c>
      <c r="D258" s="27" t="n"/>
    </row>
    <row r="259">
      <c r="A259" s="42" t="n">
        <v>40817</v>
      </c>
      <c r="B259" s="43">
        <f>VLOOKUP(A259,'Data yoy'!$B:$AW,MATCH($B$1,'Data yoy'!$B$1:$AW$1,0),FALSE)</f>
        <v/>
      </c>
      <c r="C259" s="43">
        <f>Table13456789101112131415161734[[#This Row],[JPN]]-B258</f>
        <v/>
      </c>
      <c r="D259" s="27" t="n"/>
    </row>
    <row r="260">
      <c r="A260" s="42" t="n">
        <v>40909</v>
      </c>
      <c r="B260" s="43">
        <f>VLOOKUP(A260,'Data yoy'!$B:$AW,MATCH($B$1,'Data yoy'!$B$1:$AW$1,0),FALSE)</f>
        <v/>
      </c>
      <c r="C260" s="43">
        <f>Table13456789101112131415161734[[#This Row],[JPN]]-B259</f>
        <v/>
      </c>
      <c r="D260" s="27" t="n"/>
    </row>
    <row r="261">
      <c r="A261" s="42" t="n">
        <v>41000</v>
      </c>
      <c r="B261" s="43">
        <f>VLOOKUP(A261,'Data yoy'!$B:$AW,MATCH($B$1,'Data yoy'!$B$1:$AW$1,0),FALSE)</f>
        <v/>
      </c>
      <c r="C261" s="43">
        <f>Table13456789101112131415161734[[#This Row],[JPN]]-B260</f>
        <v/>
      </c>
      <c r="D261" s="27" t="n"/>
    </row>
    <row r="262">
      <c r="A262" s="42" t="n">
        <v>41091</v>
      </c>
      <c r="B262" s="43">
        <f>VLOOKUP(A262,'Data yoy'!$B:$AW,MATCH($B$1,'Data yoy'!$B$1:$AW$1,0),FALSE)</f>
        <v/>
      </c>
      <c r="C262" s="43">
        <f>Table13456789101112131415161734[[#This Row],[JPN]]-B261</f>
        <v/>
      </c>
      <c r="D262" s="27" t="n"/>
    </row>
    <row r="263">
      <c r="A263" s="42" t="n">
        <v>41183</v>
      </c>
      <c r="B263" s="43">
        <f>VLOOKUP(A263,'Data yoy'!$B:$AW,MATCH($B$1,'Data yoy'!$B$1:$AW$1,0),FALSE)</f>
        <v/>
      </c>
      <c r="C263" s="43">
        <f>Table13456789101112131415161734[[#This Row],[JPN]]-B262</f>
        <v/>
      </c>
      <c r="D263" s="27" t="n"/>
    </row>
    <row r="264">
      <c r="A264" s="42" t="n">
        <v>41275</v>
      </c>
      <c r="B264" s="43">
        <f>VLOOKUP(A264,'Data yoy'!$B:$AW,MATCH($B$1,'Data yoy'!$B$1:$AW$1,0),FALSE)</f>
        <v/>
      </c>
      <c r="C264" s="43">
        <f>Table13456789101112131415161734[[#This Row],[JPN]]-B263</f>
        <v/>
      </c>
      <c r="D264" s="27" t="n"/>
    </row>
    <row r="265">
      <c r="A265" s="42" t="n">
        <v>41365</v>
      </c>
      <c r="B265" s="43">
        <f>VLOOKUP(A265,'Data yoy'!$B:$AW,MATCH($B$1,'Data yoy'!$B$1:$AW$1,0),FALSE)</f>
        <v/>
      </c>
      <c r="C265" s="43">
        <f>Table13456789101112131415161734[[#This Row],[JPN]]-B264</f>
        <v/>
      </c>
      <c r="D265" s="27" t="n"/>
    </row>
    <row r="266">
      <c r="A266" s="42" t="n">
        <v>41456</v>
      </c>
      <c r="B266" s="43">
        <f>VLOOKUP(A266,'Data yoy'!$B:$AW,MATCH($B$1,'Data yoy'!$B$1:$AW$1,0),FALSE)</f>
        <v/>
      </c>
      <c r="C266" s="43">
        <f>Table13456789101112131415161734[[#This Row],[JPN]]-B265</f>
        <v/>
      </c>
      <c r="D266" s="27" t="n"/>
    </row>
    <row r="267">
      <c r="A267" s="42" t="n">
        <v>41548</v>
      </c>
      <c r="B267" s="43">
        <f>VLOOKUP(A267,'Data yoy'!$B:$AW,MATCH($B$1,'Data yoy'!$B$1:$AW$1,0),FALSE)</f>
        <v/>
      </c>
      <c r="C267" s="43">
        <f>Table13456789101112131415161734[[#This Row],[JPN]]-B266</f>
        <v/>
      </c>
      <c r="D267" s="27" t="n"/>
    </row>
    <row r="268">
      <c r="A268" s="42" t="n">
        <v>41640</v>
      </c>
      <c r="B268" s="43">
        <f>VLOOKUP(A268,'Data yoy'!$B:$AW,MATCH($B$1,'Data yoy'!$B$1:$AW$1,0),FALSE)</f>
        <v/>
      </c>
      <c r="C268" s="43">
        <f>Table13456789101112131415161734[[#This Row],[JPN]]-B267</f>
        <v/>
      </c>
      <c r="D268" s="27" t="n"/>
    </row>
    <row r="269">
      <c r="A269" s="42" t="n">
        <v>41730</v>
      </c>
      <c r="B269" s="43">
        <f>VLOOKUP(A269,'Data yoy'!$B:$AW,MATCH($B$1,'Data yoy'!$B$1:$AW$1,0),FALSE)</f>
        <v/>
      </c>
      <c r="C269" s="43">
        <f>Table13456789101112131415161734[[#This Row],[JPN]]-B268</f>
        <v/>
      </c>
      <c r="D269" s="27" t="n"/>
    </row>
    <row r="270">
      <c r="A270" s="42" t="n">
        <v>41821</v>
      </c>
      <c r="B270" s="43">
        <f>VLOOKUP(A270,'Data yoy'!$B:$AW,MATCH($B$1,'Data yoy'!$B$1:$AW$1,0),FALSE)</f>
        <v/>
      </c>
      <c r="C270" s="43">
        <f>Table13456789101112131415161734[[#This Row],[JPN]]-B269</f>
        <v/>
      </c>
      <c r="D270" s="27" t="n"/>
    </row>
    <row r="271">
      <c r="A271" s="42" t="n">
        <v>41913</v>
      </c>
      <c r="B271" s="43">
        <f>VLOOKUP(A271,'Data yoy'!$B:$AW,MATCH($B$1,'Data yoy'!$B$1:$AW$1,0),FALSE)</f>
        <v/>
      </c>
      <c r="C271" s="43">
        <f>Table13456789101112131415161734[[#This Row],[JPN]]-B270</f>
        <v/>
      </c>
      <c r="D271" s="27" t="n"/>
    </row>
    <row r="272">
      <c r="A272" s="42" t="n">
        <v>42005</v>
      </c>
      <c r="B272" s="43">
        <f>VLOOKUP(A272,'Data yoy'!$B:$AW,MATCH($B$1,'Data yoy'!$B$1:$AW$1,0),FALSE)</f>
        <v/>
      </c>
      <c r="C272" s="43">
        <f>Table13456789101112131415161734[[#This Row],[JPN]]-B271</f>
        <v/>
      </c>
      <c r="D272" s="27" t="n"/>
    </row>
    <row r="273">
      <c r="A273" s="42" t="n">
        <v>42095</v>
      </c>
      <c r="B273" s="43">
        <f>VLOOKUP(A273,'Data yoy'!$B:$AW,MATCH($B$1,'Data yoy'!$B$1:$AW$1,0),FALSE)</f>
        <v/>
      </c>
      <c r="C273" s="43">
        <f>Table13456789101112131415161734[[#This Row],[JPN]]-B272</f>
        <v/>
      </c>
      <c r="D273" s="27" t="n"/>
    </row>
    <row r="274">
      <c r="A274" s="42" t="n">
        <v>42186</v>
      </c>
      <c r="B274" s="43">
        <f>VLOOKUP(A274,'Data yoy'!$B:$AW,MATCH($B$1,'Data yoy'!$B$1:$AW$1,0),FALSE)</f>
        <v/>
      </c>
      <c r="C274" s="43">
        <f>Table13456789101112131415161734[[#This Row],[JPN]]-B273</f>
        <v/>
      </c>
      <c r="D274" s="27" t="n"/>
    </row>
    <row r="275">
      <c r="A275" s="42" t="n">
        <v>42278</v>
      </c>
      <c r="B275" s="43">
        <f>VLOOKUP(A275,'Data yoy'!$B:$AW,MATCH($B$1,'Data yoy'!$B$1:$AW$1,0),FALSE)</f>
        <v/>
      </c>
      <c r="C275" s="43">
        <f>Table13456789101112131415161734[[#This Row],[JPN]]-B274</f>
        <v/>
      </c>
      <c r="D275" s="27" t="n"/>
    </row>
    <row r="276">
      <c r="A276" s="42" t="n">
        <v>42370</v>
      </c>
      <c r="B276" s="43">
        <f>VLOOKUP(A276,'Data yoy'!$B:$AW,MATCH($B$1,'Data yoy'!$B$1:$AW$1,0),FALSE)</f>
        <v/>
      </c>
      <c r="C276" s="43">
        <f>Table13456789101112131415161734[[#This Row],[JPN]]-B275</f>
        <v/>
      </c>
      <c r="D276" s="27" t="n"/>
    </row>
    <row r="277">
      <c r="A277" s="42" t="n">
        <v>42461</v>
      </c>
      <c r="B277" s="43">
        <f>VLOOKUP(A277,'Data yoy'!$B:$AW,MATCH($B$1,'Data yoy'!$B$1:$AW$1,0),FALSE)</f>
        <v/>
      </c>
      <c r="C277" s="43">
        <f>Table13456789101112131415161734[[#This Row],[JPN]]-B276</f>
        <v/>
      </c>
      <c r="D277" s="27" t="n"/>
    </row>
    <row r="278">
      <c r="A278" s="42" t="n">
        <v>42552</v>
      </c>
      <c r="B278" s="43">
        <f>VLOOKUP(A278,'Data yoy'!$B:$AW,MATCH($B$1,'Data yoy'!$B$1:$AW$1,0),FALSE)</f>
        <v/>
      </c>
      <c r="C278" s="43">
        <f>Table13456789101112131415161734[[#This Row],[JPN]]-B277</f>
        <v/>
      </c>
      <c r="D278" s="27" t="n"/>
    </row>
    <row r="279">
      <c r="A279" s="42" t="n">
        <v>42644</v>
      </c>
      <c r="B279" s="43">
        <f>VLOOKUP(A279,'Data yoy'!$B:$AW,MATCH($B$1,'Data yoy'!$B$1:$AW$1,0),FALSE)</f>
        <v/>
      </c>
      <c r="C279" s="43">
        <f>Table13456789101112131415161734[[#This Row],[JPN]]-B278</f>
        <v/>
      </c>
      <c r="D279" s="27" t="n"/>
    </row>
    <row r="280">
      <c r="A280" s="42" t="n">
        <v>42736</v>
      </c>
      <c r="B280" s="43">
        <f>VLOOKUP(A280,'Data yoy'!$B:$AW,MATCH($B$1,'Data yoy'!$B$1:$AW$1,0),FALSE)</f>
        <v/>
      </c>
      <c r="C280" s="43">
        <f>Table13456789101112131415161734[[#This Row],[JPN]]-B279</f>
        <v/>
      </c>
      <c r="D280" s="27" t="n"/>
    </row>
    <row r="281">
      <c r="A281" s="42" t="n">
        <v>42826</v>
      </c>
      <c r="B281" s="43">
        <f>VLOOKUP(A281,'Data yoy'!$B:$AW,MATCH($B$1,'Data yoy'!$B$1:$AW$1,0),FALSE)</f>
        <v/>
      </c>
      <c r="C281" s="43">
        <f>Table13456789101112131415161734[[#This Row],[JPN]]-B280</f>
        <v/>
      </c>
      <c r="D281" s="27" t="n"/>
    </row>
    <row r="282">
      <c r="A282" s="42" t="n">
        <v>42917</v>
      </c>
      <c r="B282" s="43">
        <f>VLOOKUP(A282,'Data yoy'!$B:$AW,MATCH($B$1,'Data yoy'!$B$1:$AW$1,0),FALSE)</f>
        <v/>
      </c>
      <c r="C282" s="43">
        <f>Table13456789101112131415161734[[#This Row],[JPN]]-B281</f>
        <v/>
      </c>
      <c r="D282" s="27" t="n"/>
    </row>
    <row r="283">
      <c r="A283" s="42" t="n">
        <v>43009</v>
      </c>
      <c r="B283" s="43">
        <f>VLOOKUP(A283,'Data yoy'!$B:$AW,MATCH($B$1,'Data yoy'!$B$1:$AW$1,0),FALSE)</f>
        <v/>
      </c>
      <c r="C283" s="43">
        <f>Table13456789101112131415161734[[#This Row],[JPN]]-B282</f>
        <v/>
      </c>
      <c r="D283" s="27" t="n"/>
    </row>
    <row r="284">
      <c r="A284" s="42" t="n">
        <v>43101</v>
      </c>
      <c r="B284" s="43">
        <f>VLOOKUP(A284,'Data yoy'!$B:$AW,MATCH($B$1,'Data yoy'!$B$1:$AW$1,0),FALSE)</f>
        <v/>
      </c>
      <c r="C284" s="43">
        <f>Table13456789101112131415161734[[#This Row],[JPN]]-B283</f>
        <v/>
      </c>
      <c r="D284" s="27" t="n"/>
    </row>
    <row r="285">
      <c r="A285" s="42" t="n">
        <v>43191</v>
      </c>
      <c r="B285" s="43">
        <f>VLOOKUP(A285,'Data yoy'!$B:$AW,MATCH($B$1,'Data yoy'!$B$1:$AW$1,0),FALSE)</f>
        <v/>
      </c>
      <c r="C285" s="43">
        <f>Table13456789101112131415161734[[#This Row],[JPN]]-B284</f>
        <v/>
      </c>
      <c r="D285" s="27" t="n"/>
    </row>
    <row r="286">
      <c r="A286" s="42" t="n">
        <v>43282</v>
      </c>
      <c r="B286" s="43">
        <f>VLOOKUP(A286,'Data yoy'!$B:$AW,MATCH($B$1,'Data yoy'!$B$1:$AW$1,0),FALSE)</f>
        <v/>
      </c>
      <c r="C286" s="43">
        <f>Table13456789101112131415161734[[#This Row],[JPN]]-B285</f>
        <v/>
      </c>
    </row>
    <row r="287">
      <c r="A287" s="42" t="n">
        <v>43374</v>
      </c>
      <c r="B287" s="43">
        <f>VLOOKUP(A287,'Data yoy'!$B:$AW,MATCH($B$1,'Data yoy'!$B$1:$AW$1,0),FALSE)</f>
        <v/>
      </c>
      <c r="C287" s="43">
        <f>Table13456789101112131415161734[[#This Row],[JPN]]-B286</f>
        <v/>
      </c>
    </row>
    <row r="288">
      <c r="A288" s="42" t="n">
        <v>43466</v>
      </c>
      <c r="B288" s="43">
        <f>VLOOKUP(A288,'Data yoy'!$B:$AW,MATCH($B$1,'Data yoy'!$B$1:$AW$1,0),FALSE)</f>
        <v/>
      </c>
      <c r="C288" s="43">
        <f>Table13456789101112131415161734[[#This Row],[JPN]]-B287</f>
        <v/>
      </c>
    </row>
    <row r="289">
      <c r="A289" s="42" t="n">
        <v>43556</v>
      </c>
      <c r="B289" s="43">
        <f>VLOOKUP(A289,'Data yoy'!$B:$AW,MATCH($B$1,'Data yoy'!$B$1:$AW$1,0),FALSE)</f>
        <v/>
      </c>
      <c r="C289" s="43">
        <f>Table13456789101112131415161734[[#This Row],[JPN]]-B288</f>
        <v/>
      </c>
    </row>
    <row r="290">
      <c r="A290" s="42" t="n">
        <v>43647</v>
      </c>
      <c r="B290" s="43">
        <f>VLOOKUP(A290,'Data yoy'!$B:$AW,MATCH($B$1,'Data yoy'!$B$1:$AW$1,0),FALSE)</f>
        <v/>
      </c>
      <c r="C290" s="43">
        <f>Table13456789101112131415161734[[#This Row],[JPN]]-B289</f>
        <v/>
      </c>
    </row>
    <row r="291" customFormat="1" s="74">
      <c r="A291" s="42" t="n">
        <v>43739</v>
      </c>
      <c r="B291" s="43">
        <f>VLOOKUP(A291,'Data yoy'!$B:$AW,MATCH($B$1,'Data yoy'!$B$1:$AW$1,0),FALSE)</f>
        <v/>
      </c>
      <c r="C291" s="43">
        <f>Table13456789101112131415161734[[#This Row],[JPN]]-B290</f>
        <v/>
      </c>
      <c r="D291" s="48" t="n"/>
    </row>
    <row r="292" customFormat="1" s="74">
      <c r="A292" s="42" t="n">
        <v>43831</v>
      </c>
      <c r="B292" s="43">
        <f>VLOOKUP(A292,'Data yoy'!$B:$AW,MATCH($B$1,'Data yoy'!$B$1:$AW$1,0),FALSE)</f>
        <v/>
      </c>
      <c r="C292" s="43">
        <f>Table13456789101112131415161734[[#This Row],[JPN]]-B291</f>
        <v/>
      </c>
      <c r="D292" s="48" t="n"/>
    </row>
    <row r="293" customFormat="1" s="74">
      <c r="A293" s="42" t="n">
        <v>43922</v>
      </c>
      <c r="B293" s="43">
        <f>VLOOKUP(A293,'Data yoy'!$B:$AW,MATCH($B$1,'Data yoy'!$B$1:$AW$1,0),FALSE)</f>
        <v/>
      </c>
      <c r="C293" s="43">
        <f>Table13456789101112131415161734[[#This Row],[JPN]]-B292</f>
        <v/>
      </c>
      <c r="D293" s="48" t="n"/>
    </row>
    <row r="294" customFormat="1" s="74">
      <c r="A294" s="42" t="n">
        <v>44013</v>
      </c>
      <c r="B294" s="43">
        <f>VLOOKUP(A294,'Data yoy'!$B:$AW,MATCH($B$1,'Data yoy'!$B$1:$AW$1,0),FALSE)</f>
        <v/>
      </c>
      <c r="C294" s="43">
        <f>Table13456789101112131415161734[[#This Row],[JPN]]-B293</f>
        <v/>
      </c>
      <c r="D294" s="48" t="n"/>
    </row>
    <row r="295" customFormat="1" s="74">
      <c r="A295" s="42" t="n">
        <v>44105</v>
      </c>
      <c r="B295" s="43">
        <f>VLOOKUP(A295,'Data yoy'!$B:$AW,MATCH($B$1,'Data yoy'!$B$1:$AW$1,0),FALSE)</f>
        <v/>
      </c>
      <c r="C295" s="43">
        <f>Table13456789101112131415161734[[#This Row],[JPN]]-B294</f>
        <v/>
      </c>
      <c r="D295" s="48" t="n"/>
    </row>
    <row r="296" customFormat="1" s="74">
      <c r="A296" s="42" t="n">
        <v>44197</v>
      </c>
      <c r="B296" s="43">
        <f>VLOOKUP(A296,'Data yoy'!$B:$AW,MATCH($B$1,'Data yoy'!$B$1:$AW$1,0),FALSE)</f>
        <v/>
      </c>
      <c r="C296" s="43">
        <f>Table13456789101112131415161734[[#This Row],[JPN]]-B295</f>
        <v/>
      </c>
      <c r="D296" s="48" t="n"/>
    </row>
    <row r="297" customFormat="1" s="74">
      <c r="A297" s="42" t="n">
        <v>44287</v>
      </c>
      <c r="B297" s="43">
        <f>VLOOKUP(A297,'Data yoy'!$B:$AW,MATCH($B$1,'Data yoy'!$B$1:$AW$1,0),FALSE)</f>
        <v/>
      </c>
      <c r="C297" s="43">
        <f>Table13456789101112131415161734[[#This Row],[JPN]]-B296</f>
        <v/>
      </c>
      <c r="D297" s="48" t="n"/>
    </row>
    <row r="298" customFormat="1" s="74">
      <c r="A298" s="42" t="n">
        <v>44378</v>
      </c>
      <c r="B298" s="43">
        <f>VLOOKUP(A298,'Data yoy'!$B:$AW,MATCH($B$1,'Data yoy'!$B$1:$AW$1,0),FALSE)</f>
        <v/>
      </c>
      <c r="C298" s="43">
        <f>Table13456789101112131415161734[[#This Row],[JPN]]-B297</f>
        <v/>
      </c>
      <c r="D298" s="48" t="n"/>
    </row>
    <row r="299" customFormat="1" s="74">
      <c r="A299" s="42" t="n">
        <v>44470</v>
      </c>
      <c r="B299" s="43">
        <f>VLOOKUP(A299,'Data yoy'!$B:$AW,MATCH($B$1,'Data yoy'!$B$1:$AW$1,0),FALSE)</f>
        <v/>
      </c>
      <c r="C299" s="43">
        <f>Table13456789101112131415161734[[#This Row],[JPN]]-B298</f>
        <v/>
      </c>
      <c r="D299" s="48" t="n"/>
    </row>
    <row r="300" customFormat="1" s="74">
      <c r="A300" s="42" t="n">
        <v>44562</v>
      </c>
      <c r="B300" s="43">
        <f>VLOOKUP(A300,'Data yoy'!$B:$AW,MATCH($B$1,'Data yoy'!$B$1:$AW$1,0),FALSE)</f>
        <v/>
      </c>
      <c r="C300" s="43">
        <f>Table13456789101112131415161734[[#This Row],[JPN]]-B299</f>
        <v/>
      </c>
      <c r="D300" s="48" t="n"/>
    </row>
    <row r="301" customFormat="1" s="74">
      <c r="A301" s="42" t="n">
        <v>44652</v>
      </c>
      <c r="B301" s="43">
        <f>VLOOKUP(A301,'Data yoy'!$B:$AW,MATCH($B$1,'Data yoy'!$B$1:$AW$1,0),FALSE)</f>
        <v/>
      </c>
      <c r="C301" s="43">
        <f>Table13456789101112131415161734[[#This Row],[JPN]]-B300</f>
        <v/>
      </c>
      <c r="D301" s="48" t="n"/>
    </row>
    <row r="302" customFormat="1" s="74">
      <c r="A302" s="42" t="n">
        <v>44743</v>
      </c>
      <c r="B302" s="43">
        <f>VLOOKUP(A302,'Data yoy'!$B:$AW,MATCH($B$1,'Data yoy'!$B$1:$AW$1,0),FALSE)</f>
        <v/>
      </c>
      <c r="C302" s="43">
        <f>Table13456789101112131415161734[[#This Row],[JPN]]-B301</f>
        <v/>
      </c>
      <c r="D302" s="48" t="n"/>
    </row>
    <row r="303" customFormat="1" s="74">
      <c r="A303" s="42" t="n">
        <v>44835</v>
      </c>
      <c r="B303" s="43">
        <f>VLOOKUP(A303,'Data yoy'!$B:$AW,MATCH($B$1,'Data yoy'!$B$1:$AW$1,0),FALSE)</f>
        <v/>
      </c>
      <c r="C303" s="43">
        <f>Table13456789101112131415161734[[#This Row],[JPN]]-B302</f>
        <v/>
      </c>
      <c r="D303" s="48" t="n"/>
    </row>
    <row r="304" customFormat="1" s="74">
      <c r="A304" s="42" t="n">
        <v>44927</v>
      </c>
      <c r="B304" s="43">
        <f>VLOOKUP(A304,'Data yoy'!$B:$AW,MATCH($B$1,'Data yoy'!$B$1:$AW$1,0),FALSE)</f>
        <v/>
      </c>
      <c r="C304" s="43">
        <f>Table13456789101112131415161734[[#This Row],[JPN]]-B303</f>
        <v/>
      </c>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J435"/>
  <sheetViews>
    <sheetView tabSelected="1" zoomScale="130" zoomScaleNormal="130" workbookViewId="0">
      <pane ySplit="1" topLeftCell="A285" activePane="bottomLeft" state="frozen"/>
      <selection activeCell="T15" sqref="T15"/>
      <selection pane="bottomLeft" activeCell="T15" sqref="T15"/>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4"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row>
    <row r="2">
      <c r="A2" s="42" t="n">
        <v>17349</v>
      </c>
      <c r="B2" s="43">
        <f>VLOOKUP(A2,'Data qoq'!$B:$AT,MATCH($B$1,'Data qoq'!$B$1:$AT$1,0),FALSE)</f>
        <v/>
      </c>
      <c r="C2" s="44" t="n"/>
      <c r="D2" s="54">
        <f>(Table134567891011121314151617343[[#This Row],[USA]]/100 +1)^4-1</f>
        <v/>
      </c>
      <c r="E2" s="46" t="n"/>
      <c r="F2" s="46" t="n"/>
      <c r="G2" s="48" t="inlineStr">
        <is>
          <t>ARG</t>
        </is>
      </c>
      <c r="H2" s="46" t="n"/>
      <c r="J2" s="74">
        <f>B1&amp;" GDP % qoq annualized"</f>
        <v/>
      </c>
    </row>
    <row r="3">
      <c r="A3" s="42" t="n">
        <v>17441</v>
      </c>
      <c r="B3" s="43">
        <f>VLOOKUP(A3,'Data qoq'!$B:$AT,MATCH($B$1,'Data qoq'!$B$1:$AT$1,0),FALSE)</f>
        <v/>
      </c>
      <c r="C3" s="43">
        <f>Table134567891011121314151617343[[#This Row],[USA]]-B2</f>
        <v/>
      </c>
      <c r="D3" s="54">
        <f>(Table134567891011121314151617343[[#This Row],[USA]]/100 +1)^4-1</f>
        <v/>
      </c>
      <c r="E3" s="46" t="n"/>
      <c r="F3" s="46" t="n"/>
      <c r="G3" s="48" t="inlineStr">
        <is>
          <t>AUS</t>
        </is>
      </c>
      <c r="H3" s="46" t="n"/>
    </row>
    <row r="4">
      <c r="A4" s="42" t="n">
        <v>17533</v>
      </c>
      <c r="B4" s="43">
        <f>VLOOKUP(A4,'Data qoq'!$B:$AT,MATCH($B$1,'Data qoq'!$B$1:$AT$1,0),FALSE)</f>
        <v/>
      </c>
      <c r="C4" s="43">
        <f>Table134567891011121314151617343[[#This Row],[USA]]-B3</f>
        <v/>
      </c>
      <c r="D4" s="54">
        <f>(Table134567891011121314151617343[[#This Row],[USA]]/100 +1)^4-1</f>
        <v/>
      </c>
      <c r="E4" s="46" t="n"/>
      <c r="F4" s="46" t="n"/>
      <c r="G4" s="48" t="inlineStr">
        <is>
          <t>AUT</t>
        </is>
      </c>
      <c r="H4" s="46" t="n"/>
    </row>
    <row r="5">
      <c r="A5" s="42" t="n">
        <v>17624</v>
      </c>
      <c r="B5" s="43">
        <f>VLOOKUP(A5,'Data qoq'!$B:$AT,MATCH($B$1,'Data qoq'!$B$1:$AT$1,0),FALSE)</f>
        <v/>
      </c>
      <c r="C5" s="43">
        <f>Table134567891011121314151617343[[#This Row],[USA]]-B4</f>
        <v/>
      </c>
      <c r="D5" s="54">
        <f>(Table134567891011121314151617343[[#This Row],[USA]]/100 +1)^4-1</f>
        <v/>
      </c>
      <c r="E5" s="46" t="n"/>
      <c r="F5" s="46" t="n"/>
      <c r="G5" s="48" t="inlineStr">
        <is>
          <t>BEL</t>
        </is>
      </c>
      <c r="H5" s="46" t="n"/>
    </row>
    <row r="6">
      <c r="A6" s="42" t="n">
        <v>17715</v>
      </c>
      <c r="B6" s="43">
        <f>VLOOKUP(A6,'Data qoq'!$B:$AT,MATCH($B$1,'Data qoq'!$B$1:$AT$1,0),FALSE)</f>
        <v/>
      </c>
      <c r="C6" s="43">
        <f>Table134567891011121314151617343[[#This Row],[USA]]-B5</f>
        <v/>
      </c>
      <c r="D6" s="54">
        <f>(Table134567891011121314151617343[[#This Row],[USA]]/100 +1)^4-1</f>
        <v/>
      </c>
      <c r="E6" s="46" t="n"/>
      <c r="F6" s="46" t="n"/>
      <c r="G6" s="48" t="inlineStr">
        <is>
          <t>BRA</t>
        </is>
      </c>
      <c r="H6" s="46" t="n"/>
    </row>
    <row r="7">
      <c r="A7" s="42" t="n">
        <v>17807</v>
      </c>
      <c r="B7" s="43">
        <f>VLOOKUP(A7,'Data qoq'!$B:$AT,MATCH($B$1,'Data qoq'!$B$1:$AT$1,0),FALSE)</f>
        <v/>
      </c>
      <c r="C7" s="43">
        <f>Table134567891011121314151617343[[#This Row],[USA]]-B6</f>
        <v/>
      </c>
      <c r="D7" s="54">
        <f>(Table134567891011121314151617343[[#This Row],[USA]]/100 +1)^4-1</f>
        <v/>
      </c>
      <c r="E7" s="46" t="n"/>
      <c r="F7" s="46" t="n"/>
      <c r="G7" s="48" t="inlineStr">
        <is>
          <t>CAN</t>
        </is>
      </c>
      <c r="H7" s="46" t="n"/>
    </row>
    <row r="8">
      <c r="A8" s="42" t="n">
        <v>17899</v>
      </c>
      <c r="B8" s="43">
        <f>VLOOKUP(A8,'Data qoq'!$B:$AT,MATCH($B$1,'Data qoq'!$B$1:$AT$1,0),FALSE)</f>
        <v/>
      </c>
      <c r="C8" s="43">
        <f>Table134567891011121314151617343[[#This Row],[USA]]-B7</f>
        <v/>
      </c>
      <c r="D8" s="54">
        <f>(Table134567891011121314151617343[[#This Row],[USA]]/100 +1)^4-1</f>
        <v/>
      </c>
      <c r="E8" s="46" t="n"/>
      <c r="F8" s="46" t="n"/>
      <c r="G8" s="48" t="inlineStr">
        <is>
          <t>CHE</t>
        </is>
      </c>
      <c r="H8" s="46" t="n"/>
    </row>
    <row r="9">
      <c r="A9" s="42" t="n">
        <v>17989</v>
      </c>
      <c r="B9" s="43">
        <f>VLOOKUP(A9,'Data qoq'!$B:$AT,MATCH($B$1,'Data qoq'!$B$1:$AT$1,0),FALSE)</f>
        <v/>
      </c>
      <c r="C9" s="43">
        <f>Table134567891011121314151617343[[#This Row],[USA]]-B8</f>
        <v/>
      </c>
      <c r="D9" s="54">
        <f>(Table134567891011121314151617343[[#This Row],[USA]]/100 +1)^4-1</f>
        <v/>
      </c>
      <c r="E9" s="46" t="n"/>
      <c r="F9" s="46" t="n"/>
      <c r="G9" s="48" t="inlineStr">
        <is>
          <t>CHL</t>
        </is>
      </c>
      <c r="H9" s="46" t="n"/>
    </row>
    <row r="10">
      <c r="A10" s="42" t="n">
        <v>18080</v>
      </c>
      <c r="B10" s="43">
        <f>VLOOKUP(A10,'Data qoq'!$B:$AT,MATCH($B$1,'Data qoq'!$B$1:$AT$1,0),FALSE)</f>
        <v/>
      </c>
      <c r="C10" s="43">
        <f>Table134567891011121314151617343[[#This Row],[USA]]-B9</f>
        <v/>
      </c>
      <c r="D10" s="54">
        <f>(Table134567891011121314151617343[[#This Row],[USA]]/100 +1)^4-1</f>
        <v/>
      </c>
      <c r="E10" s="46" t="n"/>
      <c r="F10" s="46" t="n"/>
      <c r="G10" s="48" t="inlineStr">
        <is>
          <t>CHN</t>
        </is>
      </c>
      <c r="H10" s="46" t="n"/>
    </row>
    <row r="11">
      <c r="A11" s="42" t="n">
        <v>18172</v>
      </c>
      <c r="B11" s="43">
        <f>VLOOKUP(A11,'Data qoq'!$B:$AT,MATCH($B$1,'Data qoq'!$B$1:$AT$1,0),FALSE)</f>
        <v/>
      </c>
      <c r="C11" s="43">
        <f>Table134567891011121314151617343[[#This Row],[USA]]-B10</f>
        <v/>
      </c>
      <c r="D11" s="54">
        <f>(Table134567891011121314151617343[[#This Row],[USA]]/100 +1)^4-1</f>
        <v/>
      </c>
      <c r="E11" s="46" t="n"/>
      <c r="F11" s="46" t="n"/>
      <c r="G11" s="48" t="inlineStr">
        <is>
          <t>CZE</t>
        </is>
      </c>
      <c r="H11" s="46" t="n"/>
    </row>
    <row r="12">
      <c r="A12" s="42" t="n">
        <v>18264</v>
      </c>
      <c r="B12" s="43">
        <f>VLOOKUP(A12,'Data qoq'!$B:$AT,MATCH($B$1,'Data qoq'!$B$1:$AT$1,0),FALSE)</f>
        <v/>
      </c>
      <c r="C12" s="43">
        <f>Table134567891011121314151617343[[#This Row],[USA]]-B11</f>
        <v/>
      </c>
      <c r="D12" s="55">
        <f>(Table134567891011121314151617343[[#This Row],[USA]]/100 +1)^4-1</f>
        <v/>
      </c>
      <c r="G12" s="74" t="inlineStr">
        <is>
          <t>DEU</t>
        </is>
      </c>
    </row>
    <row r="13">
      <c r="A13" s="42" t="n">
        <v>18354</v>
      </c>
      <c r="B13" s="43">
        <f>VLOOKUP(A13,'Data qoq'!$B:$AT,MATCH($B$1,'Data qoq'!$B$1:$AT$1,0),FALSE)</f>
        <v/>
      </c>
      <c r="C13" s="43">
        <f>Table134567891011121314151617343[[#This Row],[USA]]-B12</f>
        <v/>
      </c>
      <c r="D13" s="55">
        <f>(Table134567891011121314151617343[[#This Row],[USA]]/100 +1)^4-1</f>
        <v/>
      </c>
      <c r="G13" s="74" t="inlineStr">
        <is>
          <t>DNK</t>
        </is>
      </c>
    </row>
    <row r="14">
      <c r="A14" s="42" t="n">
        <v>18445</v>
      </c>
      <c r="B14" s="43">
        <f>VLOOKUP(A14,'Data qoq'!$B:$AT,MATCH($B$1,'Data qoq'!$B$1:$AT$1,0),FALSE)</f>
        <v/>
      </c>
      <c r="C14" s="43">
        <f>Table134567891011121314151617343[[#This Row],[USA]]-B13</f>
        <v/>
      </c>
      <c r="D14" s="55">
        <f>(Table134567891011121314151617343[[#This Row],[USA]]/100 +1)^4-1</f>
        <v/>
      </c>
      <c r="G14" s="74" t="inlineStr">
        <is>
          <t>EA19</t>
        </is>
      </c>
    </row>
    <row r="15">
      <c r="A15" s="42" t="n">
        <v>18537</v>
      </c>
      <c r="B15" s="43">
        <f>VLOOKUP(A15,'Data qoq'!$B:$AT,MATCH($B$1,'Data qoq'!$B$1:$AT$1,0),FALSE)</f>
        <v/>
      </c>
      <c r="C15" s="43">
        <f>Table134567891011121314151617343[[#This Row],[USA]]-B14</f>
        <v/>
      </c>
      <c r="D15" s="55">
        <f>(Table134567891011121314151617343[[#This Row],[USA]]/100 +1)^4-1</f>
        <v/>
      </c>
      <c r="G15" s="74" t="inlineStr">
        <is>
          <t>ESP</t>
        </is>
      </c>
    </row>
    <row r="16">
      <c r="A16" s="42" t="n">
        <v>18629</v>
      </c>
      <c r="B16" s="43">
        <f>VLOOKUP(A16,'Data qoq'!$B:$AT,MATCH($B$1,'Data qoq'!$B$1:$AT$1,0),FALSE)</f>
        <v/>
      </c>
      <c r="C16" s="43">
        <f>Table134567891011121314151617343[[#This Row],[USA]]-B15</f>
        <v/>
      </c>
      <c r="D16" s="55">
        <f>(Table134567891011121314151617343[[#This Row],[USA]]/100 +1)^4-1</f>
        <v/>
      </c>
      <c r="G16" s="74" t="inlineStr">
        <is>
          <t>EST</t>
        </is>
      </c>
    </row>
    <row r="17">
      <c r="A17" s="42" t="n">
        <v>18719</v>
      </c>
      <c r="B17" s="43">
        <f>VLOOKUP(A17,'Data qoq'!$B:$AT,MATCH($B$1,'Data qoq'!$B$1:$AT$1,0),FALSE)</f>
        <v/>
      </c>
      <c r="C17" s="43">
        <f>Table134567891011121314151617343[[#This Row],[USA]]-B16</f>
        <v/>
      </c>
      <c r="D17" s="55">
        <f>(Table134567891011121314151617343[[#This Row],[USA]]/100 +1)^4-1</f>
        <v/>
      </c>
      <c r="G17" s="74" t="inlineStr">
        <is>
          <t>EU27_2020</t>
        </is>
      </c>
    </row>
    <row r="18">
      <c r="A18" s="42" t="n">
        <v>18810</v>
      </c>
      <c r="B18" s="43">
        <f>VLOOKUP(A18,'Data qoq'!$B:$AT,MATCH($B$1,'Data qoq'!$B$1:$AT$1,0),FALSE)</f>
        <v/>
      </c>
      <c r="C18" s="43">
        <f>Table134567891011121314151617343[[#This Row],[USA]]-B17</f>
        <v/>
      </c>
      <c r="D18" s="55">
        <f>(Table134567891011121314151617343[[#This Row],[USA]]/100 +1)^4-1</f>
        <v/>
      </c>
      <c r="G18" s="74" t="inlineStr">
        <is>
          <t>EU28</t>
        </is>
      </c>
    </row>
    <row r="19">
      <c r="A19" s="42" t="n">
        <v>18902</v>
      </c>
      <c r="B19" s="43">
        <f>VLOOKUP(A19,'Data qoq'!$B:$AT,MATCH($B$1,'Data qoq'!$B$1:$AT$1,0),FALSE)</f>
        <v/>
      </c>
      <c r="C19" s="43">
        <f>Table134567891011121314151617343[[#This Row],[USA]]-B18</f>
        <v/>
      </c>
      <c r="D19" s="55">
        <f>(Table134567891011121314151617343[[#This Row],[USA]]/100 +1)^4-1</f>
        <v/>
      </c>
      <c r="G19" s="74" t="inlineStr">
        <is>
          <t>FIN</t>
        </is>
      </c>
    </row>
    <row r="20">
      <c r="A20" s="42" t="n">
        <v>18994</v>
      </c>
      <c r="B20" s="43">
        <f>VLOOKUP(A20,'Data qoq'!$B:$AT,MATCH($B$1,'Data qoq'!$B$1:$AT$1,0),FALSE)</f>
        <v/>
      </c>
      <c r="C20" s="43">
        <f>Table134567891011121314151617343[[#This Row],[USA]]-B19</f>
        <v/>
      </c>
      <c r="D20" s="55">
        <f>(Table134567891011121314151617343[[#This Row],[USA]]/100 +1)^4-1</f>
        <v/>
      </c>
      <c r="G20" s="74" t="inlineStr">
        <is>
          <t>FRA</t>
        </is>
      </c>
    </row>
    <row r="21">
      <c r="A21" s="42" t="n">
        <v>19085</v>
      </c>
      <c r="B21" s="43">
        <f>VLOOKUP(A21,'Data qoq'!$B:$AT,MATCH($B$1,'Data qoq'!$B$1:$AT$1,0),FALSE)</f>
        <v/>
      </c>
      <c r="C21" s="43">
        <f>Table134567891011121314151617343[[#This Row],[USA]]-B20</f>
        <v/>
      </c>
      <c r="D21" s="55">
        <f>(Table134567891011121314151617343[[#This Row],[USA]]/100 +1)^4-1</f>
        <v/>
      </c>
      <c r="G21" s="74" t="inlineStr">
        <is>
          <t>G-7</t>
        </is>
      </c>
    </row>
    <row r="22">
      <c r="A22" s="42" t="n">
        <v>19176</v>
      </c>
      <c r="B22" s="43">
        <f>VLOOKUP(A22,'Data qoq'!$B:$AT,MATCH($B$1,'Data qoq'!$B$1:$AT$1,0),FALSE)</f>
        <v/>
      </c>
      <c r="C22" s="43">
        <f>Table134567891011121314151617343[[#This Row],[USA]]-B21</f>
        <v/>
      </c>
      <c r="D22" s="55">
        <f>(Table134567891011121314151617343[[#This Row],[USA]]/100 +1)^4-1</f>
        <v/>
      </c>
      <c r="G22" s="74" t="inlineStr">
        <is>
          <t>G7</t>
        </is>
      </c>
    </row>
    <row r="23">
      <c r="A23" s="42" t="n">
        <v>19268</v>
      </c>
      <c r="B23" s="43">
        <f>VLOOKUP(A23,'Data qoq'!$B:$AT,MATCH($B$1,'Data qoq'!$B$1:$AT$1,0),FALSE)</f>
        <v/>
      </c>
      <c r="C23" s="43">
        <f>Table134567891011121314151617343[[#This Row],[USA]]-B22</f>
        <v/>
      </c>
      <c r="D23" s="55">
        <f>(Table134567891011121314151617343[[#This Row],[USA]]/100 +1)^4-1</f>
        <v/>
      </c>
      <c r="G23" s="74" t="inlineStr">
        <is>
          <t>GBR</t>
        </is>
      </c>
    </row>
    <row r="24">
      <c r="A24" s="42" t="n">
        <v>19360</v>
      </c>
      <c r="B24" s="43">
        <f>VLOOKUP(A24,'Data qoq'!$B:$AT,MATCH($B$1,'Data qoq'!$B$1:$AT$1,0),FALSE)</f>
        <v/>
      </c>
      <c r="C24" s="43">
        <f>Table134567891011121314151617343[[#This Row],[USA]]-B23</f>
        <v/>
      </c>
      <c r="D24" s="55">
        <f>(Table134567891011121314151617343[[#This Row],[USA]]/100 +1)^4-1</f>
        <v/>
      </c>
      <c r="G24" s="74" t="inlineStr">
        <is>
          <t>GRC</t>
        </is>
      </c>
    </row>
    <row r="25">
      <c r="A25" s="42" t="n">
        <v>19450</v>
      </c>
      <c r="B25" s="43">
        <f>VLOOKUP(A25,'Data qoq'!$B:$AT,MATCH($B$1,'Data qoq'!$B$1:$AT$1,0),FALSE)</f>
        <v/>
      </c>
      <c r="C25" s="43">
        <f>Table134567891011121314151617343[[#This Row],[USA]]-B24</f>
        <v/>
      </c>
      <c r="D25" s="55">
        <f>(Table134567891011121314151617343[[#This Row],[USA]]/100 +1)^4-1</f>
        <v/>
      </c>
      <c r="G25" s="74" t="inlineStr">
        <is>
          <t>HUN</t>
        </is>
      </c>
    </row>
    <row r="26">
      <c r="A26" s="42" t="n">
        <v>19541</v>
      </c>
      <c r="B26" s="43">
        <f>VLOOKUP(A26,'Data qoq'!$B:$AT,MATCH($B$1,'Data qoq'!$B$1:$AT$1,0),FALSE)</f>
        <v/>
      </c>
      <c r="C26" s="43">
        <f>Table134567891011121314151617343[[#This Row],[USA]]-B25</f>
        <v/>
      </c>
      <c r="D26" s="55">
        <f>(Table134567891011121314151617343[[#This Row],[USA]]/100 +1)^4-1</f>
        <v/>
      </c>
      <c r="G26" s="74" t="inlineStr">
        <is>
          <t>IND</t>
        </is>
      </c>
    </row>
    <row r="27">
      <c r="A27" s="42" t="n">
        <v>19633</v>
      </c>
      <c r="B27" s="43">
        <f>VLOOKUP(A27,'Data qoq'!$B:$AT,MATCH($B$1,'Data qoq'!$B$1:$AT$1,0),FALSE)</f>
        <v/>
      </c>
      <c r="C27" s="43">
        <f>Table134567891011121314151617343[[#This Row],[USA]]-B26</f>
        <v/>
      </c>
      <c r="D27" s="55">
        <f>(Table134567891011121314151617343[[#This Row],[USA]]/100 +1)^4-1</f>
        <v/>
      </c>
      <c r="G27" s="74" t="inlineStr">
        <is>
          <t>IRL</t>
        </is>
      </c>
    </row>
    <row r="28">
      <c r="A28" s="42" t="n">
        <v>19725</v>
      </c>
      <c r="B28" s="43">
        <f>VLOOKUP(A28,'Data qoq'!$B:$AT,MATCH($B$1,'Data qoq'!$B$1:$AT$1,0),FALSE)</f>
        <v/>
      </c>
      <c r="C28" s="43">
        <f>Table134567891011121314151617343[[#This Row],[USA]]-B27</f>
        <v/>
      </c>
      <c r="D28" s="55">
        <f>(Table134567891011121314151617343[[#This Row],[USA]]/100 +1)^4-1</f>
        <v/>
      </c>
      <c r="G28" s="74" t="inlineStr">
        <is>
          <t>ISL</t>
        </is>
      </c>
    </row>
    <row r="29">
      <c r="A29" s="42" t="n">
        <v>19815</v>
      </c>
      <c r="B29" s="43">
        <f>VLOOKUP(A29,'Data qoq'!$B:$AT,MATCH($B$1,'Data qoq'!$B$1:$AT$1,0),FALSE)</f>
        <v/>
      </c>
      <c r="C29" s="43">
        <f>Table134567891011121314151617343[[#This Row],[USA]]-B28</f>
        <v/>
      </c>
      <c r="D29" s="55">
        <f>(Table134567891011121314151617343[[#This Row],[USA]]/100 +1)^4-1</f>
        <v/>
      </c>
      <c r="G29" s="74" t="inlineStr">
        <is>
          <t>ISR</t>
        </is>
      </c>
    </row>
    <row r="30">
      <c r="A30" s="42" t="n">
        <v>19906</v>
      </c>
      <c r="B30" s="43">
        <f>VLOOKUP(A30,'Data qoq'!$B:$AT,MATCH($B$1,'Data qoq'!$B$1:$AT$1,0),FALSE)</f>
        <v/>
      </c>
      <c r="C30" s="43">
        <f>Table134567891011121314151617343[[#This Row],[USA]]-B29</f>
        <v/>
      </c>
      <c r="D30" s="55">
        <f>(Table134567891011121314151617343[[#This Row],[USA]]/100 +1)^4-1</f>
        <v/>
      </c>
      <c r="G30" s="74" t="inlineStr">
        <is>
          <t>ITA</t>
        </is>
      </c>
    </row>
    <row r="31">
      <c r="A31" s="42" t="n">
        <v>19998</v>
      </c>
      <c r="B31" s="43">
        <f>VLOOKUP(A31,'Data qoq'!$B:$AT,MATCH($B$1,'Data qoq'!$B$1:$AT$1,0),FALSE)</f>
        <v/>
      </c>
      <c r="C31" s="43">
        <f>Table134567891011121314151617343[[#This Row],[USA]]-B30</f>
        <v/>
      </c>
      <c r="D31" s="55">
        <f>(Table134567891011121314151617343[[#This Row],[USA]]/100 +1)^4-1</f>
        <v/>
      </c>
      <c r="G31" s="74" t="inlineStr">
        <is>
          <t>JPN</t>
        </is>
      </c>
    </row>
    <row r="32">
      <c r="A32" s="42" t="n">
        <v>20090</v>
      </c>
      <c r="B32" s="43">
        <f>VLOOKUP(A32,'Data qoq'!$B:$AT,MATCH($B$1,'Data qoq'!$B$1:$AT$1,0),FALSE)</f>
        <v/>
      </c>
      <c r="C32" s="43">
        <f>Table134567891011121314151617343[[#This Row],[USA]]-B31</f>
        <v/>
      </c>
      <c r="D32" s="55">
        <f>(Table134567891011121314151617343[[#This Row],[USA]]/100 +1)^4-1</f>
        <v/>
      </c>
      <c r="G32" s="74" t="inlineStr">
        <is>
          <t>KOR</t>
        </is>
      </c>
    </row>
    <row r="33">
      <c r="A33" s="42" t="n">
        <v>20180</v>
      </c>
      <c r="B33" s="43">
        <f>VLOOKUP(A33,'Data qoq'!$B:$AT,MATCH($B$1,'Data qoq'!$B$1:$AT$1,0),FALSE)</f>
        <v/>
      </c>
      <c r="C33" s="43">
        <f>Table134567891011121314151617343[[#This Row],[USA]]-B32</f>
        <v/>
      </c>
      <c r="D33" s="55">
        <f>(Table134567891011121314151617343[[#This Row],[USA]]/100 +1)^4-1</f>
        <v/>
      </c>
      <c r="G33" s="74" t="inlineStr">
        <is>
          <t>LUX</t>
        </is>
      </c>
    </row>
    <row r="34">
      <c r="A34" s="42" t="n">
        <v>20271</v>
      </c>
      <c r="B34" s="43">
        <f>VLOOKUP(A34,'Data qoq'!$B:$AT,MATCH($B$1,'Data qoq'!$B$1:$AT$1,0),FALSE)</f>
        <v/>
      </c>
      <c r="C34" s="43">
        <f>Table134567891011121314151617343[[#This Row],[USA]]-B33</f>
        <v/>
      </c>
      <c r="D34" s="55">
        <f>(Table134567891011121314151617343[[#This Row],[USA]]/100 +1)^4-1</f>
        <v/>
      </c>
      <c r="G34" s="74" t="inlineStr">
        <is>
          <t>LVA</t>
        </is>
      </c>
    </row>
    <row r="35">
      <c r="A35" s="42" t="n">
        <v>20363</v>
      </c>
      <c r="B35" s="43">
        <f>VLOOKUP(A35,'Data qoq'!$B:$AT,MATCH($B$1,'Data qoq'!$B$1:$AT$1,0),FALSE)</f>
        <v/>
      </c>
      <c r="C35" s="43">
        <f>Table134567891011121314151617343[[#This Row],[USA]]-B34</f>
        <v/>
      </c>
      <c r="D35" s="55">
        <f>(Table134567891011121314151617343[[#This Row],[USA]]/100 +1)^4-1</f>
        <v/>
      </c>
      <c r="G35" s="74" t="inlineStr">
        <is>
          <t>MEX</t>
        </is>
      </c>
    </row>
    <row r="36">
      <c r="A36" s="42" t="n">
        <v>20455</v>
      </c>
      <c r="B36" s="43">
        <f>VLOOKUP(A36,'Data qoq'!$B:$AT,MATCH($B$1,'Data qoq'!$B$1:$AT$1,0),FALSE)</f>
        <v/>
      </c>
      <c r="C36" s="43">
        <f>Table134567891011121314151617343[[#This Row],[USA]]-B35</f>
        <v/>
      </c>
      <c r="D36" s="55">
        <f>(Table134567891011121314151617343[[#This Row],[USA]]/100 +1)^4-1</f>
        <v/>
      </c>
      <c r="G36" s="74" t="inlineStr">
        <is>
          <t>NLD</t>
        </is>
      </c>
    </row>
    <row r="37">
      <c r="A37" s="42" t="n">
        <v>20546</v>
      </c>
      <c r="B37" s="43">
        <f>VLOOKUP(A37,'Data qoq'!$B:$AT,MATCH($B$1,'Data qoq'!$B$1:$AT$1,0),FALSE)</f>
        <v/>
      </c>
      <c r="C37" s="43">
        <f>Table134567891011121314151617343[[#This Row],[USA]]-B36</f>
        <v/>
      </c>
      <c r="D37" s="55">
        <f>(Table134567891011121314151617343[[#This Row],[USA]]/100 +1)^4-1</f>
        <v/>
      </c>
      <c r="G37" s="74" t="inlineStr">
        <is>
          <t>NOR</t>
        </is>
      </c>
    </row>
    <row r="38">
      <c r="A38" s="42" t="n">
        <v>20637</v>
      </c>
      <c r="B38" s="43">
        <f>VLOOKUP(A38,'Data qoq'!$B:$AT,MATCH($B$1,'Data qoq'!$B$1:$AT$1,0),FALSE)</f>
        <v/>
      </c>
      <c r="C38" s="43">
        <f>Table134567891011121314151617343[[#This Row],[USA]]-B37</f>
        <v/>
      </c>
      <c r="D38" s="55">
        <f>(Table134567891011121314151617343[[#This Row],[USA]]/100 +1)^4-1</f>
        <v/>
      </c>
      <c r="G38" s="74" t="inlineStr">
        <is>
          <t>NZL</t>
        </is>
      </c>
    </row>
    <row r="39">
      <c r="A39" s="42" t="n">
        <v>20729</v>
      </c>
      <c r="B39" s="43">
        <f>VLOOKUP(A39,'Data qoq'!$B:$AT,MATCH($B$1,'Data qoq'!$B$1:$AT$1,0),FALSE)</f>
        <v/>
      </c>
      <c r="C39" s="43">
        <f>Table134567891011121314151617343[[#This Row],[USA]]-B38</f>
        <v/>
      </c>
      <c r="D39" s="55">
        <f>(Table134567891011121314151617343[[#This Row],[USA]]/100 +1)^4-1</f>
        <v/>
      </c>
      <c r="G39" s="74" t="inlineStr">
        <is>
          <t>OECD</t>
        </is>
      </c>
    </row>
    <row r="40">
      <c r="A40" s="42" t="n">
        <v>20821</v>
      </c>
      <c r="B40" s="43">
        <f>VLOOKUP(A40,'Data qoq'!$B:$AT,MATCH($B$1,'Data qoq'!$B$1:$AT$1,0),FALSE)</f>
        <v/>
      </c>
      <c r="C40" s="43">
        <f>Table134567891011121314151617343[[#This Row],[USA]]-B39</f>
        <v/>
      </c>
      <c r="D40" s="55">
        <f>(Table134567891011121314151617343[[#This Row],[USA]]/100 +1)^4-1</f>
        <v/>
      </c>
      <c r="G40" s="74" t="inlineStr">
        <is>
          <t>POL</t>
        </is>
      </c>
    </row>
    <row r="41">
      <c r="A41" s="42" t="n">
        <v>20911</v>
      </c>
      <c r="B41" s="43">
        <f>VLOOKUP(A41,'Data qoq'!$B:$AT,MATCH($B$1,'Data qoq'!$B$1:$AT$1,0),FALSE)</f>
        <v/>
      </c>
      <c r="C41" s="43">
        <f>Table134567891011121314151617343[[#This Row],[USA]]-B40</f>
        <v/>
      </c>
      <c r="D41" s="55">
        <f>(Table134567891011121314151617343[[#This Row],[USA]]/100 +1)^4-1</f>
        <v/>
      </c>
      <c r="G41" s="74" t="inlineStr">
        <is>
          <t>PRT</t>
        </is>
      </c>
    </row>
    <row r="42">
      <c r="A42" s="42" t="n">
        <v>21002</v>
      </c>
      <c r="B42" s="43">
        <f>VLOOKUP(A42,'Data qoq'!$B:$AT,MATCH($B$1,'Data qoq'!$B$1:$AT$1,0),FALSE)</f>
        <v/>
      </c>
      <c r="C42" s="43">
        <f>Table134567891011121314151617343[[#This Row],[USA]]-B41</f>
        <v/>
      </c>
      <c r="D42" s="55">
        <f>(Table134567891011121314151617343[[#This Row],[USA]]/100 +1)^4-1</f>
        <v/>
      </c>
      <c r="G42" s="74" t="inlineStr">
        <is>
          <t>RUS</t>
        </is>
      </c>
    </row>
    <row r="43">
      <c r="A43" s="42" t="n">
        <v>21094</v>
      </c>
      <c r="B43" s="43">
        <f>VLOOKUP(A43,'Data qoq'!$B:$AT,MATCH($B$1,'Data qoq'!$B$1:$AT$1,0),FALSE)</f>
        <v/>
      </c>
      <c r="C43" s="43">
        <f>Table134567891011121314151617343[[#This Row],[USA]]-B42</f>
        <v/>
      </c>
      <c r="D43" s="55">
        <f>(Table134567891011121314151617343[[#This Row],[USA]]/100 +1)^4-1</f>
        <v/>
      </c>
      <c r="G43" s="74" t="inlineStr">
        <is>
          <t>SVK</t>
        </is>
      </c>
    </row>
    <row r="44">
      <c r="A44" s="42" t="n">
        <v>21186</v>
      </c>
      <c r="B44" s="43">
        <f>VLOOKUP(A44,'Data qoq'!$B:$AT,MATCH($B$1,'Data qoq'!$B$1:$AT$1,0),FALSE)</f>
        <v/>
      </c>
      <c r="C44" s="43">
        <f>Table134567891011121314151617343[[#This Row],[USA]]-B43</f>
        <v/>
      </c>
      <c r="D44" s="55">
        <f>(Table134567891011121314151617343[[#This Row],[USA]]/100 +1)^4-1</f>
        <v/>
      </c>
      <c r="G44" s="74" t="inlineStr">
        <is>
          <t>SVN</t>
        </is>
      </c>
    </row>
    <row r="45">
      <c r="A45" s="42" t="n">
        <v>21276</v>
      </c>
      <c r="B45" s="43">
        <f>VLOOKUP(A45,'Data qoq'!$B:$AT,MATCH($B$1,'Data qoq'!$B$1:$AT$1,0),FALSE)</f>
        <v/>
      </c>
      <c r="C45" s="43">
        <f>Table134567891011121314151617343[[#This Row],[USA]]-B44</f>
        <v/>
      </c>
      <c r="D45" s="55">
        <f>(Table134567891011121314151617343[[#This Row],[USA]]/100 +1)^4-1</f>
        <v/>
      </c>
      <c r="G45" s="74" t="inlineStr">
        <is>
          <t>SWE</t>
        </is>
      </c>
    </row>
    <row r="46">
      <c r="A46" s="42" t="n">
        <v>21367</v>
      </c>
      <c r="B46" s="43">
        <f>VLOOKUP(A46,'Data qoq'!$B:$AT,MATCH($B$1,'Data qoq'!$B$1:$AT$1,0),FALSE)</f>
        <v/>
      </c>
      <c r="C46" s="43">
        <f>Table134567891011121314151617343[[#This Row],[USA]]-B45</f>
        <v/>
      </c>
      <c r="D46" s="55">
        <f>(Table134567891011121314151617343[[#This Row],[USA]]/100 +1)^4-1</f>
        <v/>
      </c>
      <c r="G46" s="74" t="inlineStr">
        <is>
          <t>TUR</t>
        </is>
      </c>
    </row>
    <row r="47">
      <c r="A47" s="42" t="n">
        <v>21459</v>
      </c>
      <c r="B47" s="43">
        <f>VLOOKUP(A47,'Data qoq'!$B:$AT,MATCH($B$1,'Data qoq'!$B$1:$AT$1,0),FALSE)</f>
        <v/>
      </c>
      <c r="C47" s="43">
        <f>Table134567891011121314151617343[[#This Row],[USA]]-B46</f>
        <v/>
      </c>
      <c r="D47" s="55">
        <f>(Table134567891011121314151617343[[#This Row],[USA]]/100 +1)^4-1</f>
        <v/>
      </c>
      <c r="G47" s="74" t="inlineStr">
        <is>
          <t>USA</t>
        </is>
      </c>
    </row>
    <row r="48">
      <c r="A48" s="42" t="n">
        <v>21551</v>
      </c>
      <c r="B48" s="43">
        <f>VLOOKUP(A48,'Data qoq'!$B:$AT,MATCH($B$1,'Data qoq'!$B$1:$AT$1,0),FALSE)</f>
        <v/>
      </c>
      <c r="C48" s="43">
        <f>Table134567891011121314151617343[[#This Row],[USA]]-B47</f>
        <v/>
      </c>
      <c r="D48" s="55">
        <f>(Table134567891011121314151617343[[#This Row],[USA]]/100 +1)^4-1</f>
        <v/>
      </c>
      <c r="G48" s="74" t="inlineStr">
        <is>
          <t>ZAF</t>
        </is>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2" t="n">
        <v>44652</v>
      </c>
      <c r="B301" s="43">
        <f>VLOOKUP(A301,'Data qoq'!$B:$AT,MATCH($B$1,'Data qoq'!$B$1:$AT$1,0),FALSE)</f>
        <v/>
      </c>
      <c r="C301" s="43">
        <f>Table134567891011121314151617343[[#This Row],[USA]]-B300</f>
        <v/>
      </c>
      <c r="D301" s="55">
        <f>(Table134567891011121314151617343[[#This Row],[USA]]/100 +1)^4-1</f>
        <v/>
      </c>
    </row>
    <row r="302" customFormat="1" s="74">
      <c r="A302" s="42" t="n">
        <v>44743</v>
      </c>
      <c r="B302" s="43">
        <f>VLOOKUP(A302,'Data qoq'!$B:$AT,MATCH($B$1,'Data qoq'!$B$1:$AT$1,0),FALSE)</f>
        <v/>
      </c>
      <c r="C302" s="43">
        <f>Table134567891011121314151617343[[#This Row],[USA]]-B301</f>
        <v/>
      </c>
      <c r="D302" s="55">
        <f>(Table134567891011121314151617343[[#This Row],[USA]]/100 +1)^4-1</f>
        <v/>
      </c>
    </row>
    <row r="303" customFormat="1" s="74">
      <c r="A303" s="42" t="n">
        <v>44835</v>
      </c>
      <c r="B303" s="43">
        <f>VLOOKUP(A303,'Data qoq'!$B:$AT,MATCH($B$1,'Data qoq'!$B$1:$AT$1,0),FALSE)</f>
        <v/>
      </c>
      <c r="C303" s="43">
        <f>Table134567891011121314151617343[[#This Row],[USA]]-B302</f>
        <v/>
      </c>
      <c r="D303" s="55">
        <f>(Table134567891011121314151617343[[#This Row],[USA]]/100 +1)^4-1</f>
        <v/>
      </c>
    </row>
    <row r="304" customFormat="1" s="74">
      <c r="A304" s="42" t="n">
        <v>44927</v>
      </c>
      <c r="B304" s="43">
        <f>VLOOKUP(A304,'Data qoq'!$B:$AT,MATCH($B$1,'Data qoq'!$B$1:$AT$1,0),FALSE)</f>
        <v/>
      </c>
      <c r="C304" s="43">
        <f>Table134567891011121314151617343[[#This Row],[USA]]-B303</f>
        <v/>
      </c>
      <c r="D304" s="55">
        <f>(Table134567891011121314151617343[[#This Row],[USA]]/100 +1)^4-1</f>
        <v/>
      </c>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2023-03-11T02:07:36Z</dcterms:modified>
  <cp:lastModifiedBy>Mark Mukherjee</cp:lastModifiedBy>
</cp:coreProperties>
</file>