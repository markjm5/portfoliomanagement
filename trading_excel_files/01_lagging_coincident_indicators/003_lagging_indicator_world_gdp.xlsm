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worksheets/sheet8.xml" ContentType="application/vnd.openxmlformats-officedocument.spreadsheetml.worksheet+xml"/>
  <Override PartName="/xl/worksheets/sheet9.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10.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7000" yWindow="580" windowWidth="45400" windowHeight="26500" tabRatio="600" firstSheet="0" activeTab="3" autoFilterDateGrouping="1"/>
  </bookViews>
  <sheets>
    <sheet xmlns:r="http://schemas.openxmlformats.org/officeDocument/2006/relationships" name="Note" sheetId="1" state="visible" r:id="rId1"/>
    <sheet xmlns:r="http://schemas.openxmlformats.org/officeDocument/2006/relationships" name="Data qoq" sheetId="2" state="visible" r:id="rId2"/>
    <sheet xmlns:r="http://schemas.openxmlformats.org/officeDocument/2006/relationships" name="Data yoy" sheetId="3" state="visible" r:id="rId3"/>
    <sheet xmlns:r="http://schemas.openxmlformats.org/officeDocument/2006/relationships" name="Data World GDP" sheetId="4" state="visible" r:id="rId4"/>
    <sheet xmlns:r="http://schemas.openxmlformats.org/officeDocument/2006/relationships" name="Table yoy" sheetId="5" state="visible" r:id="rId5"/>
    <sheet xmlns:r="http://schemas.openxmlformats.org/officeDocument/2006/relationships" name="Table qoq" sheetId="6" state="visible" r:id="rId6"/>
    <sheet xmlns:r="http://schemas.openxmlformats.org/officeDocument/2006/relationships" name="Table qoq annualized" sheetId="7" state="visible" r:id="rId7"/>
    <sheet xmlns:r="http://schemas.openxmlformats.org/officeDocument/2006/relationships" name="World GDP" sheetId="8" state="visible" r:id="rId8"/>
    <sheet xmlns:r="http://schemas.openxmlformats.org/officeDocument/2006/relationships" name="Global View yoy" sheetId="9" state="visible" r:id="rId9"/>
    <sheet xmlns:r="http://schemas.openxmlformats.org/officeDocument/2006/relationships" name="Global View qoq" sheetId="10" state="visible" r:id="rId10"/>
  </sheets>
  <definedNames/>
  <calcPr calcId="191029" fullCalcOnLoad="1"/>
</workbook>
</file>

<file path=xl/styles.xml><?xml version="1.0" encoding="utf-8"?>
<styleSheet xmlns="http://schemas.openxmlformats.org/spreadsheetml/2006/main">
  <numFmts count="3">
    <numFmt numFmtId="164" formatCode="0.0%"/>
    <numFmt numFmtId="165" formatCode="dd\-mm\-yyyy"/>
    <numFmt numFmtId="166" formatCode="dd-mm-YYYY"/>
  </numFmts>
  <fonts count="18">
    <font>
      <name val="Calibri"/>
      <family val="2"/>
      <color theme="1"/>
      <sz val="11"/>
      <scheme val="minor"/>
    </font>
    <font>
      <name val="Calibri"/>
      <family val="2"/>
      <b val="1"/>
      <color theme="1"/>
      <sz val="11"/>
      <scheme val="minor"/>
    </font>
    <font>
      <name val="Calibri"/>
      <family val="2"/>
      <color theme="1"/>
      <sz val="11"/>
      <scheme val="minor"/>
    </font>
    <font>
      <name val="Calibri"/>
      <family val="2"/>
      <b val="1"/>
      <color theme="0"/>
      <sz val="11"/>
      <scheme val="minor"/>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theme="10"/>
      <sz val="11"/>
      <u val="single"/>
      <scheme val="minor"/>
    </font>
    <font>
      <name val="Calibri"/>
      <family val="2"/>
      <color theme="1"/>
      <sz val="10"/>
      <scheme val="minor"/>
    </font>
    <font>
      <name val="Calibri"/>
      <family val="2"/>
      <b val="1"/>
      <color rgb="FF00B0F0"/>
      <sz val="11"/>
      <scheme val="minor"/>
    </font>
    <font>
      <name val="Calibri"/>
      <family val="2"/>
      <color rgb="FF00B0F0"/>
      <sz val="11"/>
      <scheme val="minor"/>
    </font>
    <font>
      <name val="Calibri"/>
      <family val="2"/>
      <b val="1"/>
      <color theme="0" tint="-0.0499893185216834"/>
      <sz val="11"/>
      <scheme val="minor"/>
    </font>
    <font>
      <name val="Arial"/>
      <family val="2"/>
      <color rgb="FF494444"/>
      <sz val="11"/>
    </font>
    <font>
      <name val="Calibri"/>
      <family val="2"/>
      <color rgb="FF494444"/>
      <sz val="11"/>
      <scheme val="minor"/>
    </font>
    <font>
      <name val="Calibri"/>
      <family val="2"/>
      <b val="1"/>
      <color theme="1"/>
      <sz val="12"/>
      <scheme val="minor"/>
    </font>
    <font>
      <name val="Calibri"/>
      <family val="2"/>
      <b val="1"/>
      <color theme="1"/>
      <sz val="12"/>
    </font>
    <font>
      <name val="Calibri"/>
      <family val="2"/>
      <color rgb="FF00B0F0"/>
      <sz val="9"/>
      <scheme val="minor"/>
    </font>
  </fonts>
  <fills count="12">
    <fill>
      <patternFill/>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
        <bgColor indexed="64"/>
      </patternFill>
    </fill>
    <fill>
      <patternFill patternType="solid">
        <fgColor theme="7" tint="0.3999755851924192"/>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s>
  <cellStyleXfs count="3">
    <xf numFmtId="0" fontId="2" fillId="0" borderId="0"/>
    <xf numFmtId="9" fontId="2" fillId="0" borderId="0"/>
    <xf numFmtId="0" fontId="8" fillId="0" borderId="0"/>
  </cellStyleXfs>
  <cellXfs count="88">
    <xf numFmtId="0" fontId="0" fillId="0" borderId="0" pivotButton="0" quotePrefix="0" xfId="0"/>
    <xf numFmtId="0" fontId="1" fillId="2" borderId="0" pivotButton="0" quotePrefix="0" xfId="0"/>
    <xf numFmtId="2" fontId="0" fillId="0" borderId="0" pivotButton="0" quotePrefix="0" xfId="0"/>
    <xf numFmtId="17" fontId="4" fillId="3" borderId="2" applyAlignment="1" pivotButton="0" quotePrefix="0" xfId="0">
      <alignment horizontal="left" vertical="top" wrapText="1"/>
    </xf>
    <xf numFmtId="0" fontId="5" fillId="0" borderId="3" pivotButton="0" quotePrefix="0" xfId="0"/>
    <xf numFmtId="0" fontId="6" fillId="4" borderId="3" applyAlignment="1" pivotButton="0" quotePrefix="0" xfId="0">
      <alignment horizontal="center" textRotation="90"/>
    </xf>
    <xf numFmtId="0" fontId="6" fillId="5" borderId="3" applyAlignment="1" pivotButton="0" quotePrefix="0" xfId="0">
      <alignment horizontal="center" textRotation="90"/>
    </xf>
    <xf numFmtId="0" fontId="6" fillId="6" borderId="3" applyAlignment="1" pivotButton="0" quotePrefix="0" xfId="0">
      <alignment horizontal="center" textRotation="90"/>
    </xf>
    <xf numFmtId="0" fontId="6" fillId="7" borderId="3" applyAlignment="1" pivotButton="0" quotePrefix="0" xfId="0">
      <alignment horizontal="center" textRotation="90"/>
    </xf>
    <xf numFmtId="0" fontId="6" fillId="8" borderId="3" applyAlignment="1" pivotButton="0" quotePrefix="0" xfId="0">
      <alignment horizontal="center" textRotation="90"/>
    </xf>
    <xf numFmtId="0" fontId="6" fillId="8" borderId="3" applyAlignment="1" pivotButton="0" quotePrefix="0" xfId="0">
      <alignment horizontal="left" textRotation="90"/>
    </xf>
    <xf numFmtId="0" fontId="0" fillId="2" borderId="4" pivotButton="0" quotePrefix="0" xfId="0"/>
    <xf numFmtId="14" fontId="0" fillId="3" borderId="5" pivotButton="0" quotePrefix="0" xfId="0"/>
    <xf numFmtId="2" fontId="7" fillId="8" borderId="3" applyAlignment="1" pivotButton="0" quotePrefix="0" xfId="0">
      <alignment horizontal="center" vertical="center"/>
    </xf>
    <xf numFmtId="0" fontId="0" fillId="2" borderId="6" pivotButton="0" quotePrefix="0" xfId="0"/>
    <xf numFmtId="14" fontId="0" fillId="3" borderId="7" pivotButton="0" quotePrefix="0" xfId="0"/>
    <xf numFmtId="0" fontId="0" fillId="9" borderId="8" pivotButton="0" quotePrefix="0" xfId="0"/>
    <xf numFmtId="0" fontId="0" fillId="2" borderId="9" pivotButton="0" quotePrefix="0" xfId="0"/>
    <xf numFmtId="0" fontId="0" fillId="2" borderId="10" pivotButton="0" quotePrefix="0" xfId="0"/>
    <xf numFmtId="0" fontId="0" fillId="2" borderId="11" pivotButton="0" quotePrefix="0" xfId="0"/>
    <xf numFmtId="0" fontId="0" fillId="2" borderId="12" pivotButton="0" quotePrefix="0" xfId="0"/>
    <xf numFmtId="0" fontId="0" fillId="2" borderId="13" pivotButton="0" quotePrefix="0" xfId="0"/>
    <xf numFmtId="0" fontId="7" fillId="8" borderId="3" applyAlignment="1" pivotButton="0" quotePrefix="0" xfId="0">
      <alignment horizontal="center" vertical="center"/>
    </xf>
    <xf numFmtId="0" fontId="7" fillId="8" borderId="3" applyAlignment="1" pivotButton="0" quotePrefix="0" xfId="0">
      <alignment horizontal="left" vertical="center"/>
    </xf>
    <xf numFmtId="17" fontId="4" fillId="8" borderId="3" applyAlignment="1" pivotButton="0" quotePrefix="0" xfId="0">
      <alignment horizontal="left" vertical="top" wrapText="1"/>
    </xf>
    <xf numFmtId="2" fontId="5" fillId="0" borderId="3" applyAlignment="1" pivotButton="0" quotePrefix="0" xfId="0">
      <alignment horizontal="center" vertical="center"/>
    </xf>
    <xf numFmtId="17" fontId="0" fillId="2" borderId="0" pivotButton="0" quotePrefix="0" xfId="0"/>
    <xf numFmtId="2" fontId="0" fillId="2" borderId="0" pivotButton="0" quotePrefix="0" xfId="0"/>
    <xf numFmtId="10" fontId="7" fillId="8" borderId="3" applyAlignment="1" pivotButton="0" quotePrefix="0" xfId="0">
      <alignment horizontal="center" vertical="center"/>
    </xf>
    <xf numFmtId="10" fontId="7" fillId="8" borderId="3" applyAlignment="1" pivotButton="0" quotePrefix="0" xfId="1">
      <alignment horizontal="center" vertical="center"/>
    </xf>
    <xf numFmtId="14" fontId="0" fillId="2" borderId="0" pivotButton="0" quotePrefix="0" xfId="0"/>
    <xf numFmtId="10" fontId="0" fillId="2" borderId="0" pivotButton="0" quotePrefix="0" xfId="1"/>
    <xf numFmtId="10" fontId="5" fillId="0" borderId="3" applyAlignment="1" pivotButton="0" quotePrefix="0" xfId="1">
      <alignment horizontal="center" vertical="center"/>
    </xf>
    <xf numFmtId="164" fontId="9" fillId="2" borderId="9" applyAlignment="1" pivotButton="0" quotePrefix="0" xfId="0">
      <alignment horizontal="center"/>
    </xf>
    <xf numFmtId="164" fontId="9" fillId="2" borderId="13" applyAlignment="1" pivotButton="0" quotePrefix="0" xfId="0">
      <alignment horizontal="center"/>
    </xf>
    <xf numFmtId="0" fontId="0" fillId="0" borderId="0" applyAlignment="1" pivotButton="0" quotePrefix="0" xfId="0">
      <alignment horizontal="center"/>
    </xf>
    <xf numFmtId="17" fontId="0" fillId="0" borderId="0" applyAlignment="1" pivotButton="0" quotePrefix="0" xfId="0">
      <alignment horizontal="center"/>
    </xf>
    <xf numFmtId="10" fontId="0" fillId="0" borderId="0" applyAlignment="1" pivotButton="0" quotePrefix="0" xfId="0">
      <alignment horizontal="center"/>
    </xf>
    <xf numFmtId="17" fontId="1" fillId="0" borderId="0" applyAlignment="1" pivotButton="0" quotePrefix="0" xfId="0">
      <alignment horizontal="center"/>
    </xf>
    <xf numFmtId="17" fontId="3" fillId="10" borderId="0" applyAlignment="1" pivotButton="0" quotePrefix="0" xfId="2">
      <alignment horizontal="center" wrapText="1"/>
    </xf>
    <xf numFmtId="10" fontId="1" fillId="10" borderId="0" applyAlignment="1" pivotButton="0" quotePrefix="0" xfId="0">
      <alignment horizontal="center" wrapText="1"/>
    </xf>
    <xf numFmtId="10" fontId="0" fillId="2" borderId="0" applyAlignment="1" pivotButton="0" quotePrefix="0" xfId="0">
      <alignment horizontal="center"/>
    </xf>
    <xf numFmtId="17" fontId="0" fillId="2" borderId="3" applyAlignment="1" pivotButton="0" quotePrefix="0" xfId="0">
      <alignment horizontal="center"/>
    </xf>
    <xf numFmtId="2" fontId="0" fillId="2" borderId="3" applyAlignment="1" pivotButton="0" quotePrefix="0" xfId="0">
      <alignment horizontal="center"/>
    </xf>
    <xf numFmtId="10" fontId="0" fillId="2" borderId="3" applyAlignment="1" pivotButton="0" quotePrefix="0" xfId="0">
      <alignment horizontal="center"/>
    </xf>
    <xf numFmtId="0" fontId="11" fillId="10" borderId="0" applyAlignment="1" pivotButton="0" quotePrefix="0" xfId="0">
      <alignment horizontal="center" wrapText="1"/>
    </xf>
    <xf numFmtId="10" fontId="1" fillId="2" borderId="0" pivotButton="0" quotePrefix="0" xfId="0"/>
    <xf numFmtId="10" fontId="10" fillId="2" borderId="0" pivotButton="0" quotePrefix="0" xfId="0"/>
    <xf numFmtId="10" fontId="0" fillId="2" borderId="0" pivotButton="0" quotePrefix="0" xfId="0"/>
    <xf numFmtId="17" fontId="1" fillId="2" borderId="0" applyAlignment="1" pivotButton="0" quotePrefix="0" xfId="0">
      <alignment horizontal="center"/>
    </xf>
    <xf numFmtId="0" fontId="0" fillId="2" borderId="0" applyAlignment="1" pivotButton="0" quotePrefix="0" xfId="0">
      <alignment horizontal="center"/>
    </xf>
    <xf numFmtId="17" fontId="12" fillId="10" borderId="0" applyAlignment="1" pivotButton="0" quotePrefix="0" xfId="2">
      <alignment horizontal="center" wrapText="1"/>
    </xf>
    <xf numFmtId="10" fontId="12" fillId="10" borderId="0" applyAlignment="1" pivotButton="0" quotePrefix="0" xfId="0">
      <alignment horizontal="center" wrapText="1"/>
    </xf>
    <xf numFmtId="164" fontId="12" fillId="10" borderId="0" applyAlignment="1" pivotButton="0" quotePrefix="0" xfId="1">
      <alignment horizontal="center" wrapText="1"/>
    </xf>
    <xf numFmtId="164" fontId="1" fillId="2" borderId="3" applyAlignment="1" pivotButton="0" quotePrefix="0" xfId="1">
      <alignment horizontal="center"/>
    </xf>
    <xf numFmtId="164" fontId="0" fillId="2" borderId="3" applyAlignment="1" pivotButton="0" quotePrefix="0" xfId="1">
      <alignment horizontal="center"/>
    </xf>
    <xf numFmtId="164" fontId="0" fillId="2" borderId="0" pivotButton="0" quotePrefix="0" xfId="1"/>
    <xf numFmtId="0" fontId="0" fillId="2" borderId="0" applyAlignment="1" pivotButton="0" quotePrefix="0" xfId="0">
      <alignment vertical="center"/>
    </xf>
    <xf numFmtId="0" fontId="0" fillId="0" borderId="0" applyAlignment="1" pivotButton="0" quotePrefix="0" xfId="0">
      <alignment vertical="center"/>
    </xf>
    <xf numFmtId="0" fontId="13" fillId="0" borderId="0" pivotButton="0" quotePrefix="0" xfId="0"/>
    <xf numFmtId="0" fontId="15" fillId="11" borderId="1" applyAlignment="1" pivotButton="0" quotePrefix="0" xfId="0">
      <alignment horizontal="center" vertical="center"/>
    </xf>
    <xf numFmtId="0" fontId="15" fillId="11" borderId="1" applyAlignment="1" pivotButton="0" quotePrefix="0" xfId="0">
      <alignment vertical="center"/>
    </xf>
    <xf numFmtId="0" fontId="15" fillId="11" borderId="14" applyAlignment="1" pivotButton="0" quotePrefix="0" xfId="0">
      <alignment horizontal="center" vertical="center"/>
    </xf>
    <xf numFmtId="0" fontId="8" fillId="0" borderId="0" pivotButton="0" quotePrefix="0" xfId="2"/>
    <xf numFmtId="17" fontId="17" fillId="3" borderId="2" applyAlignment="1" pivotButton="0" quotePrefix="0" xfId="0">
      <alignment horizontal="left" vertical="top" wrapText="1"/>
    </xf>
    <xf numFmtId="14" fontId="11" fillId="3" borderId="5" pivotButton="0" quotePrefix="0" xfId="0"/>
    <xf numFmtId="14" fontId="11" fillId="3" borderId="7" pivotButton="0" quotePrefix="0" xfId="0"/>
    <xf numFmtId="0" fontId="11" fillId="2" borderId="0" pivotButton="0" quotePrefix="0" xfId="0"/>
    <xf numFmtId="0" fontId="0" fillId="0" borderId="0" pivotButton="0" quotePrefix="0" xfId="0"/>
    <xf numFmtId="0" fontId="16" fillId="11" borderId="10" pivotButton="0" quotePrefix="0" xfId="0"/>
    <xf numFmtId="0" fontId="16" fillId="11" borderId="11" pivotButton="0" quotePrefix="0" xfId="0"/>
    <xf numFmtId="164" fontId="9" fillId="2" borderId="0" applyAlignment="1" pivotButton="0" quotePrefix="0" xfId="0">
      <alignment horizontal="center"/>
    </xf>
    <xf numFmtId="0" fontId="0" fillId="2" borderId="0" pivotButton="0" quotePrefix="0" xfId="0"/>
    <xf numFmtId="165" fontId="0" fillId="0" borderId="0" pivotButton="0" quotePrefix="0" xfId="0"/>
    <xf numFmtId="0" fontId="0" fillId="2" borderId="0" pivotButton="0" quotePrefix="0" xfId="0"/>
    <xf numFmtId="0" fontId="0" fillId="2" borderId="0" applyAlignment="1" pivotButton="0" quotePrefix="0" xfId="0">
      <alignment wrapText="1"/>
    </xf>
    <xf numFmtId="0" fontId="8" fillId="2" borderId="0" pivotButton="0" quotePrefix="0" xfId="2"/>
    <xf numFmtId="0" fontId="1" fillId="2" borderId="12" applyAlignment="1" pivotButton="0" quotePrefix="0" xfId="0">
      <alignment horizontal="center" vertical="center"/>
    </xf>
    <xf numFmtId="0" fontId="0" fillId="0" borderId="12" pivotButton="0" quotePrefix="0" xfId="0"/>
    <xf numFmtId="0" fontId="3" fillId="10" borderId="1" applyAlignment="1" pivotButton="0" quotePrefix="0" xfId="0">
      <alignment horizontal="center"/>
    </xf>
    <xf numFmtId="0" fontId="0" fillId="0" borderId="15" pivotButton="0" quotePrefix="0" xfId="0"/>
    <xf numFmtId="0" fontId="0" fillId="0" borderId="14" pivotButton="0" quotePrefix="0" xfId="0"/>
    <xf numFmtId="0" fontId="1" fillId="11" borderId="3" applyAlignment="1" pivotButton="0" quotePrefix="0" xfId="0">
      <alignment horizontal="center"/>
    </xf>
    <xf numFmtId="0" fontId="0" fillId="0" borderId="16" pivotButton="0" quotePrefix="0" xfId="0"/>
    <xf numFmtId="0" fontId="0" fillId="0" borderId="17" pivotButton="0" quotePrefix="0" xfId="0"/>
    <xf numFmtId="0" fontId="14" fillId="2" borderId="0" applyAlignment="1" pivotButton="0" quotePrefix="0" xfId="0">
      <alignment wrapText="1"/>
    </xf>
    <xf numFmtId="166" fontId="0" fillId="0" borderId="0" pivotButton="0" quotePrefix="0" xfId="0"/>
    <xf numFmtId="166" fontId="0" fillId="0" borderId="0" pivotButton="0" quotePrefix="0" xfId="0"/>
  </cellXfs>
  <cellStyles count="3">
    <cellStyle name="Normal" xfId="0" builtinId="0"/>
    <cellStyle name="Per cent" xfId="1" builtinId="5"/>
    <cellStyle name="Hyperlink" xfId="2" builtinId="8"/>
  </cellStyles>
  <dxfs count="11">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name val="Calibri"/>
        <family val="2"/>
        <strike val="0"/>
        <outline val="0"/>
        <shadow val="0"/>
        <color theme="0" tint="-0.0499893185216834"/>
        <sz val="11"/>
        <vertAlign val="baseline"/>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spPr>
            <a:solidFill xmlns:a="http://schemas.openxmlformats.org/drawingml/2006/main">
              <a:schemeClr val="accent1"/>
            </a:solidFill>
            <a:ln xmlns:a="http://schemas.openxmlformats.org/drawingml/2006/main" w="60325">
              <a:solidFill>
                <a:srgbClr val="00B050"/>
              </a:solidFill>
              <a:prstDash val="solid"/>
            </a:ln>
          </spPr>
          <invertIfNegative val="0"/>
          <dPt>
            <idx val="4"/>
            <invertIfNegative val="0"/>
            <bubble3D val="0"/>
            <spPr>
              <a:solidFill xmlns:a="http://schemas.openxmlformats.org/drawingml/2006/main">
                <a:srgbClr val="FF0000"/>
              </a:solidFill>
              <a:ln xmlns:a="http://schemas.openxmlformats.org/drawingml/2006/main" w="60325">
                <a:solidFill>
                  <a:srgbClr val="FF0000"/>
                </a:solidFill>
                <a:prstDash val="solid"/>
              </a:ln>
            </spPr>
          </dPt>
          <dPt>
            <idx val="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7"/>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9"/>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6"/>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18"/>
            <invertIfNegative val="0"/>
            <bubble3D val="0"/>
            <spPr>
              <a:solidFill xmlns:a="http://schemas.openxmlformats.org/drawingml/2006/main">
                <a:schemeClr val="accent1"/>
              </a:solidFill>
              <a:ln xmlns:a="http://schemas.openxmlformats.org/drawingml/2006/main" w="60325">
                <a:solidFill>
                  <a:srgbClr val="FF0000"/>
                </a:solidFill>
                <a:prstDash val="solid"/>
              </a:ln>
            </spPr>
          </dPt>
          <dPt>
            <idx val="28"/>
            <invertIfNegative val="0"/>
            <bubble3D val="0"/>
            <spPr>
              <a:solidFill xmlns:a="http://schemas.openxmlformats.org/drawingml/2006/main">
                <a:schemeClr val="accent1"/>
              </a:solidFill>
              <a:ln xmlns:a="http://schemas.openxmlformats.org/drawingml/2006/main" w="60325">
                <a:solidFill>
                  <a:srgbClr val="FF0000"/>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None</a:t>
                </a:r>
                <a:endParaRPr lang="en-US"/>
              </a:p>
            </txPr>
            <dLblPos val="outEnd"/>
            <showLegendKey val="0"/>
            <showVal val="1"/>
            <showCatName val="0"/>
            <showSerName val="0"/>
            <showPercent val="0"/>
            <showBubbleSize val="0"/>
            <showLeaderLines val="0"/>
          </dLbls>
          <cat>
            <numLit>
              <formatCode>General</formatCode>
              <ptCount val="49"/>
              <pt idx="0">
                <v>39142</v>
              </pt>
              <pt idx="1">
                <v>39234</v>
              </pt>
              <pt idx="2">
                <v>39326</v>
              </pt>
              <pt idx="3">
                <v>39417</v>
              </pt>
              <pt idx="4">
                <v>39508</v>
              </pt>
              <pt idx="5">
                <v>39600</v>
              </pt>
              <pt idx="6">
                <v>39692</v>
              </pt>
              <pt idx="7">
                <v>39783</v>
              </pt>
              <pt idx="8">
                <v>39873</v>
              </pt>
              <pt idx="9">
                <v>39965</v>
              </pt>
              <pt idx="10">
                <v>40057</v>
              </pt>
              <pt idx="11">
                <v>40148</v>
              </pt>
              <pt idx="12">
                <v>40238</v>
              </pt>
              <pt idx="13">
                <v>40330</v>
              </pt>
              <pt idx="14">
                <v>40422</v>
              </pt>
              <pt idx="15">
                <v>40513</v>
              </pt>
              <pt idx="16">
                <v>40603</v>
              </pt>
              <pt idx="17">
                <v>40695</v>
              </pt>
              <pt idx="18">
                <v>40787</v>
              </pt>
              <pt idx="19">
                <v>40878</v>
              </pt>
              <pt idx="20">
                <v>40969</v>
              </pt>
              <pt idx="21">
                <v>41061</v>
              </pt>
              <pt idx="22">
                <v>41153</v>
              </pt>
              <pt idx="23">
                <v>41244</v>
              </pt>
              <pt idx="24">
                <v>41334</v>
              </pt>
              <pt idx="25">
                <v>41426</v>
              </pt>
              <pt idx="26">
                <v>41518</v>
              </pt>
              <pt idx="27">
                <v>41609</v>
              </pt>
              <pt idx="28">
                <v>41699</v>
              </pt>
              <pt idx="29">
                <v>41791</v>
              </pt>
              <pt idx="30">
                <v>41883</v>
              </pt>
              <pt idx="31">
                <v>41974</v>
              </pt>
              <pt idx="32">
                <v>42064</v>
              </pt>
              <pt idx="33">
                <v>42156</v>
              </pt>
              <pt idx="34">
                <v>42248</v>
              </pt>
              <pt idx="35">
                <v>42339</v>
              </pt>
              <pt idx="36">
                <v>42430</v>
              </pt>
              <pt idx="37">
                <v>42522</v>
              </pt>
              <pt idx="38">
                <v>42614</v>
              </pt>
              <pt idx="39">
                <v>42705</v>
              </pt>
              <pt idx="40">
                <v>42795</v>
              </pt>
              <pt idx="41">
                <v>42887</v>
              </pt>
              <pt idx="42">
                <v>42979</v>
              </pt>
              <pt idx="43">
                <v>43070</v>
              </pt>
              <pt idx="44">
                <v>43160</v>
              </pt>
              <pt idx="45">
                <v>43252</v>
              </pt>
              <pt idx="46">
                <v>43344</v>
              </pt>
              <pt idx="47">
                <v>43435</v>
              </pt>
              <pt idx="48">
                <v>43525</v>
              </pt>
            </numLit>
          </cat>
          <val>
            <numLit>
              <formatCode>General</formatCode>
              <ptCount val="49"/>
              <pt idx="0">
                <v>0.009453046441481705</v>
              </pt>
              <pt idx="1">
                <v>0.02311254249993411</v>
              </pt>
              <pt idx="2">
                <v>0.02190856827011634</v>
              </pt>
              <pt idx="3">
                <v>0.02453626282541999</v>
              </pt>
              <pt idx="4">
                <v>-0.02279059010302142</v>
              </pt>
              <pt idx="5">
                <v>0.020816024821118</v>
              </pt>
              <pt idx="6">
                <v>-0.02147903396272</v>
              </pt>
              <pt idx="7">
                <v>-0.08378349848311495</v>
              </pt>
              <pt idx="8">
                <v>-0.04415717805198183</v>
              </pt>
              <pt idx="9">
                <v>-0.005747172065089456</v>
              </pt>
              <pt idx="10">
                <v>0.01464417935867335</v>
              </pt>
              <pt idx="11">
                <v>0.04466454357216154</v>
              </pt>
              <pt idx="12">
                <v>0.015480261483654</v>
              </pt>
              <pt idx="13">
                <v>0.0373943440024056</v>
              </pt>
              <pt idx="14">
                <v>0.02981613362672775</v>
              </pt>
              <pt idx="15">
                <v>0.02022777033817058</v>
              </pt>
              <pt idx="16">
                <v>-0.009583008443268981</v>
              </pt>
              <pt idx="17">
                <v>0.0289070963854221</v>
              </pt>
              <pt idx="18">
                <v>-0.001110697082034817</v>
              </pt>
              <pt idx="19">
                <v>0.04718401513439496</v>
              </pt>
              <pt idx="20">
                <v>0.03168949072472538</v>
              </pt>
              <pt idx="21">
                <v>0.01731944307541311</v>
              </pt>
              <pt idx="22">
                <v>0.005408856411071028</v>
              </pt>
              <pt idx="23">
                <v>0.004562706144151552</v>
              </pt>
              <pt idx="24">
                <v>0.03590043724198821</v>
              </pt>
              <pt idx="25">
                <v>0.00494498346160066</v>
              </pt>
              <pt idx="26">
                <v>0.03170677045364156</v>
              </pt>
              <pt idx="27">
                <v>0.03231431952159003</v>
              </pt>
              <pt idx="28">
                <v>-0.01126033704343821</v>
              </pt>
              <pt idx="29">
                <v>0.05525666715184463</v>
              </pt>
              <pt idx="30">
                <v>0.04973898724127768</v>
              </pt>
              <pt idx="31">
                <v>0.02270251628601327</v>
              </pt>
              <pt idx="32">
                <v>0.03176430286904997</v>
              </pt>
              <pt idx="33">
                <v>0.02998580165978937</v>
              </pt>
              <pt idx="34">
                <v>0.01329202515880668</v>
              </pt>
              <pt idx="35">
                <v>0.001301634863015488</v>
              </pt>
              <pt idx="36">
                <v>0.02028823299072191</v>
              </pt>
              <pt idx="37">
                <v>0.01894703248216301</v>
              </pt>
              <pt idx="38">
                <v>0.02186872648876359</v>
              </pt>
              <pt idx="39">
                <v>0.02026078285702515</v>
              </pt>
              <pt idx="40">
                <v>0.02286487648164504</v>
              </pt>
              <pt idx="41">
                <v>0.02154783936043514</v>
              </pt>
              <pt idx="42">
                <v>0.03200911893527247</v>
              </pt>
              <pt idx="43">
                <v>0.03545639438937043</v>
              </pt>
              <pt idx="44">
                <v>0.02551887215950277</v>
              </pt>
              <pt idx="45">
                <v>0.03513838765180477</v>
              </pt>
              <pt idx="46">
                <v>0.02926163839966023</v>
              </pt>
              <pt idx="47">
                <v>0.01089757291620974</v>
              </pt>
              <pt idx="48">
                <v>0.03096140072289311</v>
              </pt>
            </numLit>
          </val>
        </ser>
        <dLbls>
          <dLblPos val="outEnd"/>
          <showLegendKey val="0"/>
          <showVal val="1"/>
          <showCatName val="0"/>
          <showSerName val="0"/>
          <showPercent val="0"/>
          <showBubbleSize val="0"/>
        </dLbls>
        <gapWidth val="150"/>
        <axId val="1502413880"/>
        <axId val="1502413224"/>
      </barChart>
      <catAx>
        <axId val="1502413880"/>
        <scaling>
          <orientation val="minMax"/>
        </scaling>
        <delete val="0"/>
        <axPos val="b"/>
        <numFmt formatCode="General"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02413224"/>
        <crosses val="autoZero"/>
        <auto val="1"/>
        <lblAlgn val="ctr"/>
        <lblOffset val="100"/>
        <tickLblSkip val="3"/>
        <noMultiLvlLbl val="1"/>
      </catAx>
      <valAx>
        <axId val="1502413224"/>
        <scaling>
          <orientation val="minMax"/>
          <max val="0.06000000000000001"/>
          <min val="-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crossAx val="1502413880"/>
        <crosses val="autoZero"/>
        <crossBetween val="between"/>
      </valAx>
    </plotArea>
    <plotVisOnly val="1"/>
    <dispBlanksAs val="zero"/>
  </chart>
</chartSpace>
</file>

<file path=xl/charts/chart2.xml><?xml version="1.0" encoding="utf-8"?>
<chartSpace xmlns="http://schemas.openxmlformats.org/drawingml/2006/chart">
  <chart>
    <title>
      <tx>
        <strRef>
          <f>'Global View yoy'!$J$1</f>
          <strCache>
            <ptCount val="1"/>
            <pt idx="0">
              <v>USA GDP % yoy</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yoy'!$J$1</f>
              <strCache>
                <ptCount val="1"/>
                <pt idx="0">
                  <v>USA GDP % yoy</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yoy'!$A$100:$A$300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yoy'!$B$100:$B$300</f>
              <numCache>
                <formatCode>0.00</formatCode>
                <ptCount val="201"/>
                <pt idx="0">
                  <v>4.367204801</v>
                </pt>
                <pt idx="1">
                  <v>3.476072128</v>
                </pt>
                <pt idx="2">
                  <v>5.255186457</v>
                </pt>
                <pt idx="3">
                  <v>5.381938705</v>
                </pt>
                <pt idx="4">
                  <v>6.894475887</v>
                </pt>
                <pt idx="5">
                  <v>7.561888292</v>
                </pt>
                <pt idx="6">
                  <v>6.319660016</v>
                </pt>
                <pt idx="7">
                  <v>4.771087308</v>
                </pt>
                <pt idx="8">
                  <v>4.023756399</v>
                </pt>
                <pt idx="9">
                  <v>0.638773877</v>
                </pt>
                <pt idx="10">
                  <v>-0.208418196</v>
                </pt>
                <pt idx="11">
                  <v>-0.629000493</v>
                </pt>
                <pt idx="12">
                  <v>-1.945449394</v>
                </pt>
                <pt idx="13">
                  <v>-2.299047595</v>
                </pt>
                <pt idx="14">
                  <v>-1.8342624</v>
                </pt>
                <pt idx="15">
                  <v>0.798684869</v>
                </pt>
                <pt idx="16">
                  <v>2.554017472</v>
                </pt>
                <pt idx="17">
                  <v>6.152389362</v>
                </pt>
                <pt idx="18">
                  <v>6.172588458</v>
                </pt>
                <pt idx="19">
                  <v>4.958636996</v>
                </pt>
                <pt idx="20">
                  <v>4.314806638</v>
                </pt>
                <pt idx="21">
                  <v>3.225964642</v>
                </pt>
                <pt idx="22">
                  <v>4.466324098</v>
                </pt>
                <pt idx="23">
                  <v>5.770897368</v>
                </pt>
                <pt idx="24">
                  <v>5.012028563</v>
                </pt>
                <pt idx="25">
                  <v>4.117062342</v>
                </pt>
                <pt idx="26">
                  <v>6.078147799</v>
                </pt>
                <pt idx="27">
                  <v>5.245773422</v>
                </pt>
                <pt idx="28">
                  <v>6.658095883</v>
                </pt>
                <pt idx="29">
                  <v>6.509913089</v>
                </pt>
                <pt idx="30">
                  <v>2.656855063</v>
                </pt>
                <pt idx="31">
                  <v>2.389915413</v>
                </pt>
                <pt idx="32">
                  <v>1.284557672</v>
                </pt>
                <pt idx="33">
                  <v>1.420775266</v>
                </pt>
                <pt idx="34">
                  <v>-0.775062713</v>
                </pt>
                <pt idx="35">
                  <v>-1.623797431</v>
                </pt>
                <pt idx="36">
                  <v>-0.039131615</v>
                </pt>
                <pt idx="37">
                  <v>1.599979772</v>
                </pt>
                <pt idx="38">
                  <v>2.968700707</v>
                </pt>
                <pt idx="39">
                  <v>4.325765021</v>
                </pt>
                <pt idx="40">
                  <v>1.299901157</v>
                </pt>
                <pt idx="41">
                  <v>-2.190348982</v>
                </pt>
                <pt idx="42">
                  <v>-1.010568147</v>
                </pt>
                <pt idx="43">
                  <v>-2.555921433</v>
                </pt>
                <pt idx="44">
                  <v>-1.443156179</v>
                </pt>
                <pt idx="45">
                  <v>1.431455577</v>
                </pt>
                <pt idx="46">
                  <v>3.268532884</v>
                </pt>
                <pt idx="47">
                  <v>5.737169685</v>
                </pt>
                <pt idx="48">
                  <v>7.899974981</v>
                </pt>
                <pt idx="49">
                  <v>8.578275462000001</v>
                </pt>
                <pt idx="50">
                  <v>7.996696675</v>
                </pt>
                <pt idx="51">
                  <v>6.900837083</v>
                </pt>
                <pt idx="52">
                  <v>5.575799462</v>
                </pt>
                <pt idx="53">
                  <v>4.555093389</v>
                </pt>
                <pt idx="54">
                  <v>3.684217505</v>
                </pt>
                <pt idx="55">
                  <v>4.262444927</v>
                </pt>
                <pt idx="56">
                  <v>4.182268594</v>
                </pt>
                <pt idx="57">
                  <v>4.145589749</v>
                </pt>
                <pt idx="58">
                  <v>3.701580387</v>
                </pt>
                <pt idx="59">
                  <v>3.119241274</v>
                </pt>
                <pt idx="60">
                  <v>2.908033321</v>
                </pt>
                <pt idx="61">
                  <v>2.715840619</v>
                </pt>
                <pt idx="62">
                  <v>3.35847938</v>
                </pt>
                <pt idx="63">
                  <v>3.266926152</v>
                </pt>
                <pt idx="64">
                  <v>4.479019138</v>
                </pt>
                <pt idx="65">
                  <v>4.242189569</v>
                </pt>
                <pt idx="66">
                  <v>4.484604217</v>
                </pt>
                <pt idx="67">
                  <v>4.192866323</v>
                </pt>
                <pt idx="68">
                  <v>3.798971044</v>
                </pt>
                <pt idx="69">
                  <v>4.315239935</v>
                </pt>
                <pt idx="70">
                  <v>3.748292875</v>
                </pt>
                <pt idx="71">
                  <v>3.908113053</v>
                </pt>
                <pt idx="72">
                  <v>2.743803255</v>
                </pt>
                <pt idx="73">
                  <v>2.821303844</v>
                </pt>
                <pt idx="74">
                  <v>2.412772955</v>
                </pt>
                <pt idx="75">
                  <v>1.727216637</v>
                </pt>
                <pt idx="76">
                  <v>0.602858696</v>
                </pt>
                <pt idx="77">
                  <v>-0.950240697</v>
                </pt>
                <pt idx="78">
                  <v>-0.5388879600000001</v>
                </pt>
                <pt idx="79">
                  <v>-0.10271685</v>
                </pt>
                <pt idx="80">
                  <v>1.166503342</v>
                </pt>
                <pt idx="81">
                  <v>2.858869105</v>
                </pt>
                <pt idx="82">
                  <v>3.169755821</v>
                </pt>
                <pt idx="83">
                  <v>3.665322879</v>
                </pt>
                <pt idx="84">
                  <v>4.382587644</v>
                </pt>
                <pt idx="85">
                  <v>3.319981753</v>
                </pt>
                <pt idx="86">
                  <v>2.80666739</v>
                </pt>
                <pt idx="87">
                  <v>2.286515761</v>
                </pt>
                <pt idx="88">
                  <v>2.607615494</v>
                </pt>
                <pt idx="89">
                  <v>3.430523014</v>
                </pt>
                <pt idx="90">
                  <v>4.225399702</v>
                </pt>
                <pt idx="91">
                  <v>4.33678486</v>
                </pt>
                <pt idx="92">
                  <v>4.115926516</v>
                </pt>
                <pt idx="93">
                  <v>3.481130297</v>
                </pt>
                <pt idx="94">
                  <v>2.402168869</v>
                </pt>
                <pt idx="95">
                  <v>2.673106856</v>
                </pt>
                <pt idx="96">
                  <v>2.199579909</v>
                </pt>
                <pt idx="97">
                  <v>2.601103993</v>
                </pt>
                <pt idx="98">
                  <v>4.002127064</v>
                </pt>
                <pt idx="99">
                  <v>4.04992139</v>
                </pt>
                <pt idx="100">
                  <v>4.421314452</v>
                </pt>
                <pt idx="101">
                  <v>4.314134541</v>
                </pt>
                <pt idx="102">
                  <v>4.308074979</v>
                </pt>
                <pt idx="103">
                  <v>4.673802575</v>
                </pt>
                <pt idx="104">
                  <v>4.487684458</v>
                </pt>
                <pt idx="105">
                  <v>4.855005883</v>
                </pt>
                <pt idx="106">
                  <v>4.095726841</v>
                </pt>
                <pt idx="107">
                  <v>4.097768623</v>
                </pt>
                <pt idx="108">
                  <v>4.879540776</v>
                </pt>
                <pt idx="109">
                  <v>4.821857932</v>
                </pt>
                <pt idx="110">
                  <v>4.727531513</v>
                </pt>
                <pt idx="111">
                  <v>4.800205237</v>
                </pt>
                <pt idx="112">
                  <v>4.82762665</v>
                </pt>
                <pt idx="113">
                  <v>4.225955859</v>
                </pt>
                <pt idx="114">
                  <v>5.244682769</v>
                </pt>
                <pt idx="115">
                  <v>3.974084496</v>
                </pt>
                <pt idx="116">
                  <v>2.901620472</v>
                </pt>
                <pt idx="117">
                  <v>2.195542847</v>
                </pt>
                <pt idx="118">
                  <v>0.9919329569999999</v>
                </pt>
                <pt idx="119">
                  <v>0.487352367</v>
                </pt>
                <pt idx="120">
                  <v>0.170642236</v>
                </pt>
                <pt idx="121">
                  <v>1.328812048</v>
                </pt>
                <pt idx="122">
                  <v>1.322883902</v>
                </pt>
                <pt idx="123">
                  <v>2.14066999</v>
                </pt>
                <pt idx="124">
                  <v>1.991286185</v>
                </pt>
                <pt idx="125">
                  <v>1.67618894</v>
                </pt>
                <pt idx="126">
                  <v>1.956993642</v>
                </pt>
                <pt idx="127">
                  <v>3.239908302</v>
                </pt>
                <pt idx="128">
                  <v>4.29507652</v>
                </pt>
                <pt idx="129">
                  <v>4.353382086</v>
                </pt>
                <pt idx="130">
                  <v>4.234811649</v>
                </pt>
                <pt idx="131">
                  <v>3.490834069</v>
                </pt>
                <pt idx="132">
                  <v>3.355765916</v>
                </pt>
                <pt idx="133">
                  <v>3.908617441</v>
                </pt>
                <pt idx="134">
                  <v>3.607410366</v>
                </pt>
                <pt idx="135">
                  <v>3.447674589</v>
                </pt>
                <pt idx="136">
                  <v>2.982672051</v>
                </pt>
                <pt idx="137">
                  <v>3.224857572</v>
                </pt>
                <pt idx="138">
                  <v>2.977269026</v>
                </pt>
                <pt idx="139">
                  <v>2.328291152</v>
                </pt>
                <pt idx="140">
                  <v>2.608901984</v>
                </pt>
                <pt idx="141">
                  <v>1.540715325</v>
                </pt>
                <pt idx="142">
                  <v>1.938641595</v>
                </pt>
                <pt idx="143">
                  <v>2.39855985</v>
                </pt>
                <pt idx="144">
                  <v>2.160883208</v>
                </pt>
                <pt idx="145">
                  <v>1.446803001</v>
                </pt>
                <pt idx="146">
                  <v>1.380132559</v>
                </pt>
                <pt idx="147">
                  <v>0.242202378</v>
                </pt>
                <pt idx="148">
                  <v>-2.54033926</v>
                </pt>
                <pt idx="149">
                  <v>-3.282392444</v>
                </pt>
                <pt idx="150">
                  <v>-3.995504779</v>
                </pt>
                <pt idx="151">
                  <v>-3.137675003</v>
                </pt>
                <pt idx="152">
                  <v>0.08165758400000001</v>
                </pt>
                <pt idx="153">
                  <v>1.768457232</v>
                </pt>
                <pt idx="154">
                  <v>2.927467845</v>
                </pt>
                <pt idx="155">
                  <v>3.349193814</v>
                </pt>
                <pt idx="156">
                  <v>2.788449691</v>
                </pt>
                <pt idx="157">
                  <v>2.030608191</v>
                </pt>
                <pt idx="158">
                  <v>1.737905069</v>
                </pt>
                <pt idx="159">
                  <v>0.918220848</v>
                </pt>
                <pt idx="160">
                  <v>1.522691524</v>
                </pt>
                <pt idx="161">
                  <v>2.600249298</v>
                </pt>
                <pt idx="162">
                  <v>2.37381635</v>
                </pt>
                <pt idx="163">
                  <v>2.592622977</v>
                </pt>
                <pt idx="164">
                  <v>1.566064346</v>
                </pt>
                <pt idx="165">
                  <v>1.616301095</v>
                </pt>
                <pt idx="166">
                  <v>1.29617049</v>
                </pt>
                <pt idx="167">
                  <v>1.91984462</v>
                </pt>
                <pt idx="168">
                  <v>2.532049778</v>
                </pt>
                <pt idx="169">
                  <v>1.294055859</v>
                </pt>
                <pt idx="170">
                  <v>2.451999168</v>
                </pt>
                <pt idx="171">
                  <v>2.831456926</v>
                </pt>
                <pt idx="172">
                  <v>2.563759666</v>
                </pt>
                <pt idx="173">
                  <v>3.761202773</v>
                </pt>
                <pt idx="174">
                  <v>3.039854675</v>
                </pt>
                <pt idx="175">
                  <v>2.182668511</v>
                </pt>
                <pt idx="176">
                  <v>1.874684059</v>
                </pt>
                <pt idx="177">
                  <v>1.648190603</v>
                </pt>
                <pt idx="178">
                  <v>1.36762965</v>
                </pt>
                <pt idx="179">
                  <v>1.648263356</v>
                </pt>
                <pt idx="180">
                  <v>2.004177046</v>
                </pt>
                <pt idx="181">
                  <v>1.88527887</v>
                </pt>
                <pt idx="182">
                  <v>2.146716583</v>
                </pt>
                <pt idx="183">
                  <v>2.266564638</v>
                </pt>
                <pt idx="184">
                  <v>2.717885582</v>
                </pt>
                <pt idx="185">
                  <v>3.015311883</v>
                </pt>
                <pt idx="186">
                  <v>3.296152283</v>
                </pt>
                <pt idx="187">
                  <v>3.052885912</v>
                </pt>
                <pt idx="188">
                  <v>2.320617095</v>
                </pt>
                <pt idx="189">
                  <v>2.153001514</v>
                </pt>
                <pt idx="190">
                  <v>2.111478836</v>
                </pt>
                <pt idx="191">
                  <v>2.318325998</v>
                </pt>
                <pt idx="192">
                  <v>2.569423535</v>
                </pt>
                <pt idx="193">
                  <v>0.630785164</v>
                </pt>
                <pt idx="194">
                  <v>-9.083737424000001</v>
                </pt>
                <pt idx="195">
                  <v>-2.887505989</v>
                </pt>
                <pt idx="196">
                  <v>-2.262915243</v>
                </pt>
                <pt idx="197">
                  <v>0.546976803</v>
                </pt>
                <pt idx="198">
                  <v>12.226677108</v>
                </pt>
                <pt idx="199">
                  <v>4.946555569</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3.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 View qoq'!$J$1</f>
              <strCache>
                <ptCount val="1"/>
                <pt idx="0">
                  <v>USA GDP % qoq</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 View qoq'!$A$100:$A$300</f>
              <numCache>
                <formatCode>mmm\-yy</formatCode>
                <ptCount val="201"/>
                <pt idx="0">
                  <v>26299</v>
                </pt>
                <pt idx="1">
                  <v>26390</v>
                </pt>
                <pt idx="2">
                  <v>26481</v>
                </pt>
                <pt idx="3">
                  <v>26573</v>
                </pt>
                <pt idx="4">
                  <v>26665</v>
                </pt>
                <pt idx="5">
                  <v>26755</v>
                </pt>
                <pt idx="6">
                  <v>26846</v>
                </pt>
                <pt idx="7">
                  <v>26938</v>
                </pt>
                <pt idx="8">
                  <v>27030</v>
                </pt>
                <pt idx="9">
                  <v>27120</v>
                </pt>
                <pt idx="10">
                  <v>27211</v>
                </pt>
                <pt idx="11">
                  <v>27303</v>
                </pt>
                <pt idx="12">
                  <v>27395</v>
                </pt>
                <pt idx="13">
                  <v>27485</v>
                </pt>
                <pt idx="14">
                  <v>27576</v>
                </pt>
                <pt idx="15">
                  <v>27668</v>
                </pt>
                <pt idx="16">
                  <v>27760</v>
                </pt>
                <pt idx="17">
                  <v>27851</v>
                </pt>
                <pt idx="18">
                  <v>27942</v>
                </pt>
                <pt idx="19">
                  <v>28034</v>
                </pt>
                <pt idx="20">
                  <v>28126</v>
                </pt>
                <pt idx="21">
                  <v>28216</v>
                </pt>
                <pt idx="22">
                  <v>28307</v>
                </pt>
                <pt idx="23">
                  <v>28399</v>
                </pt>
                <pt idx="24">
                  <v>28491</v>
                </pt>
                <pt idx="25">
                  <v>28581</v>
                </pt>
                <pt idx="26">
                  <v>28672</v>
                </pt>
                <pt idx="27">
                  <v>28764</v>
                </pt>
                <pt idx="28">
                  <v>28856</v>
                </pt>
                <pt idx="29">
                  <v>28946</v>
                </pt>
                <pt idx="30">
                  <v>29037</v>
                </pt>
                <pt idx="31">
                  <v>29129</v>
                </pt>
                <pt idx="32">
                  <v>29221</v>
                </pt>
                <pt idx="33">
                  <v>29312</v>
                </pt>
                <pt idx="34">
                  <v>29403</v>
                </pt>
                <pt idx="35">
                  <v>29495</v>
                </pt>
                <pt idx="36">
                  <v>29587</v>
                </pt>
                <pt idx="37">
                  <v>29677</v>
                </pt>
                <pt idx="38">
                  <v>29768</v>
                </pt>
                <pt idx="39">
                  <v>29860</v>
                </pt>
                <pt idx="40">
                  <v>29952</v>
                </pt>
                <pt idx="41">
                  <v>30042</v>
                </pt>
                <pt idx="42">
                  <v>30133</v>
                </pt>
                <pt idx="43">
                  <v>30225</v>
                </pt>
                <pt idx="44">
                  <v>30317</v>
                </pt>
                <pt idx="45">
                  <v>30407</v>
                </pt>
                <pt idx="46">
                  <v>30498</v>
                </pt>
                <pt idx="47">
                  <v>30590</v>
                </pt>
                <pt idx="48">
                  <v>30682</v>
                </pt>
                <pt idx="49">
                  <v>30773</v>
                </pt>
                <pt idx="50">
                  <v>30864</v>
                </pt>
                <pt idx="51">
                  <v>30956</v>
                </pt>
                <pt idx="52">
                  <v>31048</v>
                </pt>
                <pt idx="53">
                  <v>31138</v>
                </pt>
                <pt idx="54">
                  <v>31229</v>
                </pt>
                <pt idx="55">
                  <v>31321</v>
                </pt>
                <pt idx="56">
                  <v>31413</v>
                </pt>
                <pt idx="57">
                  <v>31503</v>
                </pt>
                <pt idx="58">
                  <v>31594</v>
                </pt>
                <pt idx="59">
                  <v>31686</v>
                </pt>
                <pt idx="60">
                  <v>31778</v>
                </pt>
                <pt idx="61">
                  <v>31868</v>
                </pt>
                <pt idx="62">
                  <v>31959</v>
                </pt>
                <pt idx="63">
                  <v>32051</v>
                </pt>
                <pt idx="64">
                  <v>32143</v>
                </pt>
                <pt idx="65">
                  <v>32234</v>
                </pt>
                <pt idx="66">
                  <v>32325</v>
                </pt>
                <pt idx="67">
                  <v>32417</v>
                </pt>
                <pt idx="68">
                  <v>32509</v>
                </pt>
                <pt idx="69">
                  <v>32599</v>
                </pt>
                <pt idx="70">
                  <v>32690</v>
                </pt>
                <pt idx="71">
                  <v>32782</v>
                </pt>
                <pt idx="72">
                  <v>32874</v>
                </pt>
                <pt idx="73">
                  <v>32964</v>
                </pt>
                <pt idx="74">
                  <v>33055</v>
                </pt>
                <pt idx="75">
                  <v>33147</v>
                </pt>
                <pt idx="76">
                  <v>33239</v>
                </pt>
                <pt idx="77">
                  <v>33329</v>
                </pt>
                <pt idx="78">
                  <v>33420</v>
                </pt>
                <pt idx="79">
                  <v>33512</v>
                </pt>
                <pt idx="80">
                  <v>33604</v>
                </pt>
                <pt idx="81">
                  <v>33695</v>
                </pt>
                <pt idx="82">
                  <v>33786</v>
                </pt>
                <pt idx="83">
                  <v>33878</v>
                </pt>
                <pt idx="84">
                  <v>33970</v>
                </pt>
                <pt idx="85">
                  <v>34060</v>
                </pt>
                <pt idx="86">
                  <v>34151</v>
                </pt>
                <pt idx="87">
                  <v>34243</v>
                </pt>
                <pt idx="88">
                  <v>34335</v>
                </pt>
                <pt idx="89">
                  <v>34425</v>
                </pt>
                <pt idx="90">
                  <v>34516</v>
                </pt>
                <pt idx="91">
                  <v>34608</v>
                </pt>
                <pt idx="92">
                  <v>34700</v>
                </pt>
                <pt idx="93">
                  <v>34790</v>
                </pt>
                <pt idx="94">
                  <v>34881</v>
                </pt>
                <pt idx="95">
                  <v>34973</v>
                </pt>
                <pt idx="96">
                  <v>35065</v>
                </pt>
                <pt idx="97">
                  <v>35156</v>
                </pt>
                <pt idx="98">
                  <v>35247</v>
                </pt>
                <pt idx="99">
                  <v>35339</v>
                </pt>
                <pt idx="100">
                  <v>35431</v>
                </pt>
                <pt idx="101">
                  <v>35521</v>
                </pt>
                <pt idx="102">
                  <v>35612</v>
                </pt>
                <pt idx="103">
                  <v>35704</v>
                </pt>
                <pt idx="104">
                  <v>35796</v>
                </pt>
                <pt idx="105">
                  <v>35886</v>
                </pt>
                <pt idx="106">
                  <v>35977</v>
                </pt>
                <pt idx="107">
                  <v>36069</v>
                </pt>
                <pt idx="108">
                  <v>36161</v>
                </pt>
                <pt idx="109">
                  <v>36251</v>
                </pt>
                <pt idx="110">
                  <v>36342</v>
                </pt>
                <pt idx="111">
                  <v>36434</v>
                </pt>
                <pt idx="112">
                  <v>36526</v>
                </pt>
                <pt idx="113">
                  <v>36617</v>
                </pt>
                <pt idx="114">
                  <v>36708</v>
                </pt>
                <pt idx="115">
                  <v>36800</v>
                </pt>
                <pt idx="116">
                  <v>36892</v>
                </pt>
                <pt idx="117">
                  <v>36982</v>
                </pt>
                <pt idx="118">
                  <v>37073</v>
                </pt>
                <pt idx="119">
                  <v>37165</v>
                </pt>
                <pt idx="120">
                  <v>37257</v>
                </pt>
                <pt idx="121">
                  <v>37347</v>
                </pt>
                <pt idx="122">
                  <v>37438</v>
                </pt>
                <pt idx="123">
                  <v>37530</v>
                </pt>
                <pt idx="124">
                  <v>37622</v>
                </pt>
                <pt idx="125">
                  <v>37712</v>
                </pt>
                <pt idx="126">
                  <v>37803</v>
                </pt>
                <pt idx="127">
                  <v>37895</v>
                </pt>
                <pt idx="128">
                  <v>37987</v>
                </pt>
                <pt idx="129">
                  <v>38078</v>
                </pt>
                <pt idx="130">
                  <v>38169</v>
                </pt>
                <pt idx="131">
                  <v>38261</v>
                </pt>
                <pt idx="132">
                  <v>38353</v>
                </pt>
                <pt idx="133">
                  <v>38443</v>
                </pt>
                <pt idx="134">
                  <v>38534</v>
                </pt>
                <pt idx="135">
                  <v>38626</v>
                </pt>
                <pt idx="136">
                  <v>38718</v>
                </pt>
                <pt idx="137">
                  <v>38808</v>
                </pt>
                <pt idx="138">
                  <v>38899</v>
                </pt>
                <pt idx="139">
                  <v>38991</v>
                </pt>
                <pt idx="140">
                  <v>39083</v>
                </pt>
                <pt idx="141">
                  <v>39173</v>
                </pt>
                <pt idx="142">
                  <v>39264</v>
                </pt>
                <pt idx="143">
                  <v>39356</v>
                </pt>
                <pt idx="144">
                  <v>39448</v>
                </pt>
                <pt idx="145">
                  <v>39539</v>
                </pt>
                <pt idx="146">
                  <v>39630</v>
                </pt>
                <pt idx="147">
                  <v>39722</v>
                </pt>
                <pt idx="148">
                  <v>39814</v>
                </pt>
                <pt idx="149">
                  <v>39904</v>
                </pt>
                <pt idx="150">
                  <v>39995</v>
                </pt>
                <pt idx="151">
                  <v>40087</v>
                </pt>
                <pt idx="152">
                  <v>40179</v>
                </pt>
                <pt idx="153">
                  <v>40269</v>
                </pt>
                <pt idx="154">
                  <v>40360</v>
                </pt>
                <pt idx="155">
                  <v>40452</v>
                </pt>
                <pt idx="156">
                  <v>40544</v>
                </pt>
                <pt idx="157">
                  <v>40634</v>
                </pt>
                <pt idx="158">
                  <v>40725</v>
                </pt>
                <pt idx="159">
                  <v>40817</v>
                </pt>
                <pt idx="160">
                  <v>40909</v>
                </pt>
                <pt idx="161">
                  <v>41000</v>
                </pt>
                <pt idx="162">
                  <v>41091</v>
                </pt>
                <pt idx="163">
                  <v>41183</v>
                </pt>
                <pt idx="164">
                  <v>41275</v>
                </pt>
                <pt idx="165">
                  <v>41365</v>
                </pt>
                <pt idx="166">
                  <v>41456</v>
                </pt>
                <pt idx="167">
                  <v>41548</v>
                </pt>
                <pt idx="168">
                  <v>41640</v>
                </pt>
                <pt idx="169">
                  <v>41730</v>
                </pt>
                <pt idx="170">
                  <v>41821</v>
                </pt>
                <pt idx="171">
                  <v>41913</v>
                </pt>
                <pt idx="172">
                  <v>42005</v>
                </pt>
                <pt idx="173">
                  <v>42095</v>
                </pt>
                <pt idx="174">
                  <v>42186</v>
                </pt>
                <pt idx="175">
                  <v>42278</v>
                </pt>
                <pt idx="176">
                  <v>42370</v>
                </pt>
                <pt idx="177">
                  <v>42461</v>
                </pt>
                <pt idx="178">
                  <v>42552</v>
                </pt>
                <pt idx="179">
                  <v>42644</v>
                </pt>
                <pt idx="180">
                  <v>42736</v>
                </pt>
                <pt idx="181">
                  <v>42826</v>
                </pt>
                <pt idx="182">
                  <v>42917</v>
                </pt>
                <pt idx="183">
                  <v>43009</v>
                </pt>
                <pt idx="184">
                  <v>43101</v>
                </pt>
                <pt idx="185">
                  <v>43191</v>
                </pt>
                <pt idx="186">
                  <v>43282</v>
                </pt>
                <pt idx="187">
                  <v>43374</v>
                </pt>
                <pt idx="188">
                  <v>43466</v>
                </pt>
                <pt idx="189">
                  <v>43556</v>
                </pt>
                <pt idx="190">
                  <v>43647</v>
                </pt>
                <pt idx="191">
                  <v>43739</v>
                </pt>
                <pt idx="192">
                  <v>43831</v>
                </pt>
                <pt idx="193">
                  <v>43922</v>
                </pt>
                <pt idx="194">
                  <v>44013</v>
                </pt>
                <pt idx="195">
                  <v>44105</v>
                </pt>
                <pt idx="196">
                  <v>44197</v>
                </pt>
                <pt idx="197">
                  <v>44287</v>
                </pt>
                <pt idx="198">
                  <v>44378</v>
                </pt>
                <pt idx="199">
                  <v>44470</v>
                </pt>
              </numCache>
            </numRef>
          </cat>
          <val>
            <numRef>
              <f>'Global View qoq'!$B$100:$B$300</f>
              <numCache>
                <formatCode>0.00</formatCode>
                <ptCount val="201"/>
                <pt idx="0">
                  <v>0.235783839</v>
                </pt>
                <pt idx="1">
                  <v>1.838958884</v>
                </pt>
                <pt idx="2">
                  <v>2.269772354</v>
                </pt>
                <pt idx="3">
                  <v>0.944381888</v>
                </pt>
                <pt idx="4">
                  <v>1.674458738</v>
                </pt>
                <pt idx="5">
                  <v>2.474806377</v>
                </pt>
                <pt idx="6">
                  <v>1.08866253</v>
                </pt>
                <pt idx="7">
                  <v>-0.525898536</v>
                </pt>
                <pt idx="8">
                  <v>0.949216043</v>
                </pt>
                <pt idx="9">
                  <v>-0.859772574</v>
                </pt>
                <pt idx="10">
                  <v>0.237683227</v>
                </pt>
                <pt idx="11">
                  <v>-0.945142778</v>
                </pt>
                <pt idx="12">
                  <v>-0.388140783</v>
                </pt>
                <pt idx="13">
                  <v>-1.217285876</v>
                </pt>
                <pt idx="14">
                  <v>0.7145362159999999</v>
                </pt>
                <pt idx="15">
                  <v>1.711651967</v>
                </pt>
                <pt idx="16">
                  <v>1.346524152</v>
                </pt>
                <pt idx="17">
                  <v>2.248760121</v>
                </pt>
                <pt idx="18">
                  <v>0.733700577</v>
                </pt>
                <pt idx="19">
                  <v>0.548705764</v>
                </pt>
                <pt idx="20">
                  <v>0.724850978</v>
                </pt>
                <pt idx="21">
                  <v>1.181483598</v>
                </pt>
                <pt idx="22">
                  <v>1.944113078</v>
                </pt>
                <pt idx="23">
                  <v>1.804355899</v>
                </pt>
                <pt idx="24">
                  <v>0.002185772</v>
                </pt>
                <pt idx="25">
                  <v>0.319163241</v>
                </pt>
                <pt idx="26">
                  <v>3.864270188</v>
                </pt>
                <pt idx="27">
                  <v>1.005517127</v>
                </pt>
                <pt idx="28">
                  <v>1.344143064</v>
                </pt>
                <pt idx="29">
                  <v>0.179787288</v>
                </pt>
                <pt idx="30">
                  <v>0.106919831</v>
                </pt>
                <pt idx="31">
                  <v>0.742871468</v>
                </pt>
                <pt idx="32">
                  <v>0.250075034</v>
                </pt>
                <pt idx="33">
                  <v>0.314519076</v>
                </pt>
                <pt idx="34">
                  <v>-2.060472164</v>
                </pt>
                <pt idx="35">
                  <v>-0.118847117</v>
                </pt>
                <pt idx="36">
                  <v>1.864925605</v>
                </pt>
                <pt idx="37">
                  <v>1.959429461</v>
                </pt>
                <pt idx="38">
                  <v>-0.741063613</v>
                </pt>
                <pt idx="39">
                  <v>1.19752521</v>
                </pt>
                <pt idx="40">
                  <v>-1.089564087</v>
                </pt>
                <pt idx="41">
                  <v>-1.553544479</v>
                </pt>
                <pt idx="42">
                  <v>0.456198515</v>
                </pt>
                <pt idx="43">
                  <v>-0.382299274</v>
                </pt>
                <pt idx="44">
                  <v>0.039946274</v>
                </pt>
                <pt idx="45">
                  <v>1.317847576</v>
                </pt>
                <pt idx="46">
                  <v>2.275612439</v>
                </pt>
                <pt idx="47">
                  <v>1.999064294</v>
                </pt>
                <pt idx="48">
                  <v>2.086217479</v>
                </pt>
                <pt idx="49">
                  <v>1.954770289</v>
                </pt>
                <pt idx="50">
                  <v>1.727792663</v>
                </pt>
                <pt idx="51">
                  <v>0.964063628</v>
                </pt>
                <pt idx="52">
                  <v>0.820857146</v>
                </pt>
                <pt idx="53">
                  <v>0.969072301</v>
                </pt>
                <pt idx="54">
                  <v>0.880466353</v>
                </pt>
                <pt idx="55">
                  <v>1.527121263</v>
                </pt>
                <pt idx="56">
                  <v>0.743327344</v>
                </pt>
                <pt idx="57">
                  <v>0.933524708</v>
                </pt>
                <pt idx="58">
                  <v>0.450377363</v>
                </pt>
                <pt idx="59">
                  <v>0.956992886</v>
                </pt>
                <pt idx="60">
                  <v>0.5369857179999999</v>
                </pt>
                <pt idx="61">
                  <v>0.74501963</v>
                </pt>
                <pt idx="62">
                  <v>1.078842316</v>
                </pt>
                <pt idx="63">
                  <v>0.8675668560000001</v>
                </pt>
                <pt idx="64">
                  <v>1.717036096</v>
                </pt>
                <pt idx="65">
                  <v>0.516654167</v>
                </pt>
                <pt idx="66">
                  <v>1.313900617</v>
                </pt>
                <pt idx="67">
                  <v>0.585928314</v>
                </pt>
                <pt idx="68">
                  <v>1.332500553</v>
                </pt>
                <pt idx="69">
                  <v>1.016597674</v>
                </pt>
                <pt idx="70">
                  <v>0.763265657</v>
                </pt>
                <pt idx="71">
                  <v>0.740876994</v>
                </pt>
                <pt idx="72">
                  <v>0.197050974</v>
                </pt>
                <pt idx="73">
                  <v>1.092795416</v>
                </pt>
                <pt idx="74">
                  <v>0.36291179</v>
                </pt>
                <pt idx="75">
                  <v>0.066512432</v>
                </pt>
                <pt idx="76">
                  <v>-0.9103945409999999</v>
                </pt>
                <pt idx="77">
                  <v>-0.467867584</v>
                </pt>
                <pt idx="78">
                  <v>0.7797180379999999</v>
                </pt>
                <pt idx="79">
                  <v>0.505338431</v>
                </pt>
                <pt idx="80">
                  <v>0.348563902</v>
                </pt>
                <pt idx="81">
                  <v>1.197157574</v>
                </pt>
                <pt idx="82">
                  <v>1.084320604</v>
                </pt>
                <pt idx="83">
                  <v>0.9881071890000001</v>
                </pt>
                <pt idx="84">
                  <v>1.042879871</v>
                </pt>
                <pt idx="85">
                  <v>0.166979092</v>
                </pt>
                <pt idx="86">
                  <v>0.5821134529999999</v>
                </pt>
                <pt idx="87">
                  <v>0.477156587</v>
                </pt>
                <pt idx="88">
                  <v>1.36007556</v>
                </pt>
                <pt idx="89">
                  <v>0.97031284</v>
                </pt>
                <pt idx="90">
                  <v>1.355099752</v>
                </pt>
                <pt idx="91">
                  <v>0.584536016</v>
                </pt>
                <pt idx="92">
                  <v>1.145518265</v>
                </pt>
                <pt idx="93">
                  <v>0.35469547</v>
                </pt>
                <pt idx="94">
                  <v>0.298305699</v>
                </pt>
                <pt idx="95">
                  <v>0.850664868</v>
                </pt>
                <pt idx="96">
                  <v>0.679036536</v>
                </pt>
                <pt idx="97">
                  <v>0.748971329</v>
                </pt>
                <pt idx="98">
                  <v>1.667883947</v>
                </pt>
                <pt idx="99">
                  <v>0.897010936</v>
                </pt>
                <pt idx="100">
                  <v>1.038397649</v>
                </pt>
                <pt idx="101">
                  <v>0.645560777</v>
                </pt>
                <pt idx="102">
                  <v>1.661978105</v>
                </pt>
                <pt idx="103">
                  <v>1.250778573</v>
                </pt>
                <pt idx="104">
                  <v>0.858743563</v>
                </pt>
                <pt idx="105">
                  <v>0.999375401</v>
                </pt>
                <pt idx="106">
                  <v>0.925820507</v>
                </pt>
                <pt idx="107">
                  <v>1.252764553</v>
                </pt>
                <pt idx="108">
                  <v>1.616190702</v>
                </pt>
                <pt idx="109">
                  <v>0.943826615</v>
                </pt>
                <pt idx="110">
                  <v>0.83500003</v>
                </pt>
                <pt idx="111">
                  <v>1.323027026</v>
                </pt>
                <pt idx="112">
                  <v>1.642779005</v>
                </pt>
                <pt idx="113">
                  <v>0.364447361</v>
                </pt>
                <pt idx="114">
                  <v>1.820583008</v>
                </pt>
                <pt idx="115">
                  <v>0.099774128</v>
                </pt>
                <pt idx="116">
                  <v>0.594361755</v>
                </pt>
                <pt idx="117">
                  <v>-0.324221003</v>
                </pt>
                <pt idx="118">
                  <v>0.621389215</v>
                </pt>
                <pt idx="119">
                  <v>-0.400349016</v>
                </pt>
                <pt idx="120">
                  <v>0.277314358</v>
                </pt>
                <pt idx="121">
                  <v>0.828227216</v>
                </pt>
                <pt idx="122">
                  <v>0.615502456</v>
                </pt>
                <pt idx="123">
                  <v>0.403528704</v>
                </pt>
                <pt idx="124">
                  <v>0.130655767</v>
                </pt>
                <pt idx="125">
                  <v>0.516723187</v>
                </pt>
                <pt idx="126">
                  <v>0.893377801</v>
                </pt>
                <pt idx="127">
                  <v>1.66689627</v>
                </pt>
                <pt idx="128">
                  <v>1.154045728</v>
                </pt>
                <pt idx="129">
                  <v>0.572916486</v>
                </pt>
                <pt idx="130">
                  <v>0.778738758</v>
                </pt>
                <pt idx="131">
                  <v>0.941247225</v>
                </pt>
                <pt idx="132">
                  <v>1.022027369</v>
                </pt>
                <pt idx="133">
                  <v>1.110882508</v>
                </pt>
                <pt idx="134">
                  <v>0.486604478</v>
                </pt>
                <pt idx="135">
                  <v>0.7856219800000001</v>
                </pt>
                <pt idx="136">
                  <v>0.567928238</v>
                </pt>
                <pt idx="137">
                  <v>1.34866612</v>
                </pt>
                <pt idx="138">
                  <v>0.245583731</v>
                </pt>
                <pt idx="139">
                  <v>0.150456188</v>
                </pt>
                <pt idx="140">
                  <v>0.843711696</v>
                </pt>
                <pt idx="141">
                  <v>0.293598861</v>
                </pt>
                <pt idx="142">
                  <v>0.6384345299999999</v>
                </pt>
                <pt idx="143">
                  <v>0.602306657</v>
                </pt>
                <pt idx="144">
                  <v>0.609644003</v>
                </pt>
                <pt idx="145">
                  <v>-0.407429474</v>
                </pt>
                <pt idx="146">
                  <v>0.572295345</v>
                </pt>
                <pt idx="147">
                  <v>-0.5268929020000001</v>
                </pt>
                <pt idx="148">
                  <v>-2.183097148</v>
                </pt>
                <pt idx="149">
                  <v>-1.165722531</v>
                </pt>
                <pt idx="150">
                  <v>-0.169238139</v>
                </pt>
                <pt idx="151">
                  <v>0.361929991</v>
                </pt>
                <pt idx="152">
                  <v>1.06796195</v>
                </pt>
                <pt idx="153">
                  <v>0.500053481</v>
                </pt>
                <pt idx="154">
                  <v>0.967704639</v>
                </pt>
                <pt idx="155">
                  <v>0.77314415</v>
                </pt>
                <pt idx="156">
                  <v>0.519595159</v>
                </pt>
                <pt idx="157">
                  <v>-0.240916068</v>
                </pt>
                <pt idx="158">
                  <v>0.678050751</v>
                </pt>
                <pt idx="159">
                  <v>-0.038767163</v>
                </pt>
                <pt idx="160">
                  <v>1.121678183</v>
                </pt>
                <pt idx="161">
                  <v>0.817922845</v>
                </pt>
                <pt idx="162">
                  <v>0.455859987</v>
                </pt>
                <pt idx="163">
                  <v>0.174882978</v>
                </pt>
                <pt idx="164">
                  <v>0.109838067</v>
                </pt>
                <pt idx="165">
                  <v>0.867789548</v>
                </pt>
                <pt idx="166">
                  <v>0.13938522</v>
                </pt>
                <pt idx="167">
                  <v>0.791653411</v>
                </pt>
                <pt idx="168">
                  <v>0.7111710020000001</v>
                </pt>
                <pt idx="169">
                  <v>-0.350109737</v>
                </pt>
                <pt idx="170">
                  <v>1.284128907</v>
                </pt>
                <pt idx="171">
                  <v>1.164961644</v>
                </pt>
                <pt idx="172">
                  <v>0.448993402</v>
                </pt>
                <pt idx="173">
                  <v>0.813313626</v>
                </pt>
                <pt idx="174">
                  <v>0.580001432</v>
                </pt>
                <pt idx="175">
                  <v>0.323372673</v>
                </pt>
                <pt idx="176">
                  <v>0.146234347</v>
                </pt>
                <pt idx="177">
                  <v>0.589179869</v>
                </pt>
                <pt idx="178">
                  <v>0.302388807</v>
                </pt>
                <pt idx="179">
                  <v>0.601115379</v>
                </pt>
                <pt idx="180">
                  <v>0.496888796</v>
                </pt>
                <pt idx="181">
                  <v>0.471931042</v>
                </pt>
                <pt idx="182">
                  <v>0.559764823</v>
                </pt>
                <pt idx="183">
                  <v>0.719149991</v>
                </pt>
                <pt idx="184">
                  <v>0.940399838</v>
                </pt>
                <pt idx="185">
                  <v>0.762854036</v>
                </pt>
                <pt idx="186">
                  <v>0.833910909</v>
                </pt>
                <pt idx="187">
                  <v>0.481952559</v>
                </pt>
                <pt idx="188">
                  <v>0.223141835</v>
                </pt>
                <pt idx="189">
                  <v>0.5977902899999999</v>
                </pt>
                <pt idx="190">
                  <v>0.792924408</v>
                </pt>
                <pt idx="191">
                  <v>0.685498791</v>
                </pt>
                <pt idx="192">
                  <v>0.469097618</v>
                </pt>
                <pt idx="193">
                  <v>-1.303582746</v>
                </pt>
                <pt idx="194">
                  <v>-8.937250500999999</v>
                </pt>
                <pt idx="195">
                  <v>7.547534636</v>
                </pt>
                <pt idx="196">
                  <v>1.115276766</v>
                </pt>
                <pt idx="197">
                  <v>1.533889627</v>
                </pt>
                <pt idx="198">
                  <v>1.64074654</v>
                </pt>
                <pt idx="199">
                  <v>0.570948111</v>
                </pt>
              </numCache>
            </numRef>
          </val>
          <smooth val="0"/>
        </ser>
        <dLbls>
          <showLegendKey val="0"/>
          <showVal val="0"/>
          <showCatName val="0"/>
          <showSerName val="0"/>
          <showPercent val="0"/>
          <showBubbleSize val="0"/>
        </dLbls>
        <smooth val="0"/>
        <axId val="92978823"/>
        <axId val="92978495"/>
      </line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charts/chart4.xml><?xml version="1.0" encoding="utf-8"?>
<chartSpace xmlns="http://schemas.openxmlformats.org/drawingml/2006/chart">
  <chart>
    <title>
      <tx>
        <strRef>
          <f>'Global View qoq'!$J$1</f>
          <strCache>
            <ptCount val="1"/>
            <pt idx="0">
              <v>USA GDP % qoq</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'Global View qoq'!$J$2</f>
              <strCache>
                <ptCount val="1"/>
                <pt idx="0">
                  <v>USA GDP % qoq annualized</v>
                </pt>
              </strCache>
            </strRef>
          </tx>
          <spPr>
            <a:solidFill xmlns:a="http://schemas.openxmlformats.org/drawingml/2006/main">
              <a:schemeClr val="accent1">
                <a:lumMod val="75000"/>
              </a:schemeClr>
            </a:solidFill>
            <a:ln xmlns:a="http://schemas.openxmlformats.org/drawingml/2006/main" w="41275">
              <a:solidFill>
                <a:schemeClr val="accent1"/>
              </a:solidFill>
              <a:prstDash val="solid"/>
            </a:ln>
          </spPr>
          <invertIfNegative val="0"/>
          <cat>
            <numRef>
              <f>'Global View qoq'!$A$240:$A$300</f>
              <numCache>
                <formatCode>mmm\-yy</formatCode>
                <ptCount val="61"/>
                <pt idx="0">
                  <v>39083</v>
                </pt>
                <pt idx="1">
                  <v>39173</v>
                </pt>
                <pt idx="2">
                  <v>39264</v>
                </pt>
                <pt idx="3">
                  <v>39356</v>
                </pt>
                <pt idx="4">
                  <v>39448</v>
                </pt>
                <pt idx="5">
                  <v>39539</v>
                </pt>
                <pt idx="6">
                  <v>39630</v>
                </pt>
                <pt idx="7">
                  <v>39722</v>
                </pt>
                <pt idx="8">
                  <v>39814</v>
                </pt>
                <pt idx="9">
                  <v>39904</v>
                </pt>
                <pt idx="10">
                  <v>39995</v>
                </pt>
                <pt idx="11">
                  <v>40087</v>
                </pt>
                <pt idx="12">
                  <v>40179</v>
                </pt>
                <pt idx="13">
                  <v>40269</v>
                </pt>
                <pt idx="14">
                  <v>40360</v>
                </pt>
                <pt idx="15">
                  <v>40452</v>
                </pt>
                <pt idx="16">
                  <v>40544</v>
                </pt>
                <pt idx="17">
                  <v>40634</v>
                </pt>
                <pt idx="18">
                  <v>40725</v>
                </pt>
                <pt idx="19">
                  <v>40817</v>
                </pt>
                <pt idx="20">
                  <v>40909</v>
                </pt>
                <pt idx="21">
                  <v>41000</v>
                </pt>
                <pt idx="22">
                  <v>41091</v>
                </pt>
                <pt idx="23">
                  <v>41183</v>
                </pt>
                <pt idx="24">
                  <v>41275</v>
                </pt>
                <pt idx="25">
                  <v>41365</v>
                </pt>
                <pt idx="26">
                  <v>41456</v>
                </pt>
                <pt idx="27">
                  <v>41548</v>
                </pt>
                <pt idx="28">
                  <v>41640</v>
                </pt>
                <pt idx="29">
                  <v>41730</v>
                </pt>
                <pt idx="30">
                  <v>41821</v>
                </pt>
                <pt idx="31">
                  <v>41913</v>
                </pt>
                <pt idx="32">
                  <v>42005</v>
                </pt>
                <pt idx="33">
                  <v>42095</v>
                </pt>
                <pt idx="34">
                  <v>42186</v>
                </pt>
                <pt idx="35">
                  <v>42278</v>
                </pt>
                <pt idx="36">
                  <v>42370</v>
                </pt>
                <pt idx="37">
                  <v>42461</v>
                </pt>
                <pt idx="38">
                  <v>42552</v>
                </pt>
                <pt idx="39">
                  <v>42644</v>
                </pt>
                <pt idx="40">
                  <v>42736</v>
                </pt>
                <pt idx="41">
                  <v>42826</v>
                </pt>
                <pt idx="42">
                  <v>42917</v>
                </pt>
                <pt idx="43">
                  <v>43009</v>
                </pt>
                <pt idx="44">
                  <v>43101</v>
                </pt>
                <pt idx="45">
                  <v>43191</v>
                </pt>
                <pt idx="46">
                  <v>43282</v>
                </pt>
                <pt idx="47">
                  <v>43374</v>
                </pt>
                <pt idx="48">
                  <v>43466</v>
                </pt>
                <pt idx="49">
                  <v>43556</v>
                </pt>
                <pt idx="50">
                  <v>43647</v>
                </pt>
                <pt idx="51">
                  <v>43739</v>
                </pt>
                <pt idx="52">
                  <v>43831</v>
                </pt>
                <pt idx="53">
                  <v>43922</v>
                </pt>
                <pt idx="54">
                  <v>44013</v>
                </pt>
                <pt idx="55">
                  <v>44105</v>
                </pt>
                <pt idx="56">
                  <v>44197</v>
                </pt>
                <pt idx="57">
                  <v>44287</v>
                </pt>
                <pt idx="58">
                  <v>44378</v>
                </pt>
                <pt idx="59">
                  <v>44470</v>
                </pt>
              </numCache>
            </numRef>
          </cat>
          <val>
            <numRef>
              <f>'Global View qoq'!$D$240:$D$300</f>
              <numCache>
                <formatCode>0.0%</formatCode>
                <ptCount val="61"/>
                <pt idx="0">
                  <v>0.03417798494562208</v>
                </pt>
                <pt idx="1">
                  <v>0.01179577592224246</v>
                </pt>
                <pt idx="2">
                  <v>0.02578298295103276</v>
                </pt>
                <pt idx="3">
                  <v>0.02431080558460086</v>
                </pt>
                <pt idx="4">
                  <v>0.02460966732292125</v>
                </pt>
                <pt idx="5">
                  <v>-0.01619784994985007</v>
                </pt>
                <pt idx="6">
                  <v>0.02308907780702874</v>
                </pt>
                <pt idx="7">
                  <v>-0.02090973072705993</v>
                </pt>
                <pt idx="8">
                  <v>-0.08450572869184225</v>
                </pt>
                <pt idx="9">
                  <v>-0.04581987380553965</v>
                </pt>
                <pt idx="10">
                  <v>-0.006752360012150405</v>
                </pt>
                <pt idx="11">
                  <v>0.01455598544426584</v>
                </pt>
                <pt idx="12">
                  <v>0.04340768886930357</v>
                </pt>
                <pt idx="13">
                  <v>0.02015267211604366</v>
                </pt>
                <pt idx="14">
                  <v>0.03927369052725105</v>
                </pt>
                <pt idx="15">
                  <v>0.03128626929254708</v>
                </pt>
                <pt idx="16">
                  <v>0.02094635568583536</v>
                </pt>
                <pt idx="17">
                  <v>-0.009601874286826684</v>
                </pt>
                <pt idx="18">
                  <v>0.02739913078926781</v>
                </pt>
                <pt idx="19">
                  <v>-0.001549785017272765</v>
                </pt>
                <pt idx="20">
                  <v>0.04562768532866857</v>
                </pt>
                <pt idx="21">
                  <v>0.03312050569807523</v>
                </pt>
                <pt idx="22">
                  <v>0.01835946383449771</v>
                </pt>
                <pt idx="23">
                  <v>0.007013690957473173</v>
                </pt>
                <pt idx="24">
                  <v>0.004400766622554952</v>
                </pt>
                <pt idx="25">
                  <v>0.03516603679661912</v>
                </pt>
                <pt idx="26">
                  <v>0.005587076579545602</v>
                </pt>
                <pt idx="27">
                  <v>0.03204415400626748</v>
                </pt>
                <pt idx="28">
                  <v>0.02875173989374025</v>
                </pt>
                <pt idx="29">
                  <v>-0.013931014894348</v>
                </pt>
                <pt idx="30">
                  <v>0.05236304574921058</v>
                </pt>
                <pt idx="31">
                  <v>0.0474190896011939</v>
                </pt>
                <pt idx="32">
                  <v>0.0180810555908637</v>
                </pt>
                <pt idx="33">
                  <v>0.03293158880779989</v>
                </pt>
                <pt idx="34">
                  <v>0.02340267986211542</v>
                </pt>
                <pt idx="35">
                  <v>0.01299778422090836</v>
                </pt>
                <pt idx="36">
                  <v>0.005862217083703269</v>
                </pt>
                <pt idx="37">
                  <v>0.0237762938107422</v>
                </pt>
                <pt idx="38">
                  <v>0.01215052635847935</v>
                </pt>
                <pt idx="39">
                  <v>0.02426228911238648</v>
                </pt>
                <pt idx="40">
                  <v>0.02002418225928815</v>
                </pt>
                <pt idx="41">
                  <v>0.01901129395294521</v>
                </pt>
                <pt idx="42">
                  <v>0.02257929747539289</v>
                </pt>
                <pt idx="43">
                  <v>0.02907779605095495</v>
                </pt>
                <pt idx="44">
                  <v>0.03814993903133446</v>
                </pt>
                <pt idx="45">
                  <v>0.03086510835503442</v>
                </pt>
                <pt idx="46">
                  <v>0.03377600526968649</v>
                </pt>
                <pt idx="47">
                  <v>0.01941791764943335</v>
                </pt>
                <pt idx="48">
                  <v>0.008955593234870829</v>
                </pt>
                <pt idx="49">
                  <v>0.02412687930467006</v>
                </pt>
                <pt idx="50">
                  <v>0.03209621188173561</v>
                </pt>
                <pt idx="51">
                  <v>0.0277031874907061</v>
                </pt>
                <pt idx="52">
                  <v>0.01889634965391473</v>
                </pt>
                <pt idx="53">
                  <v>-0.05113254503595832</v>
                </pt>
                <pt idx="54">
                  <v>-0.3123569846059873</v>
                </pt>
                <pt idx="55">
                  <v>0.3378327929868519</v>
                </pt>
                <pt idx="56">
                  <v>0.04536294038381761</v>
                </pt>
                <pt idx="57">
                  <v>0.06278176671892943</v>
                </pt>
                <pt idx="58">
                  <v>0.06726283147809986</v>
                </pt>
                <pt idx="59">
                  <v>0.02303425902456091</v>
                </pt>
              </numCache>
            </numRef>
          </val>
        </ser>
        <dLbls>
          <showLegendKey val="0"/>
          <showVal val="0"/>
          <showCatName val="0"/>
          <showSerName val="0"/>
          <showPercent val="0"/>
          <showBubbleSize val="0"/>
        </dLbls>
        <gapWidth val="208"/>
        <axId val="92978823"/>
        <axId val="92978495"/>
      </barChart>
      <dateAx>
        <axId val="92978823"/>
        <scaling>
          <orientation val="minMax"/>
        </scaling>
        <delete val="0"/>
        <axPos val="b"/>
        <numFmt formatCode="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495"/>
        <crosses val="autoZero"/>
        <lblOffset val="100"/>
        <baseTimeUnit val="months"/>
      </dateAx>
      <valAx>
        <axId val="92978495"/>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2978823"/>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drawing1.xml><?xml version="1.0" encoding="utf-8"?>
<wsDr xmlns="http://schemas.openxmlformats.org/drawingml/2006/spreadsheetDrawing">
  <twoCellAnchor>
    <from>
      <col>4</col>
      <colOff>285750</colOff>
      <row>110</row>
      <rowOff>152400</rowOff>
    </from>
    <to>
      <col>26</col>
      <colOff>171449</colOff>
      <row>135</row>
      <rowOff>95250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9524</colOff>
      <row>270</row>
      <rowOff>9525</rowOff>
    </from>
    <to>
      <col>11</col>
      <colOff>609599</colOff>
      <row>289</row>
      <rowOff>180975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5</col>
      <colOff>476249</colOff>
      <row>253</row>
      <rowOff>57150</rowOff>
    </from>
    <to>
      <col>13</col>
      <colOff>466724</colOff>
      <row>273</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400050</colOff>
      <row>274</row>
      <rowOff>0</rowOff>
    </from>
    <to>
      <col>13</col>
      <colOff>390525</colOff>
      <row>293</row>
      <rowOff>171450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13456789101112131415161734" displayName="Table13456789101112131415161734" ref="A1:C299" headerRowCount="1" totalsRowShown="0" headerRowDxfId="10" dataDxfId="9">
  <autoFilter ref="A1:C299"/>
  <tableColumns count="3">
    <tableColumn id="1" name="Data" dataDxfId="8"/>
    <tableColumn id="2" name="USA" dataDxfId="7">
      <calculatedColumnFormula>VLOOKUP(A2,'Data yoy'!$B:$AW,MATCH($B$1,'Data yoy'!$B$1:$AW$1,0),FALSE)</calculatedColumnFormula>
    </tableColumn>
    <tableColumn id="3"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134567891011121314151617343" displayName="Table134567891011121314151617343" ref="A1:D299" headerRowCount="1" totalsRowShown="0" headerRowDxfId="5" dataDxfId="4">
  <autoFilter ref="A1:D299"/>
  <tableColumns count="4">
    <tableColumn id="1" name="Data" dataDxfId="3"/>
    <tableColumn id="2" name="USA" dataDxfId="2">
      <calculatedColumnFormula>VLOOKUP(A2,'Data qoq'!$B:$AT,MATCH($B$1,'Data qoq'!$B$1:$AT$1,0),FALSE)</calculatedColumnFormula>
    </tableColumn>
    <tableColumn id="3" name="Quarter Change" dataDxfId="1">
      <calculatedColumnFormula>(B2/B1)-1</calculatedColumnFormula>
    </tableColumn>
    <tableColumn id="4"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data.oecd.org/gdp/quarterly-gdp.htm" TargetMode="External" Id="rId1"/><Relationship Type="http://schemas.openxmlformats.org/officeDocument/2006/relationships/hyperlink" Target="https://data.oecd.org/gdp/quarterly-gdp.htm" TargetMode="External" Id="rId2"/><Relationship Type="http://schemas.openxmlformats.org/officeDocument/2006/relationships/hyperlink" Target="https://tradingeconomics.com/" TargetMode="External" Id="rId3"/></Relationships>
</file>

<file path=xl/worksheets/_rels/sheet7.xml.rels><Relationships xmlns="http://schemas.openxmlformats.org/package/2006/relationships"><Relationship Type="http://schemas.openxmlformats.org/officeDocument/2006/relationships/drawing" Target="/xl/drawings/drawing1.xml" Id="rId1"/></Relationships>
</file>

<file path=xl/worksheets/_rels/sheet8.xml.rels><Relationships xmlns="http://schemas.openxmlformats.org/package/2006/relationships"><Relationship Type="http://schemas.openxmlformats.org/officeDocument/2006/relationships/hyperlink" Target="https://tradingeconomics.com/" TargetMode="External" Id="rId1"/></Relationships>
</file>

<file path=xl/worksheets/_rels/sheet9.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10.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sheet1.xml><?xml version="1.0" encoding="utf-8"?>
<worksheet xmlns="http://schemas.openxmlformats.org/spreadsheetml/2006/main">
  <sheetPr codeName="Sheet2">
    <tabColor rgb="FFFFFF00"/>
    <outlinePr summaryBelow="1" summaryRight="1"/>
    <pageSetUpPr/>
  </sheetPr>
  <dimension ref="B1:J40"/>
  <sheetViews>
    <sheetView tabSelected="1" zoomScale="130" zoomScaleNormal="130" workbookViewId="0">
      <selection activeCell="W14" sqref="W14"/>
    </sheetView>
  </sheetViews>
  <sheetFormatPr baseColWidth="10" defaultColWidth="9.1640625" defaultRowHeight="15"/>
  <cols>
    <col width="5.1640625" customWidth="1" style="74" min="1" max="1"/>
    <col width="12.83203125" customWidth="1" style="74" min="2" max="10"/>
    <col width="6.6640625" customWidth="1" style="74" min="11" max="11"/>
    <col width="9.1640625" customWidth="1" style="74" min="12" max="24"/>
    <col width="9.1640625" customWidth="1" style="74" min="25" max="16384"/>
  </cols>
  <sheetData>
    <row r="1" ht="16" customHeight="1" s="68" thickBot="1">
      <c r="B1" s="77" t="n"/>
    </row>
    <row r="2" ht="16" customHeight="1" s="68" thickBot="1">
      <c r="B2" s="78" t="n"/>
      <c r="C2" s="78" t="n"/>
      <c r="D2" s="78" t="n"/>
      <c r="E2" s="78" t="n"/>
      <c r="F2" s="78" t="n"/>
      <c r="G2" s="78" t="n"/>
      <c r="H2" s="78" t="n"/>
      <c r="I2" s="78" t="n"/>
      <c r="J2" s="78" t="n"/>
    </row>
    <row r="3" ht="16" customHeight="1" s="68" thickBot="1">
      <c r="B3" s="79" t="inlineStr">
        <is>
          <t>World GDP</t>
        </is>
      </c>
      <c r="C3" s="80" t="n"/>
      <c r="D3" s="80" t="n"/>
      <c r="E3" s="80" t="n"/>
      <c r="F3" s="80" t="n"/>
      <c r="G3" s="80" t="n"/>
      <c r="H3" s="80" t="n"/>
      <c r="I3" s="80" t="n"/>
      <c r="J3" s="81" t="n"/>
    </row>
    <row r="5">
      <c r="B5" s="82" t="inlineStr">
        <is>
          <t>Definition</t>
        </is>
      </c>
      <c r="C5" s="83" t="n"/>
      <c r="D5" s="83" t="n"/>
      <c r="E5" s="83" t="n"/>
      <c r="F5" s="83" t="n"/>
      <c r="G5" s="83" t="n"/>
      <c r="H5" s="83" t="n"/>
      <c r="I5" s="83" t="n"/>
      <c r="J5" s="84" t="n"/>
    </row>
    <row r="7" ht="132" customHeight="1" s="68">
      <c r="B7" s="85" t="inlineStr">
        <is>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is>
      </c>
    </row>
    <row r="8">
      <c r="B8" s="59" t="n"/>
      <c r="C8" s="57" t="n"/>
      <c r="D8" s="57" t="n"/>
      <c r="E8" s="57" t="n"/>
    </row>
    <row r="9">
      <c r="B9" s="82" t="inlineStr">
        <is>
          <t>Process / TO DO LIST</t>
        </is>
      </c>
      <c r="C9" s="83" t="n"/>
      <c r="D9" s="83" t="n"/>
      <c r="E9" s="83" t="n"/>
      <c r="F9" s="83" t="n"/>
      <c r="G9" s="83" t="n"/>
      <c r="H9" s="83" t="n"/>
      <c r="I9" s="83" t="n"/>
      <c r="J9" s="84" t="n"/>
    </row>
    <row r="10" ht="16" customHeight="1" s="68"/>
    <row r="11" ht="17" customHeight="1" s="68">
      <c r="B11" s="82" t="inlineStr">
        <is>
          <t>TO DO LIST</t>
        </is>
      </c>
      <c r="C11" s="83" t="n"/>
      <c r="D11" s="83" t="n"/>
      <c r="E11" s="83" t="n"/>
      <c r="F11" s="84" t="n"/>
      <c r="G11" s="82" t="inlineStr">
        <is>
          <t>Comments</t>
        </is>
      </c>
      <c r="H11" s="83" t="n"/>
      <c r="I11" s="83" t="n"/>
      <c r="J11" s="84" t="n"/>
    </row>
    <row r="12" ht="16" customHeight="1" s="68"/>
    <row r="13" ht="16" customHeight="1" s="68">
      <c r="B13" s="76" t="inlineStr">
        <is>
          <t>https://data.oecd.org/gdp/quarterly-gdp.htm#indicator-chart</t>
        </is>
      </c>
      <c r="G13" s="74" t="inlineStr">
        <is>
          <t>Data qoq</t>
        </is>
      </c>
    </row>
    <row r="14" ht="16" customHeight="1" s="68">
      <c r="B14" s="74" t="inlineStr">
        <is>
          <t>Select Quarterly GDP</t>
        </is>
      </c>
      <c r="G14" s="74" t="inlineStr">
        <is>
          <t>To update manually or with macro</t>
        </is>
      </c>
    </row>
    <row r="15" ht="16" customHeight="1" s="68">
      <c r="B15" s="74" t="inlineStr">
        <is>
          <t>Select Table</t>
        </is>
      </c>
      <c r="G15" s="74" t="inlineStr">
        <is>
          <t>In Data qoq tab</t>
        </is>
      </c>
    </row>
    <row r="16" ht="16" customHeight="1" s="68">
      <c r="B16" s="74" t="inlineStr">
        <is>
          <t>Select Percentage change, previous period</t>
        </is>
      </c>
    </row>
    <row r="17" ht="16" customHeight="1" s="68">
      <c r="B17" s="74" t="inlineStr">
        <is>
          <t>Select latest data available</t>
        </is>
      </c>
    </row>
    <row r="18" ht="16" customHeight="1" s="68"/>
    <row r="19" ht="16" customHeight="1" s="68">
      <c r="B19" s="76" t="inlineStr">
        <is>
          <t>https://data.oecd.org/gdp/quarterly-gdp.htm#indicator-chart</t>
        </is>
      </c>
      <c r="G19" s="74" t="inlineStr">
        <is>
          <t>Data yoy</t>
        </is>
      </c>
    </row>
    <row r="20" ht="16" customHeight="1" s="68">
      <c r="B20" s="74" t="inlineStr">
        <is>
          <t>Select Quarterly GDP</t>
        </is>
      </c>
      <c r="G20" s="74" t="inlineStr">
        <is>
          <t>To update manually or with macro</t>
        </is>
      </c>
    </row>
    <row r="21" ht="16" customHeight="1" s="68">
      <c r="B21" s="74" t="inlineStr">
        <is>
          <t>Select Table</t>
        </is>
      </c>
      <c r="G21" s="74" t="inlineStr">
        <is>
          <t>In Data you tab</t>
        </is>
      </c>
    </row>
    <row r="22" ht="16" customHeight="1" s="68">
      <c r="B22" s="74" t="inlineStr">
        <is>
          <t>Select Percentage change, previous year</t>
        </is>
      </c>
    </row>
    <row r="23" ht="16" customHeight="1" s="68">
      <c r="B23" s="74" t="inlineStr">
        <is>
          <t>Select latest data available</t>
        </is>
      </c>
    </row>
    <row r="24" ht="16" customHeight="1" s="68"/>
    <row r="25" ht="16" customHeight="1" s="68">
      <c r="B25" s="74" t="inlineStr">
        <is>
          <t>https://data.oecd.org/gdp/quarterly-gdp.htm</t>
        </is>
      </c>
    </row>
    <row r="26" ht="16" customHeight="1" s="68"/>
    <row r="27" ht="16" customHeight="1" s="68">
      <c r="B27" s="74" t="inlineStr">
        <is>
          <t>World GDP</t>
        </is>
      </c>
      <c r="G27" s="63" t="inlineStr">
        <is>
          <t>https://tradingeconomics.com/</t>
        </is>
      </c>
    </row>
    <row r="28" ht="16" customHeight="1" s="68"/>
    <row r="29" ht="16" customHeight="1" s="68"/>
    <row r="30" ht="30" customHeight="1" s="68"/>
    <row r="31" ht="16" customHeight="1" s="68"/>
    <row r="32" ht="16" customHeight="1" s="68"/>
    <row r="33" ht="16" customHeight="1" s="68"/>
    <row r="34" ht="16" customHeight="1" s="68"/>
    <row r="35" ht="16" customHeight="1" s="68"/>
    <row r="36" ht="17" customHeight="1" s="68"/>
    <row r="38">
      <c r="B38" s="1" t="n"/>
    </row>
    <row r="39">
      <c r="B39" s="75" t="n"/>
    </row>
    <row r="40">
      <c r="B40" s="58" t="n"/>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xmlns:r="http://schemas.openxmlformats.org/officeDocument/2006/relationships" ref="B13" location="indicator-chart" r:id="rId1"/>
    <hyperlink xmlns:r="http://schemas.openxmlformats.org/officeDocument/2006/relationships" ref="B19" location="indicator-chart" r:id="rId2"/>
    <hyperlink xmlns:r="http://schemas.openxmlformats.org/officeDocument/2006/relationships" ref="G27" r:id="rId3"/>
  </hyperlinks>
  <pageMargins left="0.7" right="0.7" top="0.75" bottom="0.75" header="0.3" footer="0.3"/>
</worksheet>
</file>

<file path=xl/worksheets/sheet2.xml><?xml version="1.0" encoding="utf-8"?>
<worksheet xmlns="http://schemas.openxmlformats.org/spreadsheetml/2006/main">
  <sheetPr codeName="Sheet3">
    <tabColor theme="6"/>
    <outlinePr summaryBelow="1" summaryRight="1"/>
    <pageSetUpPr/>
  </sheetPr>
  <dimension ref="A1:AU304"/>
  <sheetViews>
    <sheetView workbookViewId="0">
      <pane ySplit="1" topLeftCell="A2" activePane="bottomLeft" state="frozen"/>
      <selection activeCell="R1" sqref="R1"/>
      <selection pane="bottomLeft" activeCell="R1" sqref="R1"/>
    </sheetView>
  </sheetViews>
  <sheetFormatPr baseColWidth="10" defaultColWidth="9.1640625" defaultRowHeight="15"/>
  <cols>
    <col width="9.1640625" customWidth="1" style="68" min="1" max="1"/>
    <col width="16.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9"/>
    <col width="9.1640625" customWidth="1" style="68" min="60"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FIN</t>
        </is>
      </c>
      <c r="T1" t="inlineStr">
        <is>
          <t>FRA</t>
        </is>
      </c>
      <c r="U1" t="inlineStr">
        <is>
          <t>G-7</t>
        </is>
      </c>
      <c r="V1" t="inlineStr">
        <is>
          <t>GBR</t>
        </is>
      </c>
      <c r="W1" t="inlineStr">
        <is>
          <t>GRC</t>
        </is>
      </c>
      <c r="X1" t="inlineStr">
        <is>
          <t>HUN</t>
        </is>
      </c>
      <c r="Y1" t="inlineStr">
        <is>
          <t>IND</t>
        </is>
      </c>
      <c r="Z1" t="inlineStr">
        <is>
          <t>IRL</t>
        </is>
      </c>
      <c r="AA1" t="inlineStr">
        <is>
          <t>ISL</t>
        </is>
      </c>
      <c r="AB1" t="inlineStr">
        <is>
          <t>ISR</t>
        </is>
      </c>
      <c r="AC1" t="inlineStr">
        <is>
          <t>ITA</t>
        </is>
      </c>
      <c r="AD1" t="inlineStr">
        <is>
          <t>JPN</t>
        </is>
      </c>
      <c r="AE1" t="inlineStr">
        <is>
          <t>KOR</t>
        </is>
      </c>
      <c r="AF1" t="inlineStr">
        <is>
          <t>LUX</t>
        </is>
      </c>
      <c r="AG1" t="inlineStr">
        <is>
          <t>LVA</t>
        </is>
      </c>
      <c r="AH1" t="inlineStr">
        <is>
          <t>MEX</t>
        </is>
      </c>
      <c r="AI1" t="inlineStr">
        <is>
          <t>NLD</t>
        </is>
      </c>
      <c r="AJ1" t="inlineStr">
        <is>
          <t>NOR</t>
        </is>
      </c>
      <c r="AK1" t="inlineStr">
        <is>
          <t>NZL</t>
        </is>
      </c>
      <c r="AL1" t="inlineStr">
        <is>
          <t>OECD</t>
        </is>
      </c>
      <c r="AM1" t="inlineStr">
        <is>
          <t>POL</t>
        </is>
      </c>
      <c r="AN1" t="inlineStr">
        <is>
          <t>PRT</t>
        </is>
      </c>
      <c r="AO1" t="inlineStr">
        <is>
          <t>RUS</t>
        </is>
      </c>
      <c r="AP1" t="inlineStr">
        <is>
          <t>SVK</t>
        </is>
      </c>
      <c r="AQ1" t="inlineStr">
        <is>
          <t>SVN</t>
        </is>
      </c>
      <c r="AR1" t="inlineStr">
        <is>
          <t>SWE</t>
        </is>
      </c>
      <c r="AS1" t="inlineStr">
        <is>
          <t>TUR</t>
        </is>
      </c>
      <c r="AT1" t="inlineStr">
        <is>
          <t>USA</t>
        </is>
      </c>
      <c r="AU1" t="inlineStr">
        <is>
          <t>ZAF</t>
        </is>
      </c>
    </row>
    <row r="2">
      <c r="A2" t="inlineStr">
        <is>
          <t>1947-Q2</t>
        </is>
      </c>
      <c r="B2" s="87" t="n">
        <v>17349</v>
      </c>
      <c r="AT2" t="n">
        <v>-0.266705989</v>
      </c>
    </row>
    <row r="3">
      <c r="A3" t="inlineStr">
        <is>
          <t>1947-Q3</t>
        </is>
      </c>
      <c r="B3" s="87" t="n">
        <v>17441</v>
      </c>
      <c r="AT3" t="n">
        <v>-0.206503225</v>
      </c>
    </row>
    <row r="4">
      <c r="A4" t="inlineStr">
        <is>
          <t>1947-Q4</t>
        </is>
      </c>
      <c r="B4" s="87" t="n">
        <v>17533</v>
      </c>
      <c r="AT4" t="n">
        <v>1.56427638</v>
      </c>
    </row>
    <row r="5">
      <c r="A5" t="inlineStr">
        <is>
          <t>1948-Q1</t>
        </is>
      </c>
      <c r="B5" s="87" t="n">
        <v>17624</v>
      </c>
      <c r="AT5" t="n">
        <v>1.504200324</v>
      </c>
    </row>
    <row r="6">
      <c r="A6" t="inlineStr">
        <is>
          <t>1948-Q2</t>
        </is>
      </c>
      <c r="B6" s="87" t="n">
        <v>17715</v>
      </c>
      <c r="AT6" t="n">
        <v>1.650680594</v>
      </c>
    </row>
    <row r="7">
      <c r="A7" t="inlineStr">
        <is>
          <t>1948-Q3</t>
        </is>
      </c>
      <c r="B7" s="87" t="n">
        <v>17807</v>
      </c>
      <c r="AT7" t="n">
        <v>0.572930191</v>
      </c>
    </row>
    <row r="8">
      <c r="A8" t="inlineStr">
        <is>
          <t>1948-Q4</t>
        </is>
      </c>
      <c r="B8" s="87" t="n">
        <v>17899</v>
      </c>
      <c r="AT8" t="n">
        <v>0.111712158</v>
      </c>
    </row>
    <row r="9">
      <c r="A9" t="inlineStr">
        <is>
          <t>1949-Q1</t>
        </is>
      </c>
      <c r="B9" s="87" t="n">
        <v>17989</v>
      </c>
      <c r="AT9" t="n">
        <v>-1.37794649</v>
      </c>
    </row>
    <row r="10">
      <c r="A10" t="inlineStr">
        <is>
          <t>1949-Q2</t>
        </is>
      </c>
      <c r="B10" s="87" t="n">
        <v>18080</v>
      </c>
      <c r="AT10" t="n">
        <v>-0.34110093</v>
      </c>
    </row>
    <row r="11">
      <c r="A11" t="inlineStr">
        <is>
          <t>1949-Q3</t>
        </is>
      </c>
      <c r="B11" s="87" t="n">
        <v>18172</v>
      </c>
      <c r="AT11" t="n">
        <v>1.032424777</v>
      </c>
    </row>
    <row r="12">
      <c r="A12" t="inlineStr">
        <is>
          <t>1949-Q4</t>
        </is>
      </c>
      <c r="B12" s="87" t="n">
        <v>18264</v>
      </c>
      <c r="AT12" t="n">
        <v>-0.83926744</v>
      </c>
    </row>
    <row r="13">
      <c r="A13" t="inlineStr">
        <is>
          <t>1950-Q1</t>
        </is>
      </c>
      <c r="B13" s="87" t="n">
        <v>18354</v>
      </c>
      <c r="AT13" t="n">
        <v>3.930097999</v>
      </c>
    </row>
    <row r="14">
      <c r="A14" t="inlineStr">
        <is>
          <t>1950-Q2</t>
        </is>
      </c>
      <c r="B14" s="87" t="n">
        <v>18445</v>
      </c>
      <c r="AT14" t="n">
        <v>3.049810988</v>
      </c>
    </row>
    <row r="15">
      <c r="A15" t="inlineStr">
        <is>
          <t>1950-Q3</t>
        </is>
      </c>
      <c r="B15" s="87" t="n">
        <v>18537</v>
      </c>
      <c r="AT15" t="n">
        <v>3.864414603</v>
      </c>
    </row>
    <row r="16">
      <c r="A16" t="inlineStr">
        <is>
          <t>1950-Q4</t>
        </is>
      </c>
      <c r="B16" s="87" t="n">
        <v>18629</v>
      </c>
      <c r="AT16" t="n">
        <v>1.914780147</v>
      </c>
    </row>
    <row r="17">
      <c r="A17" t="inlineStr">
        <is>
          <t>1951-Q1</t>
        </is>
      </c>
      <c r="B17" s="87" t="n">
        <v>18719</v>
      </c>
      <c r="AT17" t="n">
        <v>1.358158764</v>
      </c>
    </row>
    <row r="18">
      <c r="A18" t="inlineStr">
        <is>
          <t>1951-Q2</t>
        </is>
      </c>
      <c r="B18" s="87" t="n">
        <v>18810</v>
      </c>
      <c r="AT18" t="n">
        <v>1.732710437</v>
      </c>
    </row>
    <row r="19">
      <c r="A19" t="inlineStr">
        <is>
          <t>1951-Q3</t>
        </is>
      </c>
      <c r="B19" s="87" t="n">
        <v>18902</v>
      </c>
      <c r="AT19" t="n">
        <v>2.060998798</v>
      </c>
    </row>
    <row r="20">
      <c r="A20" t="inlineStr">
        <is>
          <t>1951-Q4</t>
        </is>
      </c>
      <c r="B20" s="87" t="n">
        <v>18994</v>
      </c>
      <c r="AT20" t="n">
        <v>0.220249574</v>
      </c>
    </row>
    <row r="21">
      <c r="A21" t="inlineStr">
        <is>
          <t>1952-Q1</t>
        </is>
      </c>
      <c r="B21" s="87" t="n">
        <v>19085</v>
      </c>
      <c r="AT21" t="n">
        <v>1.068534409</v>
      </c>
    </row>
    <row r="22">
      <c r="A22" t="inlineStr">
        <is>
          <t>1952-Q2</t>
        </is>
      </c>
      <c r="B22" s="87" t="n">
        <v>19176</v>
      </c>
      <c r="AT22" t="n">
        <v>0.215396694</v>
      </c>
    </row>
    <row r="23">
      <c r="A23" t="inlineStr">
        <is>
          <t>1952-Q3</t>
        </is>
      </c>
      <c r="B23" s="87" t="n">
        <v>19268</v>
      </c>
      <c r="AT23" t="n">
        <v>0.721849215</v>
      </c>
    </row>
    <row r="24">
      <c r="A24" t="inlineStr">
        <is>
          <t>1952-Q4</t>
        </is>
      </c>
      <c r="B24" s="87" t="n">
        <v>19360</v>
      </c>
      <c r="AT24" t="n">
        <v>3.284215711</v>
      </c>
    </row>
    <row r="25">
      <c r="A25" t="inlineStr">
        <is>
          <t>1953-Q1</t>
        </is>
      </c>
      <c r="B25" s="87" t="n">
        <v>19450</v>
      </c>
      <c r="AT25" t="n">
        <v>1.858867482</v>
      </c>
    </row>
    <row r="26">
      <c r="A26" t="inlineStr">
        <is>
          <t>1953-Q2</t>
        </is>
      </c>
      <c r="B26" s="87" t="n">
        <v>19541</v>
      </c>
      <c r="AT26" t="n">
        <v>0.77293802</v>
      </c>
    </row>
    <row r="27">
      <c r="A27" t="inlineStr">
        <is>
          <t>1953-Q3</t>
        </is>
      </c>
      <c r="B27" s="87" t="n">
        <v>19633</v>
      </c>
      <c r="AT27" t="n">
        <v>-0.562677031</v>
      </c>
    </row>
    <row r="28">
      <c r="A28" t="inlineStr">
        <is>
          <t>1953-Q4</t>
        </is>
      </c>
      <c r="B28" s="87" t="n">
        <v>19725</v>
      </c>
      <c r="AT28" t="n">
        <v>-1.51394063</v>
      </c>
    </row>
    <row r="29">
      <c r="A29" t="inlineStr">
        <is>
          <t>1954-Q1</t>
        </is>
      </c>
      <c r="B29" s="87" t="n">
        <v>19815</v>
      </c>
      <c r="AT29" t="n">
        <v>-0.478023888</v>
      </c>
    </row>
    <row r="30">
      <c r="A30" t="inlineStr">
        <is>
          <t>1954-Q2</t>
        </is>
      </c>
      <c r="B30" s="87" t="n">
        <v>19906</v>
      </c>
      <c r="AT30" t="n">
        <v>0.108992196</v>
      </c>
    </row>
    <row r="31">
      <c r="A31" t="inlineStr">
        <is>
          <t>1954-Q3</t>
        </is>
      </c>
      <c r="B31" s="87" t="n">
        <v>19998</v>
      </c>
      <c r="AT31" t="n">
        <v>1.129346277</v>
      </c>
    </row>
    <row r="32">
      <c r="A32" t="inlineStr">
        <is>
          <t>1954-Q4</t>
        </is>
      </c>
      <c r="B32" s="87" t="n">
        <v>20090</v>
      </c>
      <c r="AT32" t="n">
        <v>1.956688077</v>
      </c>
    </row>
    <row r="33">
      <c r="A33" t="inlineStr">
        <is>
          <t>1955-Q1</t>
        </is>
      </c>
      <c r="B33" s="87" t="n">
        <v>20180</v>
      </c>
      <c r="AT33" t="n">
        <v>2.856234655</v>
      </c>
    </row>
    <row r="34">
      <c r="A34" t="inlineStr">
        <is>
          <t>1955-Q2</t>
        </is>
      </c>
      <c r="B34" s="87" t="n">
        <v>20271</v>
      </c>
      <c r="V34" t="n">
        <v>0.087361202</v>
      </c>
      <c r="AT34" t="n">
        <v>1.627204957</v>
      </c>
    </row>
    <row r="35">
      <c r="A35" t="inlineStr">
        <is>
          <t>1955-Q3</t>
        </is>
      </c>
      <c r="B35" s="87" t="n">
        <v>20363</v>
      </c>
      <c r="V35" t="n">
        <v>2.021421521</v>
      </c>
      <c r="AT35" t="n">
        <v>1.350464288</v>
      </c>
    </row>
    <row r="36">
      <c r="A36" t="inlineStr">
        <is>
          <t>1955-Q4</t>
        </is>
      </c>
      <c r="B36" s="87" t="n">
        <v>20455</v>
      </c>
      <c r="V36" t="n">
        <v>-0.543717267</v>
      </c>
      <c r="AT36" t="n">
        <v>0.600328737</v>
      </c>
    </row>
    <row r="37">
      <c r="A37" t="inlineStr">
        <is>
          <t>1956-Q1</t>
        </is>
      </c>
      <c r="B37" s="87" t="n">
        <v>20546</v>
      </c>
      <c r="V37" t="n">
        <v>1.149656309</v>
      </c>
      <c r="AT37" t="n">
        <v>-0.388380468</v>
      </c>
    </row>
    <row r="38">
      <c r="A38" t="inlineStr">
        <is>
          <t>1956-Q2</t>
        </is>
      </c>
      <c r="B38" s="87" t="n">
        <v>20637</v>
      </c>
      <c r="V38" t="n">
        <v>-0.176449549</v>
      </c>
      <c r="AT38" t="n">
        <v>0.8263194270000001</v>
      </c>
    </row>
    <row r="39">
      <c r="A39" t="inlineStr">
        <is>
          <t>1956-Q3</t>
        </is>
      </c>
      <c r="B39" s="87" t="n">
        <v>20729</v>
      </c>
      <c r="V39" t="n">
        <v>-0.116248517</v>
      </c>
      <c r="AT39" t="n">
        <v>-0.089839593</v>
      </c>
    </row>
    <row r="40">
      <c r="A40" t="inlineStr">
        <is>
          <t>1956-Q4</t>
        </is>
      </c>
      <c r="B40" s="87" t="n">
        <v>20821</v>
      </c>
      <c r="V40" t="n">
        <v>0.447997959</v>
      </c>
      <c r="AT40" t="n">
        <v>1.645864038</v>
      </c>
    </row>
    <row r="41">
      <c r="A41" t="inlineStr">
        <is>
          <t>1957-Q1</t>
        </is>
      </c>
      <c r="B41" s="87" t="n">
        <v>20911</v>
      </c>
      <c r="V41" t="n">
        <v>1.999857153</v>
      </c>
      <c r="AT41" t="n">
        <v>0.6402911529999999</v>
      </c>
    </row>
    <row r="42">
      <c r="A42" t="inlineStr">
        <is>
          <t>1957-Q2</t>
        </is>
      </c>
      <c r="B42" s="87" t="n">
        <v>21002</v>
      </c>
      <c r="V42" t="n">
        <v>0.010114449</v>
      </c>
      <c r="AT42" t="n">
        <v>-0.219085924</v>
      </c>
    </row>
    <row r="43">
      <c r="A43" t="inlineStr">
        <is>
          <t>1957-Q3</t>
        </is>
      </c>
      <c r="B43" s="87" t="n">
        <v>21094</v>
      </c>
      <c r="V43" t="n">
        <v>-0.614585116</v>
      </c>
      <c r="AT43" t="n">
        <v>0.980018402</v>
      </c>
    </row>
    <row r="44">
      <c r="A44" t="inlineStr">
        <is>
          <t>1957-Q4</t>
        </is>
      </c>
      <c r="B44" s="87" t="n">
        <v>21186</v>
      </c>
      <c r="V44" t="n">
        <v>0.180819087</v>
      </c>
      <c r="AT44" t="n">
        <v>-1.034279655</v>
      </c>
    </row>
    <row r="45">
      <c r="A45" t="inlineStr">
        <is>
          <t>1958-Q1</t>
        </is>
      </c>
      <c r="B45" s="87" t="n">
        <v>21276</v>
      </c>
      <c r="V45" t="n">
        <v>2.200292226</v>
      </c>
      <c r="AT45" t="n">
        <v>-2.595440045</v>
      </c>
    </row>
    <row r="46">
      <c r="A46" t="inlineStr">
        <is>
          <t>1958-Q2</t>
        </is>
      </c>
      <c r="B46" s="87" t="n">
        <v>21367</v>
      </c>
      <c r="V46" t="n">
        <v>-2.376164955</v>
      </c>
      <c r="AT46" t="n">
        <v>0.657226726</v>
      </c>
    </row>
    <row r="47">
      <c r="A47" t="inlineStr">
        <is>
          <t>1958-Q3</t>
        </is>
      </c>
      <c r="B47" s="87" t="n">
        <v>21459</v>
      </c>
      <c r="V47" t="n">
        <v>2.225685444</v>
      </c>
      <c r="AT47" t="n">
        <v>2.313217041</v>
      </c>
    </row>
    <row r="48">
      <c r="A48" t="inlineStr">
        <is>
          <t>1958-Q4</t>
        </is>
      </c>
      <c r="B48" s="87" t="n">
        <v>21551</v>
      </c>
      <c r="V48" t="n">
        <v>0.102656033</v>
      </c>
      <c r="AT48" t="n">
        <v>2.33810956</v>
      </c>
    </row>
    <row r="49">
      <c r="A49" t="inlineStr">
        <is>
          <t>1959-Q1</t>
        </is>
      </c>
      <c r="B49" s="87" t="n">
        <v>21641</v>
      </c>
      <c r="V49" t="n">
        <v>0.652804457</v>
      </c>
      <c r="AT49" t="n">
        <v>1.919552804</v>
      </c>
    </row>
    <row r="50">
      <c r="A50" t="inlineStr">
        <is>
          <t>1959-Q2</t>
        </is>
      </c>
      <c r="B50" s="87" t="n">
        <v>21732</v>
      </c>
      <c r="V50" t="n">
        <v>1.662864964</v>
      </c>
      <c r="AT50" t="n">
        <v>2.255169531</v>
      </c>
    </row>
    <row r="51">
      <c r="A51" t="inlineStr">
        <is>
          <t>1959-Q3</t>
        </is>
      </c>
      <c r="B51" s="87" t="n">
        <v>21824</v>
      </c>
      <c r="V51" t="n">
        <v>2.149476093</v>
      </c>
      <c r="AT51" t="n">
        <v>0.070560341</v>
      </c>
    </row>
    <row r="52">
      <c r="A52" t="inlineStr">
        <is>
          <t>1959-Q4</t>
        </is>
      </c>
      <c r="B52" s="87" t="n">
        <v>21916</v>
      </c>
      <c r="V52" t="n">
        <v>2.561117579</v>
      </c>
      <c r="AT52" t="n">
        <v>0.284889055</v>
      </c>
    </row>
    <row r="53">
      <c r="A53" t="inlineStr">
        <is>
          <t>1960-Q1</t>
        </is>
      </c>
      <c r="B53" s="87" t="n">
        <v>22007</v>
      </c>
      <c r="V53" t="n">
        <v>2.492165135</v>
      </c>
      <c r="AT53" t="n">
        <v>2.247714292</v>
      </c>
    </row>
    <row r="54">
      <c r="A54" t="inlineStr">
        <is>
          <t>1960-Q2</t>
        </is>
      </c>
      <c r="B54" s="87" t="n">
        <v>22098</v>
      </c>
      <c r="D54" t="n">
        <v>2.759372147</v>
      </c>
      <c r="E54" t="n">
        <v>2.339304868</v>
      </c>
      <c r="F54" t="n">
        <v>1.231744618</v>
      </c>
      <c r="I54" t="n">
        <v>2.027766777</v>
      </c>
      <c r="M54" t="n">
        <v>1.779654153</v>
      </c>
      <c r="N54" t="n">
        <v>0.622802525</v>
      </c>
      <c r="P54" t="n">
        <v>2.055865241</v>
      </c>
      <c r="S54" t="n">
        <v>2.221381977</v>
      </c>
      <c r="T54" t="n">
        <v>0.375710027</v>
      </c>
      <c r="V54" t="n">
        <v>-0.767569827</v>
      </c>
      <c r="W54" t="n">
        <v>3.419559355</v>
      </c>
      <c r="Z54" t="n">
        <v>1.359769408</v>
      </c>
      <c r="AA54" t="n">
        <v>-0.35800593</v>
      </c>
      <c r="AC54" t="n">
        <v>1.467602899</v>
      </c>
      <c r="AD54" t="n">
        <v>0.18434399</v>
      </c>
      <c r="AE54" t="n">
        <v>4.496005439</v>
      </c>
      <c r="AF54" t="n">
        <v>1.082788292</v>
      </c>
      <c r="AH54" t="n">
        <v>0.998134871</v>
      </c>
      <c r="AI54" t="n">
        <v>2.334749088</v>
      </c>
      <c r="AJ54" t="n">
        <v>0.764860177</v>
      </c>
      <c r="AN54" t="n">
        <v>0.646962228</v>
      </c>
      <c r="AR54" t="n">
        <v>1.355257579</v>
      </c>
      <c r="AT54" t="n">
        <v>-0.539073361</v>
      </c>
      <c r="AU54" t="n">
        <v>1.630732953</v>
      </c>
    </row>
    <row r="55">
      <c r="A55" t="inlineStr">
        <is>
          <t>1960-Q3</t>
        </is>
      </c>
      <c r="B55" s="87" t="n">
        <v>22190</v>
      </c>
      <c r="D55" t="n">
        <v>0.23356451</v>
      </c>
      <c r="E55" t="n">
        <v>1.255080236</v>
      </c>
      <c r="F55" t="n">
        <v>1.223442756</v>
      </c>
      <c r="I55" t="n">
        <v>3.665931806</v>
      </c>
      <c r="M55" t="n">
        <v>3.456686475</v>
      </c>
      <c r="N55" t="n">
        <v>1.02044357</v>
      </c>
      <c r="P55" t="n">
        <v>2.797368605</v>
      </c>
      <c r="S55" t="n">
        <v>1.115973755</v>
      </c>
      <c r="T55" t="n">
        <v>0.748560969</v>
      </c>
      <c r="V55" t="n">
        <v>1.511216554</v>
      </c>
      <c r="W55" t="n">
        <v>3.32465944</v>
      </c>
      <c r="Z55" t="n">
        <v>1.348898756</v>
      </c>
      <c r="AA55" t="n">
        <v>-0.361266351</v>
      </c>
      <c r="AC55" t="n">
        <v>1.468634793</v>
      </c>
      <c r="AD55" t="n">
        <v>3.43451683</v>
      </c>
      <c r="AE55" t="n">
        <v>-1.111562966</v>
      </c>
      <c r="AF55" t="n">
        <v>1.077075234</v>
      </c>
      <c r="AH55" t="n">
        <v>0.993700656</v>
      </c>
      <c r="AI55" t="n">
        <v>-1.710530287</v>
      </c>
      <c r="AJ55" t="n">
        <v>1.22377303</v>
      </c>
      <c r="AN55" t="n">
        <v>0.927049024</v>
      </c>
      <c r="AR55" t="n">
        <v>1.626155234</v>
      </c>
      <c r="AT55" t="n">
        <v>0.48942128</v>
      </c>
      <c r="AU55" t="n">
        <v>1.842597022</v>
      </c>
    </row>
    <row r="56">
      <c r="A56" t="inlineStr">
        <is>
          <t>1960-Q4</t>
        </is>
      </c>
      <c r="B56" s="87" t="n">
        <v>22282</v>
      </c>
      <c r="D56" t="n">
        <v>-0.190133093</v>
      </c>
      <c r="E56" t="n">
        <v>1.38629464</v>
      </c>
      <c r="F56" t="n">
        <v>1.215260222</v>
      </c>
      <c r="I56" t="n">
        <v>0.043890437</v>
      </c>
      <c r="M56" t="n">
        <v>1.022068212</v>
      </c>
      <c r="N56" t="n">
        <v>1.407604305</v>
      </c>
      <c r="P56" t="n">
        <v>2.013018902</v>
      </c>
      <c r="S56" t="n">
        <v>1.944552909</v>
      </c>
      <c r="T56" t="n">
        <v>1.185217727</v>
      </c>
      <c r="V56" t="n">
        <v>0.597423611</v>
      </c>
      <c r="W56" t="n">
        <v>3.235265421</v>
      </c>
      <c r="Z56" t="n">
        <v>1.338218574</v>
      </c>
      <c r="AA56" t="n">
        <v>-0.364557508</v>
      </c>
      <c r="AC56" t="n">
        <v>0.076755078</v>
      </c>
      <c r="AD56" t="n">
        <v>3.843474641</v>
      </c>
      <c r="AE56" t="n">
        <v>0.596298835</v>
      </c>
      <c r="AF56" t="n">
        <v>1.071420882</v>
      </c>
      <c r="AH56" t="n">
        <v>0.989300033</v>
      </c>
      <c r="AI56" t="n">
        <v>1.112932285</v>
      </c>
      <c r="AJ56" t="n">
        <v>1.668120064</v>
      </c>
      <c r="AN56" t="n">
        <v>1.200127462</v>
      </c>
      <c r="AR56" t="n">
        <v>1.871301104</v>
      </c>
      <c r="AT56" t="n">
        <v>-1.283403329</v>
      </c>
      <c r="AU56" t="n">
        <v>0.987063209</v>
      </c>
    </row>
    <row r="57">
      <c r="A57" t="inlineStr">
        <is>
          <t>1961-Q1</t>
        </is>
      </c>
      <c r="B57" s="87" t="n">
        <v>22372</v>
      </c>
      <c r="D57" t="n">
        <v>0.290755966</v>
      </c>
      <c r="E57" t="n">
        <v>2.805841783</v>
      </c>
      <c r="F57" t="n">
        <v>1.193447231</v>
      </c>
      <c r="I57" t="n">
        <v>3.421945777</v>
      </c>
      <c r="M57" t="n">
        <v>1.011727665</v>
      </c>
      <c r="N57" t="n">
        <v>1.77996132</v>
      </c>
      <c r="P57" t="n">
        <v>2.858310798</v>
      </c>
      <c r="S57" t="n">
        <v>3.483736152</v>
      </c>
      <c r="T57" t="n">
        <v>1.608373557</v>
      </c>
      <c r="V57" t="n">
        <v>1.630408633</v>
      </c>
      <c r="W57" t="n">
        <v>3.097724794</v>
      </c>
      <c r="Z57" t="n">
        <v>1.30889679</v>
      </c>
      <c r="AA57" t="n">
        <v>-0.352240613</v>
      </c>
      <c r="AC57" t="n">
        <v>3.582778288</v>
      </c>
      <c r="AD57" t="n">
        <v>3.03976225</v>
      </c>
      <c r="AE57" t="n">
        <v>3.20092662</v>
      </c>
      <c r="AF57" t="n">
        <v>1.04926086</v>
      </c>
      <c r="AH57" t="n">
        <v>0.973394787</v>
      </c>
      <c r="AI57" t="n">
        <v>0.347489188</v>
      </c>
      <c r="AJ57" t="n">
        <v>2.092317904</v>
      </c>
      <c r="AN57" t="n">
        <v>1.464149497</v>
      </c>
      <c r="AR57" t="n">
        <v>1.936294986</v>
      </c>
      <c r="AT57" t="n">
        <v>0.67490454</v>
      </c>
      <c r="AU57" t="n">
        <v>0.725319611</v>
      </c>
    </row>
    <row r="58">
      <c r="A58" t="inlineStr">
        <is>
          <t>1961-Q2</t>
        </is>
      </c>
      <c r="B58" s="87" t="n">
        <v>22463</v>
      </c>
      <c r="D58" t="n">
        <v>-1.106810814</v>
      </c>
      <c r="E58" t="n">
        <v>-0.349958719</v>
      </c>
      <c r="F58" t="n">
        <v>1.167163366</v>
      </c>
      <c r="H58" t="n">
        <v>2.529317084</v>
      </c>
      <c r="I58" t="n">
        <v>1.355571082</v>
      </c>
      <c r="M58" t="n">
        <v>-0.539334482</v>
      </c>
      <c r="N58" t="n">
        <v>1.800290872</v>
      </c>
      <c r="P58" t="n">
        <v>4.441130186</v>
      </c>
      <c r="S58" t="n">
        <v>0.737143131</v>
      </c>
      <c r="T58" t="n">
        <v>1.600329267</v>
      </c>
      <c r="V58" t="n">
        <v>0.423382052</v>
      </c>
      <c r="W58" t="n">
        <v>2.990153668</v>
      </c>
      <c r="Z58" t="n">
        <v>1.282233011</v>
      </c>
      <c r="AA58" t="n">
        <v>-0.361198058</v>
      </c>
      <c r="AC58" t="n">
        <v>2.115493108</v>
      </c>
      <c r="AD58" t="n">
        <v>2.131381825</v>
      </c>
      <c r="AE58" t="n">
        <v>4.316423271</v>
      </c>
      <c r="AF58" t="n">
        <v>1.031951641</v>
      </c>
      <c r="AH58" t="n">
        <v>0.9543473139999999</v>
      </c>
      <c r="AI58" t="n">
        <v>-1.393059879</v>
      </c>
      <c r="AJ58" t="n">
        <v>1.621275009</v>
      </c>
      <c r="AN58" t="n">
        <v>1.532256747</v>
      </c>
      <c r="AR58" t="n">
        <v>0.363511886</v>
      </c>
      <c r="AT58" t="n">
        <v>1.697434269</v>
      </c>
      <c r="AU58" t="n">
        <v>-0.436986588</v>
      </c>
    </row>
    <row r="59">
      <c r="A59" t="inlineStr">
        <is>
          <t>1961-Q3</t>
        </is>
      </c>
      <c r="B59" s="87" t="n">
        <v>22555</v>
      </c>
      <c r="D59" t="n">
        <v>-0.706177974</v>
      </c>
      <c r="E59" t="n">
        <v>1.256451829</v>
      </c>
      <c r="F59" t="n">
        <v>1.275744177</v>
      </c>
      <c r="H59" t="n">
        <v>2.409293109</v>
      </c>
      <c r="I59" t="n">
        <v>1.242126259</v>
      </c>
      <c r="M59" t="n">
        <v>2.052513111</v>
      </c>
      <c r="N59" t="n">
        <v>1.819055683</v>
      </c>
      <c r="P59" t="n">
        <v>2.042474721</v>
      </c>
      <c r="S59" t="n">
        <v>0.514003459</v>
      </c>
      <c r="T59" t="n">
        <v>1.59221853</v>
      </c>
      <c r="V59" t="n">
        <v>-0.511843107</v>
      </c>
      <c r="W59" t="n">
        <v>1.260397723</v>
      </c>
      <c r="Z59" t="n">
        <v>0.967543067</v>
      </c>
      <c r="AA59" t="n">
        <v>0.979253613</v>
      </c>
      <c r="AC59" t="n">
        <v>2.330642273</v>
      </c>
      <c r="AD59" t="n">
        <v>1.918908589</v>
      </c>
      <c r="AE59" t="n">
        <v>-1.825247143</v>
      </c>
      <c r="AF59" t="n">
        <v>0.610606289</v>
      </c>
      <c r="AH59" t="n">
        <v>1.007541979</v>
      </c>
      <c r="AI59" t="n">
        <v>0.117012238</v>
      </c>
      <c r="AJ59" t="n">
        <v>1.174077826</v>
      </c>
      <c r="AN59" t="n">
        <v>1.596982283</v>
      </c>
      <c r="AR59" t="n">
        <v>1.386708171</v>
      </c>
      <c r="AT59" t="n">
        <v>1.919586999</v>
      </c>
      <c r="AU59" t="n">
        <v>2.233624991</v>
      </c>
    </row>
    <row r="60">
      <c r="A60" t="inlineStr">
        <is>
          <t>1961-Q4</t>
        </is>
      </c>
      <c r="B60" s="87" t="n">
        <v>22647</v>
      </c>
      <c r="D60" t="n">
        <v>1.146065128</v>
      </c>
      <c r="E60" t="n">
        <v>0.227988195</v>
      </c>
      <c r="F60" t="n">
        <v>1.381073857</v>
      </c>
      <c r="H60" t="n">
        <v>1.396819941</v>
      </c>
      <c r="I60" t="n">
        <v>1.958044212</v>
      </c>
      <c r="M60" t="n">
        <v>0.455604549</v>
      </c>
      <c r="N60" t="n">
        <v>1.836175694</v>
      </c>
      <c r="P60" t="n">
        <v>2.821708201</v>
      </c>
      <c r="S60" t="n">
        <v>2.261307499</v>
      </c>
      <c r="T60" t="n">
        <v>1.699021949</v>
      </c>
      <c r="V60" t="n">
        <v>-0.173974263</v>
      </c>
      <c r="W60" t="n">
        <v>-0.5037466390000001</v>
      </c>
      <c r="Z60" t="n">
        <v>0.6351459310000001</v>
      </c>
      <c r="AA60" t="n">
        <v>2.389212807</v>
      </c>
      <c r="AC60" t="n">
        <v>1.913144697</v>
      </c>
      <c r="AD60" t="n">
        <v>4.587967502</v>
      </c>
      <c r="AE60" t="n">
        <v>1.297043617</v>
      </c>
      <c r="AF60" t="n">
        <v>0.165050539</v>
      </c>
      <c r="AH60" t="n">
        <v>1.057329044</v>
      </c>
      <c r="AI60" t="n">
        <v>1.605198657</v>
      </c>
      <c r="AJ60" t="n">
        <v>0.743972014</v>
      </c>
      <c r="AN60" t="n">
        <v>1.658386705</v>
      </c>
      <c r="AR60" t="n">
        <v>0.5032603329999999</v>
      </c>
      <c r="AT60" t="n">
        <v>1.961098063</v>
      </c>
      <c r="AU60" t="n">
        <v>0.909000229</v>
      </c>
    </row>
    <row r="61">
      <c r="A61" t="inlineStr">
        <is>
          <t>1962-Q1</t>
        </is>
      </c>
      <c r="B61" s="87" t="n">
        <v>22737</v>
      </c>
      <c r="D61" t="n">
        <v>2.798188223</v>
      </c>
      <c r="E61" t="n">
        <v>1.463309536</v>
      </c>
      <c r="F61" t="n">
        <v>1.346942099</v>
      </c>
      <c r="H61" t="n">
        <v>2.650176195</v>
      </c>
      <c r="I61" t="n">
        <v>0.575396157</v>
      </c>
      <c r="M61" t="n">
        <v>1.47335232</v>
      </c>
      <c r="N61" t="n">
        <v>1.851870187</v>
      </c>
      <c r="P61" t="n">
        <v>2.365594398</v>
      </c>
      <c r="S61" t="n">
        <v>1.346842612</v>
      </c>
      <c r="T61" t="n">
        <v>1.800279466</v>
      </c>
      <c r="V61" t="n">
        <v>0.447560794</v>
      </c>
      <c r="W61" t="n">
        <v>-0.505156768</v>
      </c>
      <c r="Z61" t="n">
        <v>0.623614891</v>
      </c>
      <c r="AA61" t="n">
        <v>2.324874544</v>
      </c>
      <c r="AC61" t="n">
        <v>1.479934673</v>
      </c>
      <c r="AD61" t="n">
        <v>1.342397804</v>
      </c>
      <c r="AE61" t="n">
        <v>1.991930454</v>
      </c>
      <c r="AF61" t="n">
        <v>0.160319072</v>
      </c>
      <c r="AH61" t="n">
        <v>1.038747449</v>
      </c>
      <c r="AI61" t="n">
        <v>2.720944794</v>
      </c>
      <c r="AJ61" t="n">
        <v>0.325072378</v>
      </c>
      <c r="AN61" t="n">
        <v>1.716390751</v>
      </c>
      <c r="AR61" t="n">
        <v>0.277189801</v>
      </c>
      <c r="AT61" t="n">
        <v>1.783648811</v>
      </c>
      <c r="AU61" t="n">
        <v>2.586581337</v>
      </c>
    </row>
    <row r="62">
      <c r="A62" t="inlineStr">
        <is>
          <t>1962-Q2</t>
        </is>
      </c>
      <c r="B62" s="87" t="n">
        <v>22828</v>
      </c>
      <c r="D62" t="n">
        <v>1.909331244</v>
      </c>
      <c r="E62" t="n">
        <v>-0.021812204</v>
      </c>
      <c r="F62" t="n">
        <v>1.322267863</v>
      </c>
      <c r="H62" t="n">
        <v>0.735856142</v>
      </c>
      <c r="I62" t="n">
        <v>1.155195043</v>
      </c>
      <c r="M62" t="n">
        <v>1.042343972</v>
      </c>
      <c r="N62" t="n">
        <v>1.123347161</v>
      </c>
      <c r="P62" t="n">
        <v>2.326175952</v>
      </c>
      <c r="S62" t="n">
        <v>-2.533564371</v>
      </c>
      <c r="T62" t="n">
        <v>1.615682117</v>
      </c>
      <c r="U62" t="n">
        <v>1.033735</v>
      </c>
      <c r="V62" t="n">
        <v>0.924888271</v>
      </c>
      <c r="W62" t="n">
        <v>-0.501022482</v>
      </c>
      <c r="Z62" t="n">
        <v>0.616916724</v>
      </c>
      <c r="AA62" t="n">
        <v>2.243606588</v>
      </c>
      <c r="AC62" t="n">
        <v>1.076640815</v>
      </c>
      <c r="AD62" t="n">
        <v>1.398081898</v>
      </c>
      <c r="AE62" t="n">
        <v>-1.868167524</v>
      </c>
      <c r="AF62" t="n">
        <v>0.161719511</v>
      </c>
      <c r="AH62" t="n">
        <v>1.018640474</v>
      </c>
      <c r="AI62" t="n">
        <v>2.087974212</v>
      </c>
      <c r="AJ62" t="n">
        <v>0.498362202</v>
      </c>
      <c r="AL62" t="n">
        <v>1.072472299</v>
      </c>
      <c r="AN62" t="n">
        <v>1.625878102</v>
      </c>
      <c r="AR62" t="n">
        <v>1.761047311</v>
      </c>
      <c r="AT62" t="n">
        <v>0.903663823</v>
      </c>
      <c r="AU62" t="n">
        <v>0.640571076</v>
      </c>
    </row>
    <row r="63">
      <c r="A63" t="inlineStr">
        <is>
          <t>1962-Q3</t>
        </is>
      </c>
      <c r="B63" s="87" t="n">
        <v>22920</v>
      </c>
      <c r="D63" t="n">
        <v>0.816679477</v>
      </c>
      <c r="E63" t="n">
        <v>0.839158414</v>
      </c>
      <c r="F63" t="n">
        <v>1.116325339</v>
      </c>
      <c r="H63" t="n">
        <v>1.316874822</v>
      </c>
      <c r="I63" t="n">
        <v>1.37074095</v>
      </c>
      <c r="M63" t="n">
        <v>2.395209581</v>
      </c>
      <c r="N63" t="n">
        <v>0.423810709</v>
      </c>
      <c r="P63" t="n">
        <v>2.449012722</v>
      </c>
      <c r="S63" t="n">
        <v>1.952450944</v>
      </c>
      <c r="T63" t="n">
        <v>1.439785328</v>
      </c>
      <c r="U63" t="n">
        <v>1.298646</v>
      </c>
      <c r="V63" t="n">
        <v>0.625434794</v>
      </c>
      <c r="W63" t="n">
        <v>1.289493266</v>
      </c>
      <c r="Z63" t="n">
        <v>0.9622938170000001</v>
      </c>
      <c r="AA63" t="n">
        <v>2.414549729</v>
      </c>
      <c r="AC63" t="n">
        <v>0.600370464</v>
      </c>
      <c r="AD63" t="n">
        <v>1.221843407</v>
      </c>
      <c r="AE63" t="n">
        <v>2.927449609</v>
      </c>
      <c r="AF63" t="n">
        <v>0.423164737</v>
      </c>
      <c r="AH63" t="n">
        <v>1.402493898</v>
      </c>
      <c r="AI63" t="n">
        <v>3.147562475</v>
      </c>
      <c r="AJ63" t="n">
        <v>0.669292009</v>
      </c>
      <c r="AL63" t="n">
        <v>1.384705295</v>
      </c>
      <c r="AN63" t="n">
        <v>1.5393379</v>
      </c>
      <c r="AR63" t="n">
        <v>2.447209631</v>
      </c>
      <c r="AT63" t="n">
        <v>1.228513048</v>
      </c>
      <c r="AU63" t="n">
        <v>1.95202764</v>
      </c>
    </row>
    <row r="64">
      <c r="A64" t="inlineStr">
        <is>
          <t>1962-Q4</t>
        </is>
      </c>
      <c r="B64" s="87" t="n">
        <v>23012</v>
      </c>
      <c r="D64" t="n">
        <v>1.803923704</v>
      </c>
      <c r="E64" t="n">
        <v>0.090983336</v>
      </c>
      <c r="F64" t="n">
        <v>0.896894853</v>
      </c>
      <c r="H64" t="n">
        <v>2.037445365</v>
      </c>
      <c r="I64" t="n">
        <v>0.64523921</v>
      </c>
      <c r="M64" t="n">
        <v>-0.216173587</v>
      </c>
      <c r="N64" t="n">
        <v>-0.262186258</v>
      </c>
      <c r="P64" t="n">
        <v>0.268262459</v>
      </c>
      <c r="S64" t="n">
        <v>1.778152118</v>
      </c>
      <c r="T64" t="n">
        <v>1.251796955</v>
      </c>
      <c r="U64" t="n">
        <v>0.589251</v>
      </c>
      <c r="V64" t="n">
        <v>-0.39287115</v>
      </c>
      <c r="W64" t="n">
        <v>3.164249605</v>
      </c>
      <c r="Z64" t="n">
        <v>1.318174835</v>
      </c>
      <c r="AA64" t="n">
        <v>2.573507349</v>
      </c>
      <c r="AC64" t="n">
        <v>1.501587062</v>
      </c>
      <c r="AD64" t="n">
        <v>2.089625056</v>
      </c>
      <c r="AE64" t="n">
        <v>2.880017792</v>
      </c>
      <c r="AF64" t="n">
        <v>0.69832778</v>
      </c>
      <c r="AH64" t="n">
        <v>1.791419668</v>
      </c>
      <c r="AI64" t="n">
        <v>-0.341937111</v>
      </c>
      <c r="AJ64" t="n">
        <v>0.8371290260000001</v>
      </c>
      <c r="AL64" t="n">
        <v>0.7131559079999999</v>
      </c>
      <c r="AN64" t="n">
        <v>1.456390797</v>
      </c>
      <c r="AR64" t="n">
        <v>0.824052305</v>
      </c>
      <c r="AT64" t="n">
        <v>0.328901576</v>
      </c>
      <c r="AU64" t="n">
        <v>1.280861445</v>
      </c>
    </row>
    <row r="65">
      <c r="A65" t="inlineStr">
        <is>
          <t>1963-Q1</t>
        </is>
      </c>
      <c r="B65" s="87" t="n">
        <v>23102</v>
      </c>
      <c r="D65" t="n">
        <v>2.300203274</v>
      </c>
      <c r="E65" t="n">
        <v>0.367610745</v>
      </c>
      <c r="F65" t="n">
        <v>0.881895777</v>
      </c>
      <c r="H65" t="n">
        <v>0.607109886</v>
      </c>
      <c r="I65" t="n">
        <v>-0.905599119</v>
      </c>
      <c r="M65" t="n">
        <v>-3.498025877</v>
      </c>
      <c r="N65" t="n">
        <v>-0.9488824890000001</v>
      </c>
      <c r="P65" t="n">
        <v>5.752952622</v>
      </c>
      <c r="S65" t="n">
        <v>-0.934114804</v>
      </c>
      <c r="T65" t="n">
        <v>-1.665799419</v>
      </c>
      <c r="U65" t="n">
        <v>0.161369</v>
      </c>
      <c r="V65" t="n">
        <v>0.419113721</v>
      </c>
      <c r="W65" t="n">
        <v>3.049262433</v>
      </c>
      <c r="Z65" t="n">
        <v>1.289556448</v>
      </c>
      <c r="AA65" t="n">
        <v>2.485088936</v>
      </c>
      <c r="AC65" t="n">
        <v>0.663827765</v>
      </c>
      <c r="AD65" t="n">
        <v>1.366700433</v>
      </c>
      <c r="AE65" t="n">
        <v>5.859393765</v>
      </c>
      <c r="AF65" t="n">
        <v>0.696456251</v>
      </c>
      <c r="AH65" t="n">
        <v>1.750783472</v>
      </c>
      <c r="AI65" t="n">
        <v>-6.27285825</v>
      </c>
      <c r="AJ65" t="n">
        <v>1.001035817</v>
      </c>
      <c r="AL65" t="n">
        <v>0.375599636</v>
      </c>
      <c r="AN65" t="n">
        <v>1.376693844</v>
      </c>
      <c r="AR65" t="n">
        <v>-1.027403198</v>
      </c>
      <c r="AT65" t="n">
        <v>1.091574332</v>
      </c>
      <c r="AU65" t="n">
        <v>1.32273788</v>
      </c>
    </row>
    <row r="66">
      <c r="A66" t="inlineStr">
        <is>
          <t>1963-Q2</t>
        </is>
      </c>
      <c r="B66" s="87" t="n">
        <v>23193</v>
      </c>
      <c r="D66" t="n">
        <v>-1.307257896</v>
      </c>
      <c r="E66" t="n">
        <v>2.915281409</v>
      </c>
      <c r="F66" t="n">
        <v>0.866731394</v>
      </c>
      <c r="H66" t="n">
        <v>1.462353237</v>
      </c>
      <c r="I66" t="n">
        <v>3.835381388</v>
      </c>
      <c r="M66" t="n">
        <v>4.484411506</v>
      </c>
      <c r="N66" t="n">
        <v>0.138765644</v>
      </c>
      <c r="P66" t="n">
        <v>0.08289023099999999</v>
      </c>
      <c r="S66" t="n">
        <v>1.982456512</v>
      </c>
      <c r="T66" t="n">
        <v>4.465475469</v>
      </c>
      <c r="U66" t="n">
        <v>2.455126</v>
      </c>
      <c r="V66" t="n">
        <v>4.391631443</v>
      </c>
      <c r="W66" t="n">
        <v>2.928359036</v>
      </c>
      <c r="Z66" t="n">
        <v>1.263608195</v>
      </c>
      <c r="AA66" t="n">
        <v>2.408236561</v>
      </c>
      <c r="AC66" t="n">
        <v>2.741399476</v>
      </c>
      <c r="AD66" t="n">
        <v>2.943448429</v>
      </c>
      <c r="AE66" t="n">
        <v>-2.358560133</v>
      </c>
      <c r="AF66" t="n">
        <v>0.6775289289999999</v>
      </c>
      <c r="AH66" t="n">
        <v>1.701509231</v>
      </c>
      <c r="AI66" t="n">
        <v>8.940364184</v>
      </c>
      <c r="AJ66" t="n">
        <v>1.057420293</v>
      </c>
      <c r="AL66" t="n">
        <v>2.377953397</v>
      </c>
      <c r="AN66" t="n">
        <v>1.411943883</v>
      </c>
      <c r="AR66" t="n">
        <v>3.823815287</v>
      </c>
      <c r="AT66" t="n">
        <v>1.122121453</v>
      </c>
      <c r="AU66" t="n">
        <v>2.644226981</v>
      </c>
    </row>
    <row r="67">
      <c r="A67" t="inlineStr">
        <is>
          <t>1963-Q3</t>
        </is>
      </c>
      <c r="B67" s="87" t="n">
        <v>23285</v>
      </c>
      <c r="D67" t="n">
        <v>4.115449825</v>
      </c>
      <c r="E67" t="n">
        <v>1.087485258</v>
      </c>
      <c r="F67" t="n">
        <v>1.449746943</v>
      </c>
      <c r="H67" t="n">
        <v>0.7778835549999999</v>
      </c>
      <c r="I67" t="n">
        <v>2.228737774</v>
      </c>
      <c r="M67" t="n">
        <v>3.469247781</v>
      </c>
      <c r="N67" t="n">
        <v>1.233791731</v>
      </c>
      <c r="P67" t="n">
        <v>2.157735448</v>
      </c>
      <c r="S67" t="n">
        <v>1.044761167</v>
      </c>
      <c r="T67" t="n">
        <v>3.298802433</v>
      </c>
      <c r="U67" t="n">
        <v>2.258504</v>
      </c>
      <c r="V67" t="n">
        <v>0.485115485</v>
      </c>
      <c r="W67" t="n">
        <v>2.367085247</v>
      </c>
      <c r="Z67" t="n">
        <v>1.121533614</v>
      </c>
      <c r="AA67" t="n">
        <v>2.521477659</v>
      </c>
      <c r="AC67" t="n">
        <v>1.641304821</v>
      </c>
      <c r="AD67" t="n">
        <v>2.932389591</v>
      </c>
      <c r="AE67" t="n">
        <v>3.295069015</v>
      </c>
      <c r="AF67" t="n">
        <v>1.569826892</v>
      </c>
      <c r="AH67" t="n">
        <v>2.353728498</v>
      </c>
      <c r="AI67" t="n">
        <v>2.402534165</v>
      </c>
      <c r="AJ67" t="n">
        <v>1.11193064</v>
      </c>
      <c r="AL67" t="n">
        <v>2.231215402</v>
      </c>
      <c r="AN67" t="n">
        <v>1.445410635</v>
      </c>
      <c r="AR67" t="n">
        <v>1.854547042</v>
      </c>
      <c r="AT67" t="n">
        <v>2.198434459</v>
      </c>
      <c r="AU67" t="n">
        <v>2.639167193</v>
      </c>
    </row>
    <row r="68">
      <c r="A68" t="inlineStr">
        <is>
          <t>1963-Q4</t>
        </is>
      </c>
      <c r="B68" s="87" t="n">
        <v>23377</v>
      </c>
      <c r="D68" t="n">
        <v>2.147500732</v>
      </c>
      <c r="E68" t="n">
        <v>2.038743111</v>
      </c>
      <c r="F68" t="n">
        <v>2.044499523</v>
      </c>
      <c r="H68" t="n">
        <v>3.138726959</v>
      </c>
      <c r="I68" t="n">
        <v>1.086477559</v>
      </c>
      <c r="M68" t="n">
        <v>0.483965882</v>
      </c>
      <c r="N68" t="n">
        <v>2.300600033</v>
      </c>
      <c r="P68" t="n">
        <v>1.861635924</v>
      </c>
      <c r="S68" t="n">
        <v>2.116155586</v>
      </c>
      <c r="T68" t="n">
        <v>0.311286644</v>
      </c>
      <c r="U68" t="n">
        <v>1.172494</v>
      </c>
      <c r="V68" t="n">
        <v>2.266247672</v>
      </c>
      <c r="W68" t="n">
        <v>1.796958436</v>
      </c>
      <c r="Z68" t="n">
        <v>0.968148037</v>
      </c>
      <c r="AA68" t="n">
        <v>2.621828944</v>
      </c>
      <c r="AC68" t="n">
        <v>1.028412174</v>
      </c>
      <c r="AD68" t="n">
        <v>3.445524369</v>
      </c>
      <c r="AE68" t="n">
        <v>0.093359129</v>
      </c>
      <c r="AF68" t="n">
        <v>2.483195981</v>
      </c>
      <c r="AH68" t="n">
        <v>2.998675381</v>
      </c>
      <c r="AI68" t="n">
        <v>2.105748604</v>
      </c>
      <c r="AJ68" t="n">
        <v>1.164630214</v>
      </c>
      <c r="AL68" t="n">
        <v>1.303563043</v>
      </c>
      <c r="AN68" t="n">
        <v>1.477252709</v>
      </c>
      <c r="AR68" t="n">
        <v>0.877163154</v>
      </c>
      <c r="AT68" t="n">
        <v>0.655602437</v>
      </c>
      <c r="AU68" t="n">
        <v>1.762170542</v>
      </c>
    </row>
    <row r="69">
      <c r="A69" t="inlineStr">
        <is>
          <t>1964-Q1</t>
        </is>
      </c>
      <c r="B69" s="87" t="n">
        <v>23468</v>
      </c>
      <c r="D69" t="n">
        <v>-0.169383866</v>
      </c>
      <c r="E69" t="n">
        <v>1.006058114</v>
      </c>
      <c r="F69" t="n">
        <v>1.987689142</v>
      </c>
      <c r="H69" t="n">
        <v>2.480651545</v>
      </c>
      <c r="I69" t="n">
        <v>0.124762743</v>
      </c>
      <c r="M69" t="n">
        <v>1.375907483</v>
      </c>
      <c r="N69" t="n">
        <v>3.30640327</v>
      </c>
      <c r="P69" t="n">
        <v>0.565485382</v>
      </c>
      <c r="S69" t="n">
        <v>1.262608858</v>
      </c>
      <c r="T69" t="n">
        <v>1.882604425</v>
      </c>
      <c r="U69" t="n">
        <v>1.926594</v>
      </c>
      <c r="V69" t="n">
        <v>0.621379674</v>
      </c>
      <c r="W69" t="n">
        <v>1.745428994</v>
      </c>
      <c r="Z69" t="n">
        <v>0.946943572</v>
      </c>
      <c r="AA69" t="n">
        <v>2.529644189</v>
      </c>
      <c r="AC69" t="n">
        <v>1.482283155</v>
      </c>
      <c r="AD69" t="n">
        <v>3.189414254</v>
      </c>
      <c r="AE69" t="n">
        <v>5.970535022</v>
      </c>
      <c r="AF69" t="n">
        <v>2.403890946</v>
      </c>
      <c r="AH69" t="n">
        <v>2.887235401</v>
      </c>
      <c r="AI69" t="n">
        <v>1.337372026</v>
      </c>
      <c r="AJ69" t="n">
        <v>1.215329716</v>
      </c>
      <c r="AL69" t="n">
        <v>1.824062436</v>
      </c>
      <c r="AN69" t="n">
        <v>1.507420814</v>
      </c>
      <c r="AR69" t="n">
        <v>2.477562222</v>
      </c>
      <c r="AT69" t="n">
        <v>2.108252099</v>
      </c>
      <c r="AU69" t="n">
        <v>1.873091613</v>
      </c>
    </row>
    <row r="70">
      <c r="A70" t="inlineStr">
        <is>
          <t>1964-Q2</t>
        </is>
      </c>
      <c r="B70" s="87" t="n">
        <v>23559</v>
      </c>
      <c r="D70" t="n">
        <v>2.457738132</v>
      </c>
      <c r="E70" t="n">
        <v>1.447898917</v>
      </c>
      <c r="F70" t="n">
        <v>1.943285651</v>
      </c>
      <c r="H70" t="n">
        <v>0.36854719</v>
      </c>
      <c r="I70" t="n">
        <v>3.526248848</v>
      </c>
      <c r="M70" t="n">
        <v>1.221775492</v>
      </c>
      <c r="N70" t="n">
        <v>2.609488113</v>
      </c>
      <c r="P70" t="n">
        <v>1.648014179</v>
      </c>
      <c r="S70" t="n">
        <v>0.867410838</v>
      </c>
      <c r="T70" t="n">
        <v>0.958920529</v>
      </c>
      <c r="U70" t="n">
        <v>1.113247</v>
      </c>
      <c r="V70" t="n">
        <v>1.863709687</v>
      </c>
      <c r="W70" t="n">
        <v>1.715966667</v>
      </c>
      <c r="Z70" t="n">
        <v>0.939508463</v>
      </c>
      <c r="AA70" t="n">
        <v>2.464762652</v>
      </c>
      <c r="AC70" t="n">
        <v>-1.011876839</v>
      </c>
      <c r="AD70" t="n">
        <v>2.412494839</v>
      </c>
      <c r="AE70" t="n">
        <v>-2.874867444</v>
      </c>
      <c r="AF70" t="n">
        <v>2.34065558</v>
      </c>
      <c r="AH70" t="n">
        <v>2.799082004</v>
      </c>
      <c r="AI70" t="n">
        <v>0.864344699</v>
      </c>
      <c r="AJ70" t="n">
        <v>1.289769828</v>
      </c>
      <c r="AL70" t="n">
        <v>1.241076999</v>
      </c>
      <c r="AN70" t="n">
        <v>1.692709544</v>
      </c>
      <c r="AR70" t="n">
        <v>0.5418442020000001</v>
      </c>
      <c r="AT70" t="n">
        <v>1.08873369</v>
      </c>
      <c r="AU70" t="n">
        <v>1.809866683</v>
      </c>
    </row>
    <row r="71">
      <c r="A71" t="inlineStr">
        <is>
          <t>1964-Q3</t>
        </is>
      </c>
      <c r="B71" s="87" t="n">
        <v>23651</v>
      </c>
      <c r="D71" t="n">
        <v>0.630745814</v>
      </c>
      <c r="E71" t="n">
        <v>0.900527624</v>
      </c>
      <c r="F71" t="n">
        <v>1.344338307</v>
      </c>
      <c r="H71" t="n">
        <v>1.042062097</v>
      </c>
      <c r="I71" t="n">
        <v>-0.546061046</v>
      </c>
      <c r="M71" t="n">
        <v>1.039093942</v>
      </c>
      <c r="N71" t="n">
        <v>1.967066641</v>
      </c>
      <c r="P71" t="n">
        <v>0.75129305</v>
      </c>
      <c r="S71" t="n">
        <v>1.604947332</v>
      </c>
      <c r="T71" t="n">
        <v>1.226254685</v>
      </c>
      <c r="U71" t="n">
        <v>1.195554</v>
      </c>
      <c r="V71" t="n">
        <v>0.383813352</v>
      </c>
      <c r="W71" t="n">
        <v>2.157617757</v>
      </c>
      <c r="Z71" t="n">
        <v>0.720306033</v>
      </c>
      <c r="AA71" t="n">
        <v>1.990517774</v>
      </c>
      <c r="AC71" t="n">
        <v>-0.168904093</v>
      </c>
      <c r="AD71" t="n">
        <v>1.544361338</v>
      </c>
      <c r="AE71" t="n">
        <v>6.805402395</v>
      </c>
      <c r="AF71" t="n">
        <v>1.266755839</v>
      </c>
      <c r="AH71" t="n">
        <v>2.101629964</v>
      </c>
      <c r="AI71" t="n">
        <v>1.889446915</v>
      </c>
      <c r="AJ71" t="n">
        <v>1.361210281</v>
      </c>
      <c r="AL71" t="n">
        <v>1.219448107</v>
      </c>
      <c r="AN71" t="n">
        <v>1.868849429</v>
      </c>
      <c r="AR71" t="n">
        <v>1.995749957</v>
      </c>
      <c r="AT71" t="n">
        <v>1.562300666</v>
      </c>
      <c r="AU71" t="n">
        <v>0.939568527</v>
      </c>
    </row>
    <row r="72">
      <c r="A72" t="inlineStr">
        <is>
          <t>1964-Q4</t>
        </is>
      </c>
      <c r="B72" s="87" t="n">
        <v>23743</v>
      </c>
      <c r="D72" t="n">
        <v>2.845976066</v>
      </c>
      <c r="E72" t="n">
        <v>2.854332243</v>
      </c>
      <c r="F72" t="n">
        <v>0.747161739</v>
      </c>
      <c r="H72" t="n">
        <v>0.5398924389999999</v>
      </c>
      <c r="I72" t="n">
        <v>-0.611582055</v>
      </c>
      <c r="M72" t="n">
        <v>1.360335531</v>
      </c>
      <c r="N72" t="n">
        <v>1.364173526</v>
      </c>
      <c r="P72" t="n">
        <v>2.174160309</v>
      </c>
      <c r="S72" t="n">
        <v>-0.640689736</v>
      </c>
      <c r="T72" t="n">
        <v>0.9037387019999999</v>
      </c>
      <c r="U72" t="n">
        <v>0.665303</v>
      </c>
      <c r="V72" t="n">
        <v>1.51794316</v>
      </c>
      <c r="W72" t="n">
        <v>2.59261281</v>
      </c>
      <c r="Z72" t="n">
        <v>0.496768236</v>
      </c>
      <c r="AA72" t="n">
        <v>1.526308194</v>
      </c>
      <c r="AC72" t="n">
        <v>-0.418482889</v>
      </c>
      <c r="AD72" t="n">
        <v>1.250663295</v>
      </c>
      <c r="AE72" t="n">
        <v>4.019545705</v>
      </c>
      <c r="AF72" t="n">
        <v>0.19834878</v>
      </c>
      <c r="AH72" t="n">
        <v>1.422456862</v>
      </c>
      <c r="AI72" t="n">
        <v>1.049790249</v>
      </c>
      <c r="AJ72" t="n">
        <v>1.429613923</v>
      </c>
      <c r="AL72" t="n">
        <v>0.810797427</v>
      </c>
      <c r="AN72" t="n">
        <v>2.035035329</v>
      </c>
      <c r="AR72" t="n">
        <v>1.070150373</v>
      </c>
      <c r="AT72" t="n">
        <v>0.308871858</v>
      </c>
      <c r="AU72" t="n">
        <v>2.92427256</v>
      </c>
    </row>
    <row r="73">
      <c r="A73" t="inlineStr">
        <is>
          <t>1965-Q1</t>
        </is>
      </c>
      <c r="B73" s="87" t="n">
        <v>23833</v>
      </c>
      <c r="D73" t="n">
        <v>0.834166716</v>
      </c>
      <c r="E73" t="n">
        <v>-1.03171585</v>
      </c>
      <c r="F73" t="n">
        <v>0.733465155</v>
      </c>
      <c r="H73" t="n">
        <v>3.147915345</v>
      </c>
      <c r="I73" t="n">
        <v>2.485868997</v>
      </c>
      <c r="M73" t="n">
        <v>1.63656424</v>
      </c>
      <c r="N73" t="n">
        <v>0.788471361</v>
      </c>
      <c r="P73" t="n">
        <v>2.128162749</v>
      </c>
      <c r="S73" t="n">
        <v>3.226251832</v>
      </c>
      <c r="T73" t="n">
        <v>0.221994873</v>
      </c>
      <c r="U73" t="n">
        <v>1.658182</v>
      </c>
      <c r="V73" t="n">
        <v>-0.303675542</v>
      </c>
      <c r="W73" t="n">
        <v>2.508262128</v>
      </c>
      <c r="Z73" t="n">
        <v>0.487566055</v>
      </c>
      <c r="AA73" t="n">
        <v>1.496512559</v>
      </c>
      <c r="AC73" t="n">
        <v>1.350147107</v>
      </c>
      <c r="AD73" t="n">
        <v>0.813162245</v>
      </c>
      <c r="AE73" t="n">
        <v>1.278573815</v>
      </c>
      <c r="AF73" t="n">
        <v>0.191471408</v>
      </c>
      <c r="AH73" t="n">
        <v>1.390493536</v>
      </c>
      <c r="AI73" t="n">
        <v>2.887565198</v>
      </c>
      <c r="AJ73" t="n">
        <v>1.494925999</v>
      </c>
      <c r="AL73" t="n">
        <v>1.621900325</v>
      </c>
      <c r="AN73" t="n">
        <v>2.191014713</v>
      </c>
      <c r="AR73" t="n">
        <v>1.970918509</v>
      </c>
      <c r="AT73" t="n">
        <v>2.419751879</v>
      </c>
      <c r="AU73" t="n">
        <v>1.923998284</v>
      </c>
    </row>
    <row r="74">
      <c r="A74" t="inlineStr">
        <is>
          <t>1965-Q2</t>
        </is>
      </c>
      <c r="B74" s="87" t="n">
        <v>23924</v>
      </c>
      <c r="D74" t="n">
        <v>1.558853729</v>
      </c>
      <c r="E74" t="n">
        <v>0.528129233</v>
      </c>
      <c r="F74" t="n">
        <v>0.724151005</v>
      </c>
      <c r="H74" t="n">
        <v>0.958020627</v>
      </c>
      <c r="I74" t="n">
        <v>0.120876874</v>
      </c>
      <c r="M74" t="n">
        <v>1.578070865</v>
      </c>
      <c r="N74" t="n">
        <v>0.7389061649999999</v>
      </c>
      <c r="P74" t="n">
        <v>0.42662027</v>
      </c>
      <c r="S74" t="n">
        <v>1.382899031</v>
      </c>
      <c r="T74" t="n">
        <v>2.488095418</v>
      </c>
      <c r="U74" t="n">
        <v>1.328122</v>
      </c>
      <c r="V74" t="n">
        <v>0.073770443</v>
      </c>
      <c r="W74" t="n">
        <v>2.425116397</v>
      </c>
      <c r="Z74" t="n">
        <v>0.483868724</v>
      </c>
      <c r="AA74" t="n">
        <v>1.456997639</v>
      </c>
      <c r="AC74" t="n">
        <v>1.993828946</v>
      </c>
      <c r="AD74" t="n">
        <v>1.248847841</v>
      </c>
      <c r="AE74" t="n">
        <v>0.226092863</v>
      </c>
      <c r="AF74" t="n">
        <v>0.194235758</v>
      </c>
      <c r="AH74" t="n">
        <v>1.360647158</v>
      </c>
      <c r="AI74" t="n">
        <v>-1.022037609</v>
      </c>
      <c r="AJ74" t="n">
        <v>1.241228834</v>
      </c>
      <c r="AL74" t="n">
        <v>1.177136915</v>
      </c>
      <c r="AN74" t="n">
        <v>1.750541059</v>
      </c>
      <c r="AR74" t="n">
        <v>-0.73941296</v>
      </c>
      <c r="AT74" t="n">
        <v>1.263298249</v>
      </c>
      <c r="AU74" t="n">
        <v>0.967394337</v>
      </c>
    </row>
    <row r="75">
      <c r="A75" t="inlineStr">
        <is>
          <t>1965-Q3</t>
        </is>
      </c>
      <c r="B75" s="87" t="n">
        <v>24016</v>
      </c>
      <c r="D75" t="n">
        <v>-0.286075368</v>
      </c>
      <c r="E75" t="n">
        <v>2.021288484</v>
      </c>
      <c r="F75" t="n">
        <v>0.736432615</v>
      </c>
      <c r="H75" t="n">
        <v>1.361815991</v>
      </c>
      <c r="I75" t="n">
        <v>1.059562853</v>
      </c>
      <c r="M75" t="n">
        <v>0.665875619</v>
      </c>
      <c r="N75" t="n">
        <v>0.690385637</v>
      </c>
      <c r="P75" t="n">
        <v>1.018033046</v>
      </c>
      <c r="S75" t="n">
        <v>1.222783966</v>
      </c>
      <c r="T75" t="n">
        <v>1.445018966</v>
      </c>
      <c r="U75" t="n">
        <v>1.723076</v>
      </c>
      <c r="V75" t="n">
        <v>0.822766374</v>
      </c>
      <c r="W75" t="n">
        <v>1.917831304</v>
      </c>
      <c r="Z75" t="n">
        <v>0.229256974</v>
      </c>
      <c r="AA75" t="n">
        <v>2.116984581</v>
      </c>
      <c r="AC75" t="n">
        <v>1.332058082</v>
      </c>
      <c r="AD75" t="n">
        <v>2.265972003</v>
      </c>
      <c r="AE75" t="n">
        <v>-0.790992177</v>
      </c>
      <c r="AF75" t="n">
        <v>0.275605866</v>
      </c>
      <c r="AH75" t="n">
        <v>1.475944033</v>
      </c>
      <c r="AI75" t="n">
        <v>0.899899217</v>
      </c>
      <c r="AJ75" t="n">
        <v>0.997207065</v>
      </c>
      <c r="AL75" t="n">
        <v>1.578106221</v>
      </c>
      <c r="AN75" t="n">
        <v>1.333726909</v>
      </c>
      <c r="AR75" t="n">
        <v>-0.102962117</v>
      </c>
      <c r="AT75" t="n">
        <v>2.223252282</v>
      </c>
      <c r="AU75" t="n">
        <v>-0.315747202</v>
      </c>
    </row>
    <row r="76">
      <c r="A76" t="inlineStr">
        <is>
          <t>1965-Q4</t>
        </is>
      </c>
      <c r="B76" s="87" t="n">
        <v>24108</v>
      </c>
      <c r="D76" t="n">
        <v>0.248873731</v>
      </c>
      <c r="E76" t="n">
        <v>0.44959764</v>
      </c>
      <c r="F76" t="n">
        <v>0.745096621</v>
      </c>
      <c r="H76" t="n">
        <v>2.459550179</v>
      </c>
      <c r="I76" t="n">
        <v>-0.261583709</v>
      </c>
      <c r="M76" t="n">
        <v>0.598451791</v>
      </c>
      <c r="N76" t="n">
        <v>0.642868714</v>
      </c>
      <c r="P76" t="n">
        <v>2.989390694</v>
      </c>
      <c r="S76" t="n">
        <v>-0.701596023</v>
      </c>
      <c r="T76" t="n">
        <v>1.392214333</v>
      </c>
      <c r="U76" t="n">
        <v>1.71497</v>
      </c>
      <c r="V76" t="n">
        <v>0.613218394</v>
      </c>
      <c r="W76" t="n">
        <v>1.396412929</v>
      </c>
      <c r="Z76" t="n">
        <v>-0.042736612</v>
      </c>
      <c r="AA76" t="n">
        <v>2.775478427</v>
      </c>
      <c r="AC76" t="n">
        <v>1.50234531</v>
      </c>
      <c r="AD76" t="n">
        <v>1.553909699</v>
      </c>
      <c r="AE76" t="n">
        <v>2.332367206</v>
      </c>
      <c r="AF76" t="n">
        <v>0.360587193</v>
      </c>
      <c r="AH76" t="n">
        <v>1.586576684</v>
      </c>
      <c r="AI76" t="n">
        <v>2.673000952</v>
      </c>
      <c r="AJ76" t="n">
        <v>0.760749202</v>
      </c>
      <c r="AL76" t="n">
        <v>1.702516899</v>
      </c>
      <c r="AN76" t="n">
        <v>0.934594765</v>
      </c>
      <c r="AR76" t="n">
        <v>1.989428933</v>
      </c>
      <c r="AT76" t="n">
        <v>2.304040466</v>
      </c>
      <c r="AU76" t="n">
        <v>1.663322974</v>
      </c>
    </row>
    <row r="77">
      <c r="A77" t="inlineStr">
        <is>
          <t>1966-Q1</t>
        </is>
      </c>
      <c r="B77" s="87" t="n">
        <v>24198</v>
      </c>
      <c r="D77" t="n">
        <v>-0.295378533</v>
      </c>
      <c r="E77" t="n">
        <v>3.196666159</v>
      </c>
      <c r="F77" t="n">
        <v>0.732865674</v>
      </c>
      <c r="H77" t="n">
        <v>1.914221546</v>
      </c>
      <c r="I77" t="n">
        <v>-1.34631725</v>
      </c>
      <c r="M77" t="n">
        <v>1.81592055</v>
      </c>
      <c r="N77" t="n">
        <v>0.596230504</v>
      </c>
      <c r="P77" t="n">
        <v>-0.680517619</v>
      </c>
      <c r="S77" t="n">
        <v>-0.912944245</v>
      </c>
      <c r="T77" t="n">
        <v>0.902205649</v>
      </c>
      <c r="U77" t="n">
        <v>1.91923</v>
      </c>
      <c r="V77" t="n">
        <v>0.165849142</v>
      </c>
      <c r="W77" t="n">
        <v>1.35695634</v>
      </c>
      <c r="Z77" t="n">
        <v>-0.038760612</v>
      </c>
      <c r="AA77" t="n">
        <v>2.665270118</v>
      </c>
      <c r="AC77" t="n">
        <v>0.967116445</v>
      </c>
      <c r="AD77" t="n">
        <v>2.676417582</v>
      </c>
      <c r="AE77" t="n">
        <v>6.129066097</v>
      </c>
      <c r="AF77" t="n">
        <v>0.354312876</v>
      </c>
      <c r="AH77" t="n">
        <v>1.54569495</v>
      </c>
      <c r="AI77" t="n">
        <v>-2.7211587</v>
      </c>
      <c r="AJ77" t="n">
        <v>0.53017089</v>
      </c>
      <c r="AL77" t="n">
        <v>1.661220686</v>
      </c>
      <c r="AN77" t="n">
        <v>0.547837083</v>
      </c>
      <c r="AR77" t="n">
        <v>1.383376129</v>
      </c>
      <c r="AT77" t="n">
        <v>2.434228759</v>
      </c>
      <c r="AU77" t="n">
        <v>1.404337538</v>
      </c>
    </row>
    <row r="78">
      <c r="A78" t="inlineStr">
        <is>
          <t>1966-Q2</t>
        </is>
      </c>
      <c r="B78" s="87" t="n">
        <v>24289</v>
      </c>
      <c r="D78" t="n">
        <v>1.362536023</v>
      </c>
      <c r="E78" t="n">
        <v>-0.12343989</v>
      </c>
      <c r="F78" t="n">
        <v>0.722237037</v>
      </c>
      <c r="H78" t="n">
        <v>2.11998309</v>
      </c>
      <c r="I78" t="n">
        <v>5.130424486</v>
      </c>
      <c r="M78" t="n">
        <v>0.307484942</v>
      </c>
      <c r="N78" t="n">
        <v>0.681158855</v>
      </c>
      <c r="P78" t="n">
        <v>5.167525676</v>
      </c>
      <c r="S78" t="n">
        <v>2.059101758</v>
      </c>
      <c r="T78" t="n">
        <v>1.512521587</v>
      </c>
      <c r="U78" t="n">
        <v>0.986606</v>
      </c>
      <c r="V78" t="n">
        <v>0.586239176</v>
      </c>
      <c r="W78" t="n">
        <v>1.336467965</v>
      </c>
      <c r="Z78" t="n">
        <v>-0.042143613</v>
      </c>
      <c r="AA78" t="n">
        <v>2.587697707</v>
      </c>
      <c r="AC78" t="n">
        <v>1.424290602</v>
      </c>
      <c r="AD78" t="n">
        <v>3.912582843</v>
      </c>
      <c r="AE78" t="n">
        <v>6.193839408</v>
      </c>
      <c r="AF78" t="n">
        <v>0.352207078</v>
      </c>
      <c r="AH78" t="n">
        <v>1.512978569</v>
      </c>
      <c r="AI78" t="n">
        <v>2.951838813</v>
      </c>
      <c r="AJ78" t="n">
        <v>0.945991298</v>
      </c>
      <c r="AL78" t="n">
        <v>1.274281748</v>
      </c>
      <c r="AN78" t="n">
        <v>0.890694944</v>
      </c>
      <c r="AR78" t="n">
        <v>-0.65978203</v>
      </c>
      <c r="AT78" t="n">
        <v>0.341601962</v>
      </c>
      <c r="AU78" t="n">
        <v>1.088242246</v>
      </c>
    </row>
    <row r="79">
      <c r="A79" t="inlineStr">
        <is>
          <t>1966-Q3</t>
        </is>
      </c>
      <c r="B79" s="87" t="n">
        <v>24381</v>
      </c>
      <c r="D79" t="n">
        <v>2.83514534</v>
      </c>
      <c r="E79" t="n">
        <v>0.276640305</v>
      </c>
      <c r="F79" t="n">
        <v>0.867683512</v>
      </c>
      <c r="H79" t="n">
        <v>-0.023977179</v>
      </c>
      <c r="I79" t="n">
        <v>-1.256225564</v>
      </c>
      <c r="M79" t="n">
        <v>0.122676937</v>
      </c>
      <c r="N79" t="n">
        <v>0.764392634</v>
      </c>
      <c r="P79" t="n">
        <v>1.98369138</v>
      </c>
      <c r="S79" t="n">
        <v>1.073881585</v>
      </c>
      <c r="T79" t="n">
        <v>1.140425464</v>
      </c>
      <c r="U79" t="n">
        <v>1.013168</v>
      </c>
      <c r="V79" t="n">
        <v>0.311187632</v>
      </c>
      <c r="W79" t="n">
        <v>1.342155326</v>
      </c>
      <c r="Z79" t="n">
        <v>0.736524492</v>
      </c>
      <c r="AA79" t="n">
        <v>1.046335853</v>
      </c>
      <c r="AC79" t="n">
        <v>2.825008494</v>
      </c>
      <c r="AD79" t="n">
        <v>2.431441883</v>
      </c>
      <c r="AE79" t="n">
        <v>-1.728704276</v>
      </c>
      <c r="AF79" t="n">
        <v>0.118504587</v>
      </c>
      <c r="AH79" t="n">
        <v>1.453550189</v>
      </c>
      <c r="AI79" t="n">
        <v>2.051649338</v>
      </c>
      <c r="AJ79" t="n">
        <v>1.351786941</v>
      </c>
      <c r="AL79" t="n">
        <v>1.025439631</v>
      </c>
      <c r="AN79" t="n">
        <v>1.225592041</v>
      </c>
      <c r="AR79" t="n">
        <v>-2.560285154</v>
      </c>
      <c r="AT79" t="n">
        <v>0.846905052</v>
      </c>
      <c r="AU79" t="n">
        <v>1.473290107</v>
      </c>
    </row>
    <row r="80">
      <c r="A80" t="inlineStr">
        <is>
          <t>1966-Q4</t>
        </is>
      </c>
      <c r="B80" s="87" t="n">
        <v>24473</v>
      </c>
      <c r="D80" t="n">
        <v>0.663533315</v>
      </c>
      <c r="E80" t="n">
        <v>0.889976465</v>
      </c>
      <c r="F80" t="n">
        <v>1.015039977</v>
      </c>
      <c r="H80" t="n">
        <v>1.223334365</v>
      </c>
      <c r="I80" t="n">
        <v>1.15061795</v>
      </c>
      <c r="M80" t="n">
        <v>-1.56154042</v>
      </c>
      <c r="N80" t="n">
        <v>0.845812538</v>
      </c>
      <c r="P80" t="n">
        <v>0.270896926</v>
      </c>
      <c r="S80" t="n">
        <v>3.071027029</v>
      </c>
      <c r="T80" t="n">
        <v>0.545946646</v>
      </c>
      <c r="U80" t="n">
        <v>0.500541</v>
      </c>
      <c r="V80" t="n">
        <v>-0.428512615</v>
      </c>
      <c r="W80" t="n">
        <v>1.340768844</v>
      </c>
      <c r="Z80" t="n">
        <v>1.555854567</v>
      </c>
      <c r="AA80" t="n">
        <v>-0.538181432</v>
      </c>
      <c r="AC80" t="n">
        <v>0.479191887</v>
      </c>
      <c r="AD80" t="n">
        <v>1.998277154</v>
      </c>
      <c r="AE80" t="n">
        <v>1.331174981</v>
      </c>
      <c r="AF80" t="n">
        <v>-0.131479192</v>
      </c>
      <c r="AH80" t="n">
        <v>1.38475762</v>
      </c>
      <c r="AI80" t="n">
        <v>0.328501142</v>
      </c>
      <c r="AJ80" t="n">
        <v>1.742887589</v>
      </c>
      <c r="AL80" t="n">
        <v>0.6290237910000001</v>
      </c>
      <c r="AN80" t="n">
        <v>1.549392365</v>
      </c>
      <c r="AR80" t="n">
        <v>5.06697215</v>
      </c>
      <c r="AT80" t="n">
        <v>0.820407109</v>
      </c>
      <c r="AU80" t="n">
        <v>0.329041265</v>
      </c>
    </row>
    <row r="81">
      <c r="A81" t="inlineStr">
        <is>
          <t>1967-Q1</t>
        </is>
      </c>
      <c r="B81" s="87" t="n">
        <v>24563</v>
      </c>
      <c r="D81" t="n">
        <v>3.896731667</v>
      </c>
      <c r="E81" t="n">
        <v>0.876896933</v>
      </c>
      <c r="F81" t="n">
        <v>0.995320126</v>
      </c>
      <c r="H81" t="n">
        <v>-0.219920416</v>
      </c>
      <c r="I81" t="n">
        <v>2.805190353</v>
      </c>
      <c r="M81" t="n">
        <v>-0.49772895</v>
      </c>
      <c r="N81" t="n">
        <v>0.925141996</v>
      </c>
      <c r="P81" t="n">
        <v>0.27549265</v>
      </c>
      <c r="S81" t="n">
        <v>-1.298875678</v>
      </c>
      <c r="T81" t="n">
        <v>1.713639564</v>
      </c>
      <c r="U81" t="n">
        <v>1.052298</v>
      </c>
      <c r="V81" t="n">
        <v>1.348722906</v>
      </c>
      <c r="W81" t="n">
        <v>1.309832395</v>
      </c>
      <c r="Z81" t="n">
        <v>1.527446559</v>
      </c>
      <c r="AA81" t="n">
        <v>-0.557784155</v>
      </c>
      <c r="AC81" t="n">
        <v>1.995070372</v>
      </c>
      <c r="AD81" t="n">
        <v>2.650178346</v>
      </c>
      <c r="AE81" t="n">
        <v>3.370041807</v>
      </c>
      <c r="AF81" t="n">
        <v>-0.12891016</v>
      </c>
      <c r="AH81" t="n">
        <v>1.353178114</v>
      </c>
      <c r="AI81" t="n">
        <v>1.364118813</v>
      </c>
      <c r="AJ81" t="n">
        <v>2.115153055</v>
      </c>
      <c r="AL81" t="n">
        <v>1.103407753</v>
      </c>
      <c r="AN81" t="n">
        <v>1.859224895</v>
      </c>
      <c r="AR81" t="n">
        <v>1.060737594</v>
      </c>
      <c r="AT81" t="n">
        <v>0.8855525869999999</v>
      </c>
      <c r="AU81" t="n">
        <v>3.635516169</v>
      </c>
    </row>
    <row r="82">
      <c r="A82" t="inlineStr">
        <is>
          <t>1967-Q2</t>
        </is>
      </c>
      <c r="B82" s="87" t="n">
        <v>24654</v>
      </c>
      <c r="D82" t="n">
        <v>-0.151207546</v>
      </c>
      <c r="E82" t="n">
        <v>0.856198071</v>
      </c>
      <c r="F82" t="n">
        <v>0.978753295</v>
      </c>
      <c r="H82" t="n">
        <v>2.104199266</v>
      </c>
      <c r="I82" t="n">
        <v>-0.979198377</v>
      </c>
      <c r="M82" t="n">
        <v>-0.31257933</v>
      </c>
      <c r="N82" t="n">
        <v>0.8757568060000001</v>
      </c>
      <c r="P82" t="n">
        <v>1.201427228</v>
      </c>
      <c r="S82" t="n">
        <v>0.829482975</v>
      </c>
      <c r="T82" t="n">
        <v>1.094577234</v>
      </c>
      <c r="U82" t="n">
        <v>0.764269</v>
      </c>
      <c r="V82" t="n">
        <v>1.420412103</v>
      </c>
      <c r="W82" t="n">
        <v>1.284634665</v>
      </c>
      <c r="Z82" t="n">
        <v>1.484569826</v>
      </c>
      <c r="AA82" t="n">
        <v>-0.535663561</v>
      </c>
      <c r="AC82" t="n">
        <v>2.150865879</v>
      </c>
      <c r="AD82" t="n">
        <v>2.6901539</v>
      </c>
      <c r="AE82" t="n">
        <v>2.087957254</v>
      </c>
      <c r="AF82" t="n">
        <v>-0.129736904</v>
      </c>
      <c r="AH82" t="n">
        <v>1.325622743</v>
      </c>
      <c r="AI82" t="n">
        <v>1.022579153</v>
      </c>
      <c r="AJ82" t="n">
        <v>1.548682996</v>
      </c>
      <c r="AL82" t="n">
        <v>0.763923534</v>
      </c>
      <c r="AN82" t="n">
        <v>2.136933499</v>
      </c>
      <c r="AR82" t="n">
        <v>0.335866733</v>
      </c>
      <c r="AT82" t="n">
        <v>0.061297813</v>
      </c>
      <c r="AU82" t="n">
        <v>0.158926296</v>
      </c>
    </row>
    <row r="83">
      <c r="A83" t="inlineStr">
        <is>
          <t>1967-Q3</t>
        </is>
      </c>
      <c r="B83" s="87" t="n">
        <v>24746</v>
      </c>
      <c r="D83" t="n">
        <v>1.885014138</v>
      </c>
      <c r="E83" t="n">
        <v>-0.658889874</v>
      </c>
      <c r="F83" t="n">
        <v>0.954276437</v>
      </c>
      <c r="H83" t="n">
        <v>0.357783887</v>
      </c>
      <c r="I83" t="n">
        <v>-1.163088589</v>
      </c>
      <c r="M83" t="n">
        <v>2.414591866</v>
      </c>
      <c r="N83" t="n">
        <v>0.827583422</v>
      </c>
      <c r="P83" t="n">
        <v>1.715238061</v>
      </c>
      <c r="S83" t="n">
        <v>-0.603823063</v>
      </c>
      <c r="T83" t="n">
        <v>0.956190097</v>
      </c>
      <c r="U83" t="n">
        <v>1.402614</v>
      </c>
      <c r="V83" t="n">
        <v>0.440778217</v>
      </c>
      <c r="W83" t="n">
        <v>1.408851299</v>
      </c>
      <c r="Z83" t="n">
        <v>1.858371838</v>
      </c>
      <c r="AA83" t="n">
        <v>-1.180127919</v>
      </c>
      <c r="AC83" t="n">
        <v>1.541055336</v>
      </c>
      <c r="AD83" t="n">
        <v>3.467643213</v>
      </c>
      <c r="AE83" t="n">
        <v>4.139624768</v>
      </c>
      <c r="AF83" t="n">
        <v>0.35421015</v>
      </c>
      <c r="AH83" t="n">
        <v>1.646754016</v>
      </c>
      <c r="AI83" t="n">
        <v>1.662570181</v>
      </c>
      <c r="AJ83" t="n">
        <v>1.010316344</v>
      </c>
      <c r="AL83" t="n">
        <v>1.321931267</v>
      </c>
      <c r="AN83" t="n">
        <v>2.397430267</v>
      </c>
      <c r="AR83" t="n">
        <v>-1.597445134</v>
      </c>
      <c r="AT83" t="n">
        <v>0.946120917</v>
      </c>
      <c r="AU83" t="n">
        <v>5.028337401</v>
      </c>
    </row>
    <row r="84">
      <c r="A84" t="inlineStr">
        <is>
          <t>1967-Q4</t>
        </is>
      </c>
      <c r="B84" s="87" t="n">
        <v>24838</v>
      </c>
      <c r="D84" t="n">
        <v>0.876217402</v>
      </c>
      <c r="E84" t="n">
        <v>1.610119272</v>
      </c>
      <c r="F84" t="n">
        <v>0.923408429</v>
      </c>
      <c r="H84" t="n">
        <v>0.404636985</v>
      </c>
      <c r="I84" t="n">
        <v>0.513219285</v>
      </c>
      <c r="M84" t="n">
        <v>1.285930408</v>
      </c>
      <c r="N84" t="n">
        <v>0.780553225</v>
      </c>
      <c r="P84" t="n">
        <v>-0.719103301</v>
      </c>
      <c r="S84" t="n">
        <v>-0.607758264</v>
      </c>
      <c r="T84" t="n">
        <v>0.974727457</v>
      </c>
      <c r="U84" t="n">
        <v>1.038215</v>
      </c>
      <c r="V84" t="n">
        <v>0.5020193590000001</v>
      </c>
      <c r="W84" t="n">
        <v>1.52923067</v>
      </c>
      <c r="Z84" t="n">
        <v>2.229628887</v>
      </c>
      <c r="AA84" t="n">
        <v>-1.883272844</v>
      </c>
      <c r="AC84" t="n">
        <v>1.975952573</v>
      </c>
      <c r="AD84" t="n">
        <v>1.933249747</v>
      </c>
      <c r="AE84" t="n">
        <v>0.660321191</v>
      </c>
      <c r="AF84" t="n">
        <v>0.868292486</v>
      </c>
      <c r="AH84" t="n">
        <v>1.967176392</v>
      </c>
      <c r="AI84" t="n">
        <v>0.912321876</v>
      </c>
      <c r="AJ84" t="n">
        <v>0.490641617</v>
      </c>
      <c r="AL84" t="n">
        <v>1.037424837</v>
      </c>
      <c r="AN84" t="n">
        <v>2.63927989</v>
      </c>
      <c r="AR84" t="n">
        <v>2.331611251</v>
      </c>
      <c r="AT84" t="n">
        <v>0.754017127</v>
      </c>
      <c r="AU84" t="n">
        <v>-1.815747866</v>
      </c>
    </row>
    <row r="85">
      <c r="A85" t="inlineStr">
        <is>
          <t>1968-Q1</t>
        </is>
      </c>
      <c r="B85" s="87" t="n">
        <v>24929</v>
      </c>
      <c r="D85" t="n">
        <v>-0.895396282</v>
      </c>
      <c r="E85" t="n">
        <v>1.264305303</v>
      </c>
      <c r="F85" t="n">
        <v>0.9084294939999999</v>
      </c>
      <c r="H85" t="n">
        <v>0.8290921999999999</v>
      </c>
      <c r="I85" t="n">
        <v>1.588529578</v>
      </c>
      <c r="M85" t="n">
        <v>1.170303986</v>
      </c>
      <c r="N85" t="n">
        <v>0.734581953</v>
      </c>
      <c r="P85" t="n">
        <v>2.133945021</v>
      </c>
      <c r="S85" t="n">
        <v>1.016885402</v>
      </c>
      <c r="T85" t="n">
        <v>2.909618399</v>
      </c>
      <c r="U85" t="n">
        <v>1.988635</v>
      </c>
      <c r="V85" t="n">
        <v>3.650364251</v>
      </c>
      <c r="W85" t="n">
        <v>1.496908356</v>
      </c>
      <c r="Z85" t="n">
        <v>2.162924681</v>
      </c>
      <c r="AA85" t="n">
        <v>-1.901361332</v>
      </c>
      <c r="AC85" t="n">
        <v>0.243127406</v>
      </c>
      <c r="AD85" t="n">
        <v>2.385972606</v>
      </c>
      <c r="AE85" t="n">
        <v>6.363252295</v>
      </c>
      <c r="AF85" t="n">
        <v>0.864826129</v>
      </c>
      <c r="AH85" t="n">
        <v>1.912980034</v>
      </c>
      <c r="AI85" t="n">
        <v>3.305850221</v>
      </c>
      <c r="AJ85" t="n">
        <v>-0.018835401</v>
      </c>
      <c r="AL85" t="n">
        <v>1.882696137</v>
      </c>
      <c r="AN85" t="n">
        <v>2.861783243</v>
      </c>
      <c r="AR85" t="n">
        <v>-1.684102017</v>
      </c>
      <c r="AT85" t="n">
        <v>2.039507129</v>
      </c>
      <c r="AU85" t="n">
        <v>1.641868589</v>
      </c>
    </row>
    <row r="86">
      <c r="A86" t="inlineStr">
        <is>
          <t>1968-Q2</t>
        </is>
      </c>
      <c r="B86" s="87" t="n">
        <v>25020</v>
      </c>
      <c r="D86" t="n">
        <v>3.841635216</v>
      </c>
      <c r="E86" t="n">
        <v>1.182700351</v>
      </c>
      <c r="F86" t="n">
        <v>0.896860205</v>
      </c>
      <c r="H86" t="n">
        <v>2.717634791</v>
      </c>
      <c r="I86" t="n">
        <v>0.553383765</v>
      </c>
      <c r="M86" t="n">
        <v>0.7772795219999999</v>
      </c>
      <c r="N86" t="n">
        <v>1.082175153</v>
      </c>
      <c r="P86" t="n">
        <v>3.034022523</v>
      </c>
      <c r="S86" t="n">
        <v>1.623891844</v>
      </c>
      <c r="T86" t="n">
        <v>-7.580956365</v>
      </c>
      <c r="U86" t="n">
        <v>0.944207</v>
      </c>
      <c r="V86" t="n">
        <v>-0.3952826</v>
      </c>
      <c r="W86" t="n">
        <v>1.467886199</v>
      </c>
      <c r="Z86" t="n">
        <v>2.111718256</v>
      </c>
      <c r="AA86" t="n">
        <v>-1.935537198</v>
      </c>
      <c r="AC86" t="n">
        <v>2.09466276</v>
      </c>
      <c r="AD86" t="n">
        <v>3.411931155</v>
      </c>
      <c r="AE86" t="n">
        <v>1.471809575</v>
      </c>
      <c r="AF86" t="n">
        <v>0.84429005</v>
      </c>
      <c r="AH86" t="n">
        <v>1.87251932</v>
      </c>
      <c r="AI86" t="n">
        <v>0.110424316</v>
      </c>
      <c r="AJ86" t="n">
        <v>0.396580941</v>
      </c>
      <c r="AL86" t="n">
        <v>1.156347789</v>
      </c>
      <c r="AN86" t="n">
        <v>1.941333828</v>
      </c>
      <c r="AR86" t="n">
        <v>5.495456771</v>
      </c>
      <c r="AT86" t="n">
        <v>1.67079955</v>
      </c>
      <c r="AU86" t="n">
        <v>0.443369439</v>
      </c>
    </row>
    <row r="87">
      <c r="A87" t="inlineStr">
        <is>
          <t>1968-Q3</t>
        </is>
      </c>
      <c r="B87" s="87" t="n">
        <v>25112</v>
      </c>
      <c r="D87" t="n">
        <v>1.328620918</v>
      </c>
      <c r="E87" t="n">
        <v>1.811362605</v>
      </c>
      <c r="F87" t="n">
        <v>1.331804315</v>
      </c>
      <c r="H87" t="n">
        <v>1.367720948</v>
      </c>
      <c r="I87" t="n">
        <v>2.761789356</v>
      </c>
      <c r="M87" t="n">
        <v>2.195194304</v>
      </c>
      <c r="N87" t="n">
        <v>1.419760811</v>
      </c>
      <c r="P87" t="n">
        <v>0.806297493</v>
      </c>
      <c r="S87" t="n">
        <v>0.277279201</v>
      </c>
      <c r="T87" t="n">
        <v>11.373243098</v>
      </c>
      <c r="U87" t="n">
        <v>2.147984</v>
      </c>
      <c r="V87" t="n">
        <v>1.963054776</v>
      </c>
      <c r="W87" t="n">
        <v>2.089823519</v>
      </c>
      <c r="Z87" t="n">
        <v>1.810612589</v>
      </c>
      <c r="AA87" t="n">
        <v>-0.59385709</v>
      </c>
      <c r="AC87" t="n">
        <v>2.404436429</v>
      </c>
      <c r="AD87" t="n">
        <v>2.263971456</v>
      </c>
      <c r="AE87" t="n">
        <v>5.132128648</v>
      </c>
      <c r="AF87" t="n">
        <v>2.024062829</v>
      </c>
      <c r="AH87" t="n">
        <v>1.584134361</v>
      </c>
      <c r="AI87" t="n">
        <v>0.596632224</v>
      </c>
      <c r="AJ87" t="n">
        <v>0.8087633360000001</v>
      </c>
      <c r="AL87" t="n">
        <v>1.999489563</v>
      </c>
      <c r="AN87" t="n">
        <v>1.079496897</v>
      </c>
      <c r="AR87" t="n">
        <v>0.726611088</v>
      </c>
      <c r="AT87" t="n">
        <v>0.774955663</v>
      </c>
      <c r="AU87" t="n">
        <v>1.07932653</v>
      </c>
    </row>
    <row r="88">
      <c r="A88" t="inlineStr">
        <is>
          <t>1968-Q4</t>
        </is>
      </c>
      <c r="B88" s="87" t="n">
        <v>25204</v>
      </c>
      <c r="D88" t="n">
        <v>3.734005237</v>
      </c>
      <c r="E88" t="n">
        <v>0.8958352979999999</v>
      </c>
      <c r="F88" t="n">
        <v>1.770448655</v>
      </c>
      <c r="H88" t="n">
        <v>1.380832934</v>
      </c>
      <c r="I88" t="n">
        <v>2.432073896</v>
      </c>
      <c r="M88" t="n">
        <v>1.509433962</v>
      </c>
      <c r="N88" t="n">
        <v>1.744169093</v>
      </c>
      <c r="P88" t="n">
        <v>4.05340748</v>
      </c>
      <c r="S88" t="n">
        <v>1.87516964</v>
      </c>
      <c r="T88" t="n">
        <v>1.024590164</v>
      </c>
      <c r="U88" t="n">
        <v>1.437234</v>
      </c>
      <c r="V88" t="n">
        <v>0.394009352</v>
      </c>
      <c r="W88" t="n">
        <v>2.704475894</v>
      </c>
      <c r="Z88" t="n">
        <v>1.51391931</v>
      </c>
      <c r="AA88" t="n">
        <v>0.852386252</v>
      </c>
      <c r="AC88" t="n">
        <v>2.340948619</v>
      </c>
      <c r="AD88" t="n">
        <v>5.69754582</v>
      </c>
      <c r="AE88" t="n">
        <v>-1.706630201</v>
      </c>
      <c r="AF88" t="n">
        <v>3.198278434</v>
      </c>
      <c r="AH88" t="n">
        <v>1.297967474</v>
      </c>
      <c r="AI88" t="n">
        <v>3.344473898</v>
      </c>
      <c r="AJ88" t="n">
        <v>1.212763844</v>
      </c>
      <c r="AL88" t="n">
        <v>1.56453144</v>
      </c>
      <c r="AN88" t="n">
        <v>0.2519351</v>
      </c>
      <c r="AR88" t="n">
        <v>-0.542022594</v>
      </c>
      <c r="AT88" t="n">
        <v>0.393320041</v>
      </c>
      <c r="AU88" t="n">
        <v>1.890612969</v>
      </c>
    </row>
    <row r="89">
      <c r="A89" t="inlineStr">
        <is>
          <t>1969-Q1</t>
        </is>
      </c>
      <c r="B89" s="87" t="n">
        <v>25294</v>
      </c>
      <c r="D89" t="n">
        <v>-0.697249105</v>
      </c>
      <c r="E89" t="n">
        <v>0.9736351130000001</v>
      </c>
      <c r="F89" t="n">
        <v>1.730253792</v>
      </c>
      <c r="H89" t="n">
        <v>1.308093201</v>
      </c>
      <c r="I89" t="n">
        <v>-2.393514965</v>
      </c>
      <c r="M89" t="n">
        <v>2.516442665</v>
      </c>
      <c r="N89" t="n">
        <v>2.052670203</v>
      </c>
      <c r="P89" t="n">
        <v>3.548013804</v>
      </c>
      <c r="S89" t="n">
        <v>4.889795577</v>
      </c>
      <c r="T89" t="n">
        <v>0.183745183</v>
      </c>
      <c r="U89" t="n">
        <v>1.318707</v>
      </c>
      <c r="V89" t="n">
        <v>-0.250135424</v>
      </c>
      <c r="W89" t="n">
        <v>2.616588706</v>
      </c>
      <c r="Z89" t="n">
        <v>1.47588051</v>
      </c>
      <c r="AA89" t="n">
        <v>0.850857228</v>
      </c>
      <c r="AC89" t="n">
        <v>1.566157064</v>
      </c>
      <c r="AD89" t="n">
        <v>0.879461273</v>
      </c>
      <c r="AE89" t="n">
        <v>5.110987142</v>
      </c>
      <c r="AF89" t="n">
        <v>3.071908424</v>
      </c>
      <c r="AH89" t="n">
        <v>1.273835347</v>
      </c>
      <c r="AI89" t="n">
        <v>0.365411807</v>
      </c>
      <c r="AJ89" t="n">
        <v>1.603743763</v>
      </c>
      <c r="AL89" t="n">
        <v>1.306493259</v>
      </c>
      <c r="AN89" t="n">
        <v>-0.591962823</v>
      </c>
      <c r="AR89" t="n">
        <v>-0.43319199</v>
      </c>
      <c r="AT89" t="n">
        <v>1.565115509</v>
      </c>
      <c r="AU89" t="n">
        <v>0.718687689</v>
      </c>
    </row>
    <row r="90">
      <c r="A90" t="inlineStr">
        <is>
          <t>1969-Q2</t>
        </is>
      </c>
      <c r="B90" s="87" t="n">
        <v>25385</v>
      </c>
      <c r="D90" t="n">
        <v>1.973103634</v>
      </c>
      <c r="E90" t="n">
        <v>1.892345365</v>
      </c>
      <c r="F90" t="n">
        <v>1.682228847</v>
      </c>
      <c r="H90" t="n">
        <v>0.492845147</v>
      </c>
      <c r="I90" t="n">
        <v>3.518600422</v>
      </c>
      <c r="M90" t="n">
        <v>1.283087905</v>
      </c>
      <c r="N90" t="n">
        <v>1.547739496</v>
      </c>
      <c r="P90" t="n">
        <v>-0.337860483</v>
      </c>
      <c r="S90" t="n">
        <v>0.942349385</v>
      </c>
      <c r="T90" t="n">
        <v>2.453037118</v>
      </c>
      <c r="U90" t="n">
        <v>1.098075</v>
      </c>
      <c r="V90" t="n">
        <v>0.792218371</v>
      </c>
      <c r="W90" t="n">
        <v>2.524346623</v>
      </c>
      <c r="Z90" t="n">
        <v>1.445659153</v>
      </c>
      <c r="AA90" t="n">
        <v>0.824550929</v>
      </c>
      <c r="AC90" t="n">
        <v>1.805751378</v>
      </c>
      <c r="AD90" t="n">
        <v>2.911657781</v>
      </c>
      <c r="AE90" t="n">
        <v>3.452410594</v>
      </c>
      <c r="AF90" t="n">
        <v>2.957898403</v>
      </c>
      <c r="AH90" t="n">
        <v>1.24456066</v>
      </c>
      <c r="AI90" t="n">
        <v>1.565815092</v>
      </c>
      <c r="AJ90" t="n">
        <v>1.200889303</v>
      </c>
      <c r="AL90" t="n">
        <v>1.178542936</v>
      </c>
      <c r="AN90" t="n">
        <v>-0.183559099</v>
      </c>
      <c r="AR90" t="n">
        <v>2.642603177</v>
      </c>
      <c r="AT90" t="n">
        <v>0.303995321</v>
      </c>
      <c r="AU90" t="n">
        <v>-0.08433149</v>
      </c>
    </row>
    <row r="91">
      <c r="A91" t="inlineStr">
        <is>
          <t>1969-Q3</t>
        </is>
      </c>
      <c r="B91" s="87" t="n">
        <v>25477</v>
      </c>
      <c r="D91" t="n">
        <v>1.664017158</v>
      </c>
      <c r="E91" t="n">
        <v>2.406025964</v>
      </c>
      <c r="F91" t="n">
        <v>1.672651599</v>
      </c>
      <c r="H91" t="n">
        <v>1.073698927</v>
      </c>
      <c r="I91" t="n">
        <v>4.158556848</v>
      </c>
      <c r="M91" t="n">
        <v>2.148261051</v>
      </c>
      <c r="N91" t="n">
        <v>1.067553796</v>
      </c>
      <c r="P91" t="n">
        <v>1.86545295</v>
      </c>
      <c r="S91" t="n">
        <v>2.772064896</v>
      </c>
      <c r="T91" t="n">
        <v>0.94538382</v>
      </c>
      <c r="U91" t="n">
        <v>1.072646</v>
      </c>
      <c r="V91" t="n">
        <v>0.551990069</v>
      </c>
      <c r="W91" t="n">
        <v>2.234752685</v>
      </c>
      <c r="Z91" t="n">
        <v>0.993699739</v>
      </c>
      <c r="AA91" t="n">
        <v>1.239112657</v>
      </c>
      <c r="AC91" t="n">
        <v>0.239159209</v>
      </c>
      <c r="AD91" t="n">
        <v>2.395415623</v>
      </c>
      <c r="AE91" t="n">
        <v>8.061461678000001</v>
      </c>
      <c r="AF91" t="n">
        <v>1.483481111</v>
      </c>
      <c r="AH91" t="n">
        <v>1.554237647</v>
      </c>
      <c r="AI91" t="n">
        <v>2.325832786</v>
      </c>
      <c r="AJ91" t="n">
        <v>0.813607206</v>
      </c>
      <c r="AL91" t="n">
        <v>1.309055442</v>
      </c>
      <c r="AN91" t="n">
        <v>1.947746713</v>
      </c>
      <c r="AR91" t="n">
        <v>3.838758903</v>
      </c>
      <c r="AT91" t="n">
        <v>0.660514205</v>
      </c>
      <c r="AU91" t="n">
        <v>4.566766309</v>
      </c>
    </row>
    <row r="92">
      <c r="A92" t="inlineStr">
        <is>
          <t>1969-Q4</t>
        </is>
      </c>
      <c r="B92" s="87" t="n">
        <v>25569</v>
      </c>
      <c r="D92" t="n">
        <v>2.310368438</v>
      </c>
      <c r="E92" t="n">
        <v>1.01780905</v>
      </c>
      <c r="F92" t="n">
        <v>1.654095727</v>
      </c>
      <c r="H92" t="n">
        <v>1.431339988</v>
      </c>
      <c r="I92" t="n">
        <v>-0.223326193</v>
      </c>
      <c r="M92" t="n">
        <v>1.536742829</v>
      </c>
      <c r="N92" t="n">
        <v>0.60450455</v>
      </c>
      <c r="P92" t="n">
        <v>1.119478214</v>
      </c>
      <c r="S92" t="n">
        <v>1.4877672</v>
      </c>
      <c r="T92" t="n">
        <v>0.790251715</v>
      </c>
      <c r="U92" t="n">
        <v>0.493334</v>
      </c>
      <c r="V92" t="n">
        <v>0.468060517</v>
      </c>
      <c r="W92" t="n">
        <v>1.93354717</v>
      </c>
      <c r="Z92" t="n">
        <v>0.51954077</v>
      </c>
      <c r="AA92" t="n">
        <v>1.662742073</v>
      </c>
      <c r="AC92" t="n">
        <v>-2.021337956</v>
      </c>
      <c r="AD92" t="n">
        <v>3.90301332</v>
      </c>
      <c r="AE92" t="n">
        <v>2.010960349</v>
      </c>
      <c r="AF92" t="n">
        <v>-0.01620282</v>
      </c>
      <c r="AH92" t="n">
        <v>1.864178652</v>
      </c>
      <c r="AI92" t="n">
        <v>3.002685485</v>
      </c>
      <c r="AJ92" t="n">
        <v>0.436963025</v>
      </c>
      <c r="AL92" t="n">
        <v>0.699194355</v>
      </c>
      <c r="AN92" t="n">
        <v>2.637683227</v>
      </c>
      <c r="AR92" t="n">
        <v>0.718573728</v>
      </c>
      <c r="AT92" t="n">
        <v>-0.487694588</v>
      </c>
      <c r="AU92" t="n">
        <v>-1.349816884</v>
      </c>
    </row>
    <row r="93">
      <c r="A93" t="inlineStr">
        <is>
          <t>1970-Q1</t>
        </is>
      </c>
      <c r="B93" s="87" t="n">
        <v>25659</v>
      </c>
      <c r="D93" t="n">
        <v>2.07641872</v>
      </c>
      <c r="E93" t="n">
        <v>1.887640264</v>
      </c>
      <c r="F93" t="n">
        <v>1.606117273</v>
      </c>
      <c r="H93" t="n">
        <v>0.6461740070000001</v>
      </c>
      <c r="I93" t="n">
        <v>1.996142378</v>
      </c>
      <c r="M93" t="n">
        <v>-1.595662151</v>
      </c>
      <c r="N93" t="n">
        <v>0.151850918</v>
      </c>
      <c r="P93" t="n">
        <v>1.869665315</v>
      </c>
      <c r="S93" t="n">
        <v>0.868338751</v>
      </c>
      <c r="T93" t="n">
        <v>1.911374445</v>
      </c>
      <c r="U93" t="n">
        <v>0.736317</v>
      </c>
      <c r="V93" t="n">
        <v>-0.63424505</v>
      </c>
      <c r="W93" t="n">
        <v>0.989272916</v>
      </c>
      <c r="Z93" t="n">
        <v>1.70089772</v>
      </c>
      <c r="AA93" t="n">
        <v>-2.71169364</v>
      </c>
      <c r="AC93" t="n">
        <v>5.99645822</v>
      </c>
      <c r="AD93" t="n">
        <v>3.064074178</v>
      </c>
      <c r="AE93" t="n">
        <v>-1.694379647</v>
      </c>
      <c r="AF93" t="n">
        <v>0.570228979</v>
      </c>
      <c r="AH93" t="n">
        <v>1.809210142</v>
      </c>
      <c r="AI93" t="n">
        <v>-1.492127041</v>
      </c>
      <c r="AJ93" t="n">
        <v>0.066650432</v>
      </c>
      <c r="AL93" t="n">
        <v>0.836108795</v>
      </c>
      <c r="AN93" t="n">
        <v>2.917470963</v>
      </c>
      <c r="AR93" t="n">
        <v>1.335154332</v>
      </c>
      <c r="AT93" t="n">
        <v>-0.148470701</v>
      </c>
      <c r="AU93" t="n">
        <v>2.15249064</v>
      </c>
    </row>
    <row r="94">
      <c r="A94" t="inlineStr">
        <is>
          <t>1970-Q2</t>
        </is>
      </c>
      <c r="B94" s="87" t="n">
        <v>25750</v>
      </c>
      <c r="D94" t="n">
        <v>2.003171762</v>
      </c>
      <c r="E94" t="n">
        <v>2.591039183</v>
      </c>
      <c r="F94" t="n">
        <v>1.575348532</v>
      </c>
      <c r="H94" t="n">
        <v>-0.004057869</v>
      </c>
      <c r="I94" t="n">
        <v>1.186440678</v>
      </c>
      <c r="M94" t="n">
        <v>3.975817699</v>
      </c>
      <c r="N94" t="n">
        <v>0.258883952</v>
      </c>
      <c r="P94" t="n">
        <v>0.158864024</v>
      </c>
      <c r="S94" t="n">
        <v>3.461852771</v>
      </c>
      <c r="T94" t="n">
        <v>1.262038455</v>
      </c>
      <c r="U94" t="n">
        <v>1.091568</v>
      </c>
      <c r="V94" t="n">
        <v>2.361106726</v>
      </c>
      <c r="W94" t="n">
        <v>3.689916583</v>
      </c>
      <c r="Z94" t="n">
        <v>-0.590195222</v>
      </c>
      <c r="AA94" t="n">
        <v>6.150968655</v>
      </c>
      <c r="AC94" t="n">
        <v>0.729986912</v>
      </c>
      <c r="AD94" t="n">
        <v>1.212645697</v>
      </c>
      <c r="AE94" t="n">
        <v>4.021110832</v>
      </c>
      <c r="AF94" t="n">
        <v>-0.5022631279999999</v>
      </c>
      <c r="AH94" t="n">
        <v>1.768313857</v>
      </c>
      <c r="AI94" t="n">
        <v>2.729327461</v>
      </c>
      <c r="AJ94" t="n">
        <v>0.382575838</v>
      </c>
      <c r="AL94" t="n">
        <v>1.197478176</v>
      </c>
      <c r="AN94" t="n">
        <v>2.993325677</v>
      </c>
      <c r="AR94" t="n">
        <v>0.769958413</v>
      </c>
      <c r="AT94" t="n">
        <v>0.141930001</v>
      </c>
      <c r="AU94" t="n">
        <v>2.040587606</v>
      </c>
    </row>
    <row r="95">
      <c r="A95" t="inlineStr">
        <is>
          <t>1970-Q3</t>
        </is>
      </c>
      <c r="B95" s="87" t="n">
        <v>25842</v>
      </c>
      <c r="D95" t="n">
        <v>-0.205850676</v>
      </c>
      <c r="E95" t="n">
        <v>1.93572997</v>
      </c>
      <c r="F95" t="n">
        <v>1.176552013</v>
      </c>
      <c r="H95" t="n">
        <v>1.032504848</v>
      </c>
      <c r="I95" t="n">
        <v>1.39676879</v>
      </c>
      <c r="M95" t="n">
        <v>1.867836292</v>
      </c>
      <c r="N95" t="n">
        <v>0.365220202</v>
      </c>
      <c r="P95" t="n">
        <v>0.511083262</v>
      </c>
      <c r="S95" t="n">
        <v>1.867733054</v>
      </c>
      <c r="T95" t="n">
        <v>1.377238609</v>
      </c>
      <c r="U95" t="n">
        <v>1.427322</v>
      </c>
      <c r="V95" t="n">
        <v>0.993702609</v>
      </c>
      <c r="W95" t="n">
        <v>1.891983963</v>
      </c>
      <c r="Z95" t="n">
        <v>0.019110094</v>
      </c>
      <c r="AA95" t="n">
        <v>4.817922748</v>
      </c>
      <c r="AC95" t="n">
        <v>2.006337881</v>
      </c>
      <c r="AD95" t="n">
        <v>2.680797035</v>
      </c>
      <c r="AE95" t="n">
        <v>0.61861926</v>
      </c>
      <c r="AF95" t="n">
        <v>-0.057051895</v>
      </c>
      <c r="AH95" t="n">
        <v>1.243409286</v>
      </c>
      <c r="AI95" t="n">
        <v>1.530088662</v>
      </c>
      <c r="AJ95" t="n">
        <v>0.695855263</v>
      </c>
      <c r="AL95" t="n">
        <v>1.359355618</v>
      </c>
      <c r="AN95" t="n">
        <v>0.646107063</v>
      </c>
      <c r="AR95" t="n">
        <v>2.920683149</v>
      </c>
      <c r="AT95" t="n">
        <v>0.92155083</v>
      </c>
      <c r="AU95" t="n">
        <v>-1.154461151</v>
      </c>
    </row>
    <row r="96">
      <c r="A96" t="inlineStr">
        <is>
          <t>1970-Q4</t>
        </is>
      </c>
      <c r="B96" s="87" t="n">
        <v>25934</v>
      </c>
      <c r="D96" t="n">
        <v>0.482179381</v>
      </c>
      <c r="E96" t="n">
        <v>1.242164369</v>
      </c>
      <c r="F96" t="n">
        <v>0.75863011</v>
      </c>
      <c r="H96" t="n">
        <v>0.178300435</v>
      </c>
      <c r="I96" t="n">
        <v>0.404998535</v>
      </c>
      <c r="M96" t="n">
        <v>0.847606644</v>
      </c>
      <c r="N96" t="n">
        <v>0.470506545</v>
      </c>
      <c r="P96" t="n">
        <v>0.789027645</v>
      </c>
      <c r="S96" t="n">
        <v>1.012939233</v>
      </c>
      <c r="T96" t="n">
        <v>1.570186063</v>
      </c>
      <c r="U96" t="n">
        <v>-0.19518</v>
      </c>
      <c r="V96" t="n">
        <v>0.87143308</v>
      </c>
      <c r="W96" t="n">
        <v>-0.565799964</v>
      </c>
      <c r="Z96" t="n">
        <v>0.552682428</v>
      </c>
      <c r="AA96" t="n">
        <v>3.756189481</v>
      </c>
      <c r="AC96" t="n">
        <v>0.11182118</v>
      </c>
      <c r="AD96" t="n">
        <v>-0.322008363</v>
      </c>
      <c r="AE96" t="n">
        <v>7.704463977</v>
      </c>
      <c r="AF96" t="n">
        <v>0.357558921</v>
      </c>
      <c r="AH96" t="n">
        <v>0.696789668</v>
      </c>
      <c r="AI96" t="n">
        <v>2.075317548</v>
      </c>
      <c r="AJ96" t="n">
        <v>1.003664882</v>
      </c>
      <c r="AL96" t="n">
        <v>0.070128804</v>
      </c>
      <c r="AN96" t="n">
        <v>1.772498017</v>
      </c>
      <c r="AR96" t="n">
        <v>0.462520988</v>
      </c>
      <c r="AT96" t="n">
        <v>-1.071638106</v>
      </c>
      <c r="AU96" t="n">
        <v>3.51849898</v>
      </c>
    </row>
    <row r="97">
      <c r="A97" t="inlineStr">
        <is>
          <t>1971-Q1</t>
        </is>
      </c>
      <c r="B97" s="87" t="n">
        <v>26024</v>
      </c>
      <c r="D97" t="n">
        <v>1.207459571</v>
      </c>
      <c r="E97" t="n">
        <v>0.171116297</v>
      </c>
      <c r="F97" t="n">
        <v>0.742862293</v>
      </c>
      <c r="H97" t="n">
        <v>-0.573694762</v>
      </c>
      <c r="I97" t="n">
        <v>1.114560943</v>
      </c>
      <c r="M97" t="n">
        <v>-1.921102523</v>
      </c>
      <c r="N97" t="n">
        <v>0.574419212</v>
      </c>
      <c r="P97" t="n">
        <v>0.780917772</v>
      </c>
      <c r="S97" t="n">
        <v>-4.650448573</v>
      </c>
      <c r="T97" t="n">
        <v>0.129083296</v>
      </c>
      <c r="U97" t="n">
        <v>0.967379</v>
      </c>
      <c r="V97" t="n">
        <v>-0.49502952</v>
      </c>
      <c r="W97" t="n">
        <v>2.61748959</v>
      </c>
      <c r="Z97" t="n">
        <v>0.989664495</v>
      </c>
      <c r="AA97" t="n">
        <v>2.862524703</v>
      </c>
      <c r="AC97" t="n">
        <v>-0.523040927</v>
      </c>
      <c r="AD97" t="n">
        <v>0.910971913</v>
      </c>
      <c r="AE97" t="n">
        <v>0.560985094</v>
      </c>
      <c r="AF97" t="n">
        <v>0.729430049</v>
      </c>
      <c r="AH97" t="n">
        <v>0.685514904</v>
      </c>
      <c r="AI97" t="n">
        <v>0.488355633</v>
      </c>
      <c r="AJ97" t="n">
        <v>1.30320339</v>
      </c>
      <c r="AL97" t="n">
        <v>0.897319442</v>
      </c>
      <c r="AN97" t="n">
        <v>-0.022926399</v>
      </c>
      <c r="AR97" t="n">
        <v>-1.089008897</v>
      </c>
      <c r="AT97" t="n">
        <v>2.715992789</v>
      </c>
      <c r="AU97" t="n">
        <v>1.481127915</v>
      </c>
    </row>
    <row r="98">
      <c r="A98" t="inlineStr">
        <is>
          <t>1971-Q2</t>
        </is>
      </c>
      <c r="B98" s="87" t="n">
        <v>26115</v>
      </c>
      <c r="D98" t="n">
        <v>0.424501254</v>
      </c>
      <c r="E98" t="n">
        <v>2.154848553</v>
      </c>
      <c r="F98" t="n">
        <v>0.735078006</v>
      </c>
      <c r="H98" t="n">
        <v>2.900629253</v>
      </c>
      <c r="I98" t="n">
        <v>1.590425951</v>
      </c>
      <c r="M98" t="n">
        <v>2.098640828</v>
      </c>
      <c r="N98" t="n">
        <v>0.816535071</v>
      </c>
      <c r="P98" t="n">
        <v>1.950592658</v>
      </c>
      <c r="S98" t="n">
        <v>6.09449275</v>
      </c>
      <c r="T98" t="n">
        <v>1.821986785</v>
      </c>
      <c r="U98" t="n">
        <v>1.188022</v>
      </c>
      <c r="V98" t="n">
        <v>1.793203475</v>
      </c>
      <c r="W98" t="n">
        <v>2.316320101</v>
      </c>
      <c r="Z98" t="n">
        <v>1.292765027</v>
      </c>
      <c r="AA98" t="n">
        <v>2.260075501</v>
      </c>
      <c r="AC98" t="n">
        <v>0.421992045</v>
      </c>
      <c r="AD98" t="n">
        <v>1.613126047</v>
      </c>
      <c r="AE98" t="n">
        <v>3.257423037</v>
      </c>
      <c r="AF98" t="n">
        <v>1.022278013</v>
      </c>
      <c r="AH98" t="n">
        <v>0.675916427</v>
      </c>
      <c r="AI98" t="n">
        <v>0.85825148</v>
      </c>
      <c r="AJ98" t="n">
        <v>1.320492305</v>
      </c>
      <c r="AL98" t="n">
        <v>1.219313329</v>
      </c>
      <c r="AN98" t="n">
        <v>3.964731978</v>
      </c>
      <c r="AR98" t="n">
        <v>-1.175994276</v>
      </c>
      <c r="AT98" t="n">
        <v>0.54112008</v>
      </c>
      <c r="AU98" t="n">
        <v>-0.815230002</v>
      </c>
    </row>
    <row r="99">
      <c r="A99" t="inlineStr">
        <is>
          <t>1971-Q3</t>
        </is>
      </c>
      <c r="B99" s="87" t="n">
        <v>26207</v>
      </c>
      <c r="D99" t="n">
        <v>3.143882256</v>
      </c>
      <c r="E99" t="n">
        <v>1.60398934</v>
      </c>
      <c r="F99" t="n">
        <v>1.041139476</v>
      </c>
      <c r="H99" t="n">
        <v>2.780357231</v>
      </c>
      <c r="I99" t="n">
        <v>0.6174274709999999</v>
      </c>
      <c r="M99" t="n">
        <v>1.730037193</v>
      </c>
      <c r="N99" t="n">
        <v>1.053312822</v>
      </c>
      <c r="P99" t="n">
        <v>1.839902173</v>
      </c>
      <c r="S99" t="n">
        <v>-0.025945738</v>
      </c>
      <c r="T99" t="n">
        <v>1.630601407</v>
      </c>
      <c r="U99" t="n">
        <v>1.274109</v>
      </c>
      <c r="V99" t="n">
        <v>1.77655997</v>
      </c>
      <c r="W99" t="n">
        <v>4.660787308</v>
      </c>
      <c r="Z99" t="n">
        <v>1.532577418</v>
      </c>
      <c r="AA99" t="n">
        <v>1.832168664</v>
      </c>
      <c r="AC99" t="n">
        <v>1.464775733</v>
      </c>
      <c r="AD99" t="n">
        <v>1.218442597</v>
      </c>
      <c r="AE99" t="n">
        <v>0.193234303</v>
      </c>
      <c r="AF99" t="n">
        <v>1.295414973</v>
      </c>
      <c r="AH99" t="n">
        <v>1.492963048</v>
      </c>
      <c r="AI99" t="n">
        <v>0.674313443</v>
      </c>
      <c r="AJ99" t="n">
        <v>1.336919477</v>
      </c>
      <c r="AL99" t="n">
        <v>1.341039439</v>
      </c>
      <c r="AN99" t="n">
        <v>0.580976999</v>
      </c>
      <c r="AR99" t="n">
        <v>1.82754224</v>
      </c>
      <c r="AT99" t="n">
        <v>0.822967085</v>
      </c>
      <c r="AU99" t="n">
        <v>1.302659119</v>
      </c>
    </row>
    <row r="100">
      <c r="A100" t="inlineStr">
        <is>
          <t>1971-Q4</t>
        </is>
      </c>
      <c r="B100" s="87" t="n">
        <v>26299</v>
      </c>
      <c r="D100" t="n">
        <v>-0.316455696</v>
      </c>
      <c r="E100" t="n">
        <v>-0.364435447</v>
      </c>
      <c r="F100" t="n">
        <v>1.354625558</v>
      </c>
      <c r="H100" t="n">
        <v>1.105730736</v>
      </c>
      <c r="I100" t="n">
        <v>0.749717572</v>
      </c>
      <c r="M100" t="n">
        <v>-0.084182124</v>
      </c>
      <c r="N100" t="n">
        <v>1.283205719</v>
      </c>
      <c r="P100" t="n">
        <v>2.013559197</v>
      </c>
      <c r="S100" t="n">
        <v>-0.611894491</v>
      </c>
      <c r="T100" t="n">
        <v>0.856781066</v>
      </c>
      <c r="U100" t="n">
        <v>0.417703</v>
      </c>
      <c r="V100" t="n">
        <v>0.385234788</v>
      </c>
      <c r="W100" t="n">
        <v>-1.812361719</v>
      </c>
      <c r="Z100" t="n">
        <v>1.669549894</v>
      </c>
      <c r="AA100" t="n">
        <v>1.534907377</v>
      </c>
      <c r="AC100" t="n">
        <v>0.56453477</v>
      </c>
      <c r="AD100" t="n">
        <v>0.911049697</v>
      </c>
      <c r="AE100" t="n">
        <v>0.751014143</v>
      </c>
      <c r="AF100" t="n">
        <v>1.515131032</v>
      </c>
      <c r="AH100" t="n">
        <v>2.330250104</v>
      </c>
      <c r="AI100" t="n">
        <v>-1.106227566</v>
      </c>
      <c r="AJ100" t="n">
        <v>1.352474895</v>
      </c>
      <c r="AL100" t="n">
        <v>0.528599629</v>
      </c>
      <c r="AN100" t="n">
        <v>3.421453661</v>
      </c>
      <c r="AR100" t="n">
        <v>-0.9805238469999999</v>
      </c>
      <c r="AT100" t="n">
        <v>0.235783839</v>
      </c>
      <c r="AU100" t="n">
        <v>0.718762237</v>
      </c>
    </row>
    <row r="101">
      <c r="A101" t="inlineStr">
        <is>
          <t>1972-Q1</t>
        </is>
      </c>
      <c r="B101" s="87" t="n">
        <v>26390</v>
      </c>
      <c r="D101" t="n">
        <v>-1.215964192</v>
      </c>
      <c r="E101" t="n">
        <v>3.257067641</v>
      </c>
      <c r="F101" t="n">
        <v>1.328109516</v>
      </c>
      <c r="H101" t="n">
        <v>-0.349406697</v>
      </c>
      <c r="I101" t="n">
        <v>0.917431193</v>
      </c>
      <c r="M101" t="n">
        <v>0.101102707</v>
      </c>
      <c r="N101" t="n">
        <v>1.504750769</v>
      </c>
      <c r="P101" t="n">
        <v>1.622512359</v>
      </c>
      <c r="S101" t="n">
        <v>4.909210676</v>
      </c>
      <c r="T101" t="n">
        <v>1.309796145</v>
      </c>
      <c r="U101" t="n">
        <v>1.484048</v>
      </c>
      <c r="V101" t="n">
        <v>0.113615307</v>
      </c>
      <c r="W101" t="n">
        <v>5.062805638</v>
      </c>
      <c r="Z101" t="n">
        <v>1.687688006</v>
      </c>
      <c r="AA101" t="n">
        <v>1.348162449</v>
      </c>
      <c r="AC101" t="n">
        <v>1.104811466</v>
      </c>
      <c r="AD101" t="n">
        <v>3.258014557</v>
      </c>
      <c r="AE101" t="n">
        <v>1.437411275</v>
      </c>
      <c r="AF101" t="n">
        <v>1.664932254</v>
      </c>
      <c r="AH101" t="n">
        <v>2.264728797</v>
      </c>
      <c r="AI101" t="n">
        <v>2.850949081</v>
      </c>
      <c r="AJ101" t="n">
        <v>1.367177317</v>
      </c>
      <c r="AL101" t="n">
        <v>1.538978321</v>
      </c>
      <c r="AN101" t="n">
        <v>-0.052890599</v>
      </c>
      <c r="AR101" t="n">
        <v>0.473547083</v>
      </c>
      <c r="AT101" t="n">
        <v>1.838958884</v>
      </c>
      <c r="AU101" t="n">
        <v>-0.589519975</v>
      </c>
    </row>
    <row r="102">
      <c r="A102" t="inlineStr">
        <is>
          <t>1972-Q2</t>
        </is>
      </c>
      <c r="B102" s="87" t="n">
        <v>26481</v>
      </c>
      <c r="D102" t="n">
        <v>2.233633724</v>
      </c>
      <c r="E102" t="n">
        <v>-0.037419387</v>
      </c>
      <c r="F102" t="n">
        <v>1.304745354</v>
      </c>
      <c r="H102" t="n">
        <v>2.830064499</v>
      </c>
      <c r="I102" t="n">
        <v>0.285353536</v>
      </c>
      <c r="M102" t="n">
        <v>1.632999089</v>
      </c>
      <c r="N102" t="n">
        <v>1.389444007</v>
      </c>
      <c r="P102" t="n">
        <v>2.362836116</v>
      </c>
      <c r="S102" t="n">
        <v>-0.039025583</v>
      </c>
      <c r="T102" t="n">
        <v>0.38417729</v>
      </c>
      <c r="U102" t="n">
        <v>1.849903</v>
      </c>
      <c r="V102" t="n">
        <v>2.643794049</v>
      </c>
      <c r="W102" t="n">
        <v>2.984393538</v>
      </c>
      <c r="Z102" t="n">
        <v>1.629577966</v>
      </c>
      <c r="AA102" t="n">
        <v>1.31288888</v>
      </c>
      <c r="AC102" t="n">
        <v>-0.045308383</v>
      </c>
      <c r="AD102" t="n">
        <v>1.881993872</v>
      </c>
      <c r="AE102" t="n">
        <v>2.955504084</v>
      </c>
      <c r="AF102" t="n">
        <v>1.767206835</v>
      </c>
      <c r="AH102" t="n">
        <v>2.20276042</v>
      </c>
      <c r="AI102" t="n">
        <v>0.460245494</v>
      </c>
      <c r="AJ102" t="n">
        <v>1.221700663</v>
      </c>
      <c r="AL102" t="n">
        <v>1.798725825</v>
      </c>
      <c r="AN102" t="n">
        <v>1.942276308</v>
      </c>
      <c r="AR102" t="n">
        <v>0.189989184</v>
      </c>
      <c r="AT102" t="n">
        <v>2.269772354</v>
      </c>
      <c r="AU102" t="n">
        <v>1.046169957</v>
      </c>
    </row>
    <row r="103">
      <c r="A103" t="inlineStr">
        <is>
          <t>1972-Q3</t>
        </is>
      </c>
      <c r="B103" s="87" t="n">
        <v>26573</v>
      </c>
      <c r="D103" t="n">
        <v>-0.502298096</v>
      </c>
      <c r="E103" t="n">
        <v>1.352706757</v>
      </c>
      <c r="F103" t="n">
        <v>1.448760528</v>
      </c>
      <c r="H103" t="n">
        <v>0.278737839</v>
      </c>
      <c r="I103" t="n">
        <v>0.841034422</v>
      </c>
      <c r="M103" t="n">
        <v>2.335604225</v>
      </c>
      <c r="N103" t="n">
        <v>1.278677816</v>
      </c>
      <c r="P103" t="n">
        <v>2.196883976</v>
      </c>
      <c r="S103" t="n">
        <v>2.143043783</v>
      </c>
      <c r="T103" t="n">
        <v>0.887960161</v>
      </c>
      <c r="U103" t="n">
        <v>1.240058</v>
      </c>
      <c r="V103" t="n">
        <v>0.270476751</v>
      </c>
      <c r="W103" t="n">
        <v>-0.622562921</v>
      </c>
      <c r="Z103" t="n">
        <v>1.504128019</v>
      </c>
      <c r="AA103" t="n">
        <v>1.398144255</v>
      </c>
      <c r="AC103" t="n">
        <v>1.348168499</v>
      </c>
      <c r="AD103" t="n">
        <v>2.13452832</v>
      </c>
      <c r="AE103" t="n">
        <v>1.648226735</v>
      </c>
      <c r="AF103" t="n">
        <v>1.843768121</v>
      </c>
      <c r="AH103" t="n">
        <v>2.189293583</v>
      </c>
      <c r="AI103" t="n">
        <v>0.151999372</v>
      </c>
      <c r="AJ103" t="n">
        <v>1.081400474</v>
      </c>
      <c r="AL103" t="n">
        <v>1.28307352</v>
      </c>
      <c r="AN103" t="n">
        <v>4.900383771</v>
      </c>
      <c r="AR103" t="n">
        <v>2.848964976</v>
      </c>
      <c r="AT103" t="n">
        <v>0.944381888</v>
      </c>
      <c r="AU103" t="n">
        <v>0.061773482</v>
      </c>
    </row>
    <row r="104">
      <c r="A104" t="inlineStr">
        <is>
          <t>1972-Q4</t>
        </is>
      </c>
      <c r="B104" s="87" t="n">
        <v>26665</v>
      </c>
      <c r="D104" t="n">
        <v>1.064935493</v>
      </c>
      <c r="E104" t="n">
        <v>4.511312077</v>
      </c>
      <c r="F104" t="n">
        <v>1.593273827</v>
      </c>
      <c r="H104" t="n">
        <v>2.369387683</v>
      </c>
      <c r="I104" t="n">
        <v>1.765425625</v>
      </c>
      <c r="M104" t="n">
        <v>1.553896295</v>
      </c>
      <c r="N104" t="n">
        <v>1.171983819</v>
      </c>
      <c r="P104" t="n">
        <v>1.981024409</v>
      </c>
      <c r="S104" t="n">
        <v>2.066012205</v>
      </c>
      <c r="T104" t="n">
        <v>1.660236385</v>
      </c>
      <c r="U104" t="n">
        <v>1.709288</v>
      </c>
      <c r="V104" t="n">
        <v>1.554122162</v>
      </c>
      <c r="W104" t="n">
        <v>5.586891094</v>
      </c>
      <c r="Z104" t="n">
        <v>1.338081409</v>
      </c>
      <c r="AA104" t="n">
        <v>1.542472372</v>
      </c>
      <c r="AC104" t="n">
        <v>0.475253324</v>
      </c>
      <c r="AD104" t="n">
        <v>2.515679627</v>
      </c>
      <c r="AE104" t="n">
        <v>4.251313975</v>
      </c>
      <c r="AF104" t="n">
        <v>1.917260019</v>
      </c>
      <c r="AH104" t="n">
        <v>2.17662679</v>
      </c>
      <c r="AI104" t="n">
        <v>1.243391832</v>
      </c>
      <c r="AJ104" t="n">
        <v>0.945670252</v>
      </c>
      <c r="AL104" t="n">
        <v>1.757692777</v>
      </c>
      <c r="AN104" t="n">
        <v>0.540745608</v>
      </c>
      <c r="AR104" t="n">
        <v>1.704581047</v>
      </c>
      <c r="AT104" t="n">
        <v>1.674458738</v>
      </c>
      <c r="AU104" t="n">
        <v>1.770998777</v>
      </c>
    </row>
    <row r="105">
      <c r="A105" t="inlineStr">
        <is>
          <t>1973-Q1</t>
        </is>
      </c>
      <c r="B105" s="87" t="n">
        <v>26755</v>
      </c>
      <c r="D105" t="n">
        <v>2.578375599</v>
      </c>
      <c r="E105" t="n">
        <v>-1.417131378</v>
      </c>
      <c r="F105" t="n">
        <v>1.557743371</v>
      </c>
      <c r="H105" t="n">
        <v>2.61132786</v>
      </c>
      <c r="I105" t="n">
        <v>0.498110615</v>
      </c>
      <c r="M105" t="n">
        <v>1.382723679</v>
      </c>
      <c r="N105" t="n">
        <v>1.068889461</v>
      </c>
      <c r="P105" t="n">
        <v>1.840654752</v>
      </c>
      <c r="S105" t="n">
        <v>3.574796133</v>
      </c>
      <c r="T105" t="n">
        <v>1.99228223</v>
      </c>
      <c r="U105" t="n">
        <v>2.523704</v>
      </c>
      <c r="V105" t="n">
        <v>4.964747219</v>
      </c>
      <c r="W105" t="n">
        <v>0.356833682</v>
      </c>
      <c r="Z105" t="n">
        <v>1.151515719</v>
      </c>
      <c r="AA105" t="n">
        <v>1.671396055</v>
      </c>
      <c r="AC105" t="n">
        <v>0.901496317</v>
      </c>
      <c r="AD105" t="n">
        <v>3.344675477</v>
      </c>
      <c r="AE105" t="n">
        <v>3.307410387</v>
      </c>
      <c r="AF105" t="n">
        <v>2.00175876</v>
      </c>
      <c r="AH105" t="n">
        <v>2.113477478</v>
      </c>
      <c r="AI105" t="n">
        <v>3.158903435</v>
      </c>
      <c r="AJ105" t="n">
        <v>0.813763153</v>
      </c>
      <c r="AL105" t="n">
        <v>2.332091622</v>
      </c>
      <c r="AN105" t="n">
        <v>3.996567313</v>
      </c>
      <c r="AR105" t="n">
        <v>0.664999096</v>
      </c>
      <c r="AT105" t="n">
        <v>2.474806377</v>
      </c>
      <c r="AU105" t="n">
        <v>1.289677636</v>
      </c>
    </row>
    <row r="106">
      <c r="A106" t="inlineStr">
        <is>
          <t>1973-Q2</t>
        </is>
      </c>
      <c r="B106" s="87" t="n">
        <v>26846</v>
      </c>
      <c r="D106" t="n">
        <v>0.185394421</v>
      </c>
      <c r="E106" t="n">
        <v>2.047167789</v>
      </c>
      <c r="F106" t="n">
        <v>1.51907132</v>
      </c>
      <c r="H106" t="n">
        <v>1.084605289</v>
      </c>
      <c r="I106" t="n">
        <v>-0.087897063</v>
      </c>
      <c r="M106" t="n">
        <v>0.738877462</v>
      </c>
      <c r="N106" t="n">
        <v>0.688149787</v>
      </c>
      <c r="P106" t="n">
        <v>1.782785541</v>
      </c>
      <c r="S106" t="n">
        <v>-3.086633172</v>
      </c>
      <c r="T106" t="n">
        <v>1.080382169</v>
      </c>
      <c r="U106" t="n">
        <v>1.07972</v>
      </c>
      <c r="V106" t="n">
        <v>0.134075038</v>
      </c>
      <c r="W106" t="n">
        <v>3.463075952</v>
      </c>
      <c r="Z106" t="n">
        <v>0.976855111</v>
      </c>
      <c r="AA106" t="n">
        <v>1.781959172</v>
      </c>
      <c r="AC106" t="n">
        <v>2.996680537</v>
      </c>
      <c r="AD106" t="n">
        <v>0.91447627</v>
      </c>
      <c r="AE106" t="n">
        <v>4.202215108</v>
      </c>
      <c r="AF106" t="n">
        <v>2.106209441</v>
      </c>
      <c r="AH106" t="n">
        <v>2.05215716</v>
      </c>
      <c r="AI106" t="n">
        <v>-0.328806944</v>
      </c>
      <c r="AJ106" t="n">
        <v>0.999672088</v>
      </c>
      <c r="AL106" t="n">
        <v>1.101061506</v>
      </c>
      <c r="AN106" t="n">
        <v>2.114461523</v>
      </c>
      <c r="AR106" t="n">
        <v>0.036354188</v>
      </c>
      <c r="AT106" t="n">
        <v>1.08866253</v>
      </c>
      <c r="AU106" t="n">
        <v>-0.444748341</v>
      </c>
    </row>
    <row r="107">
      <c r="A107" t="inlineStr">
        <is>
          <t>1973-Q3</t>
        </is>
      </c>
      <c r="B107" s="87" t="n">
        <v>26938</v>
      </c>
      <c r="D107" t="n">
        <v>1.012620025</v>
      </c>
      <c r="E107" t="n">
        <v>0.398009616</v>
      </c>
      <c r="F107" t="n">
        <v>1.426949406</v>
      </c>
      <c r="H107" t="n">
        <v>0.362013934</v>
      </c>
      <c r="I107" t="n">
        <v>0.923731092</v>
      </c>
      <c r="M107" t="n">
        <v>0.327712697</v>
      </c>
      <c r="N107" t="n">
        <v>0.316519876</v>
      </c>
      <c r="P107" t="n">
        <v>1.651654071</v>
      </c>
      <c r="S107" t="n">
        <v>4.437518319</v>
      </c>
      <c r="T107" t="n">
        <v>0.858845143</v>
      </c>
      <c r="U107" t="n">
        <v>0.103678</v>
      </c>
      <c r="V107" t="n">
        <v>-0.944805785</v>
      </c>
      <c r="W107" t="n">
        <v>0.593785586</v>
      </c>
      <c r="Z107" t="n">
        <v>0.826587472</v>
      </c>
      <c r="AA107" t="n">
        <v>1.918032306</v>
      </c>
      <c r="AC107" t="n">
        <v>3.18178299</v>
      </c>
      <c r="AD107" t="n">
        <v>0.291681205</v>
      </c>
      <c r="AE107" t="n">
        <v>5.090241766</v>
      </c>
      <c r="AF107" t="n">
        <v>2.264656679</v>
      </c>
      <c r="AH107" t="n">
        <v>1.753957612</v>
      </c>
      <c r="AI107" t="n">
        <v>-0.72573153</v>
      </c>
      <c r="AJ107" t="n">
        <v>1.18030089</v>
      </c>
      <c r="AL107" t="n">
        <v>0.365931104</v>
      </c>
      <c r="AN107" t="n">
        <v>2.984993782</v>
      </c>
      <c r="AR107" t="n">
        <v>0.781539966</v>
      </c>
      <c r="AT107" t="n">
        <v>-0.525898536</v>
      </c>
      <c r="AU107" t="n">
        <v>2.892126309</v>
      </c>
    </row>
    <row r="108">
      <c r="A108" t="inlineStr">
        <is>
          <t>1973-Q4</t>
        </is>
      </c>
      <c r="B108" s="87" t="n">
        <v>27030</v>
      </c>
      <c r="D108" t="n">
        <v>2.501847688</v>
      </c>
      <c r="E108" t="n">
        <v>2.114916666</v>
      </c>
      <c r="F108" t="n">
        <v>1.324668226</v>
      </c>
      <c r="H108" t="n">
        <v>1.868824427</v>
      </c>
      <c r="I108" t="n">
        <v>1.762754546</v>
      </c>
      <c r="M108" t="n">
        <v>0.24886882</v>
      </c>
      <c r="N108" t="n">
        <v>-0.050231497</v>
      </c>
      <c r="P108" t="n">
        <v>1.645425147</v>
      </c>
      <c r="S108" t="n">
        <v>1.879384958</v>
      </c>
      <c r="T108" t="n">
        <v>1.278319135</v>
      </c>
      <c r="U108" t="n">
        <v>0.970732</v>
      </c>
      <c r="V108" t="n">
        <v>-0.436401722</v>
      </c>
      <c r="W108" t="n">
        <v>0.400258753</v>
      </c>
      <c r="Z108" t="n">
        <v>0.760770828</v>
      </c>
      <c r="AA108" t="n">
        <v>1.916533234</v>
      </c>
      <c r="AC108" t="n">
        <v>2.442616376</v>
      </c>
      <c r="AD108" t="n">
        <v>1.235735789</v>
      </c>
      <c r="AE108" t="n">
        <v>1.447179718</v>
      </c>
      <c r="AF108" t="n">
        <v>2.167429275</v>
      </c>
      <c r="AH108" t="n">
        <v>1.442038019</v>
      </c>
      <c r="AI108" t="n">
        <v>3.903124023</v>
      </c>
      <c r="AJ108" t="n">
        <v>1.354833115</v>
      </c>
      <c r="AL108" t="n">
        <v>1.134730258</v>
      </c>
      <c r="AN108" t="n">
        <v>1.593790761</v>
      </c>
      <c r="AR108" t="n">
        <v>1.365484011</v>
      </c>
      <c r="AT108" t="n">
        <v>0.949216043</v>
      </c>
      <c r="AU108" t="n">
        <v>1.92621499</v>
      </c>
    </row>
    <row r="109">
      <c r="A109" t="inlineStr">
        <is>
          <t>1974-Q1</t>
        </is>
      </c>
      <c r="B109" s="87" t="n">
        <v>27120</v>
      </c>
      <c r="D109" t="n">
        <v>0.013807069</v>
      </c>
      <c r="E109" t="n">
        <v>2.01668466</v>
      </c>
      <c r="F109" t="n">
        <v>1.282729029</v>
      </c>
      <c r="H109" t="n">
        <v>0.741400547</v>
      </c>
      <c r="I109" t="n">
        <v>1.46096557</v>
      </c>
      <c r="M109" t="n">
        <v>0.845690319</v>
      </c>
      <c r="N109" t="n">
        <v>-0.416193242</v>
      </c>
      <c r="P109" t="n">
        <v>1.698325068</v>
      </c>
      <c r="S109" t="n">
        <v>-0.5818975830000001</v>
      </c>
      <c r="T109" t="n">
        <v>0.959287031</v>
      </c>
      <c r="U109" t="n">
        <v>-0.850847</v>
      </c>
      <c r="V109" t="n">
        <v>-2.737780016</v>
      </c>
      <c r="W109" t="n">
        <v>-2.013449845</v>
      </c>
      <c r="Z109" t="n">
        <v>0.861614055</v>
      </c>
      <c r="AA109" t="n">
        <v>1.640139287</v>
      </c>
      <c r="AC109" t="n">
        <v>0.8109958739999999</v>
      </c>
      <c r="AD109" t="n">
        <v>-3.435981747</v>
      </c>
      <c r="AE109" t="n">
        <v>4.175234446</v>
      </c>
      <c r="AF109" t="n">
        <v>1.538048882</v>
      </c>
      <c r="AH109" t="n">
        <v>1.403345049</v>
      </c>
      <c r="AI109" t="n">
        <v>0.575004502</v>
      </c>
      <c r="AJ109" t="n">
        <v>1.522530474</v>
      </c>
      <c r="AL109" t="n">
        <v>-0.442630641</v>
      </c>
      <c r="AN109" t="n">
        <v>0.547245244</v>
      </c>
      <c r="AR109" t="n">
        <v>-0.532074444</v>
      </c>
      <c r="AT109" t="n">
        <v>-0.859772574</v>
      </c>
      <c r="AU109" t="n">
        <v>1.868574967</v>
      </c>
    </row>
    <row r="110">
      <c r="A110" t="inlineStr">
        <is>
          <t>1974-Q2</t>
        </is>
      </c>
      <c r="B110" s="87" t="n">
        <v>27211</v>
      </c>
      <c r="D110" t="n">
        <v>-2.032426794</v>
      </c>
      <c r="E110" t="n">
        <v>-0.421365581</v>
      </c>
      <c r="F110" t="n">
        <v>1.269724956</v>
      </c>
      <c r="H110" t="n">
        <v>1.094286656</v>
      </c>
      <c r="I110" t="n">
        <v>0.302525739</v>
      </c>
      <c r="M110" t="n">
        <v>-0.076938462</v>
      </c>
      <c r="N110" t="n">
        <v>-0.490190037</v>
      </c>
      <c r="P110" t="n">
        <v>1.263590499</v>
      </c>
      <c r="S110" t="n">
        <v>0.308619595</v>
      </c>
      <c r="T110" t="n">
        <v>0.500642661</v>
      </c>
      <c r="U110" t="n">
        <v>0.484956</v>
      </c>
      <c r="V110" t="n">
        <v>1.429145887</v>
      </c>
      <c r="W110" t="n">
        <v>-5.264455677</v>
      </c>
      <c r="Z110" t="n">
        <v>1.126914412</v>
      </c>
      <c r="AA110" t="n">
        <v>1.177278438</v>
      </c>
      <c r="AC110" t="n">
        <v>0.955063814</v>
      </c>
      <c r="AD110" t="n">
        <v>0.720303476</v>
      </c>
      <c r="AE110" t="n">
        <v>-0.263554358</v>
      </c>
      <c r="AF110" t="n">
        <v>0.526564292</v>
      </c>
      <c r="AH110" t="n">
        <v>1.378937292</v>
      </c>
      <c r="AI110" t="n">
        <v>1.146852459</v>
      </c>
      <c r="AJ110" t="n">
        <v>1.292526514</v>
      </c>
      <c r="AL110" t="n">
        <v>0.463738207</v>
      </c>
      <c r="AN110" t="n">
        <v>-2.033564478</v>
      </c>
      <c r="AR110" t="n">
        <v>1.702633011</v>
      </c>
      <c r="AT110" t="n">
        <v>0.237683227</v>
      </c>
      <c r="AU110" t="n">
        <v>1.374417468</v>
      </c>
    </row>
    <row r="111">
      <c r="A111" t="inlineStr">
        <is>
          <t>1974-Q3</t>
        </is>
      </c>
      <c r="B111" s="87" t="n">
        <v>27303</v>
      </c>
      <c r="D111" t="n">
        <v>1.196217198</v>
      </c>
      <c r="E111" t="n">
        <v>0.466238085</v>
      </c>
      <c r="F111" t="n">
        <v>0.165849972</v>
      </c>
      <c r="H111" t="n">
        <v>-0.087894261</v>
      </c>
      <c r="I111" t="n">
        <v>-2.42459668</v>
      </c>
      <c r="M111" t="n">
        <v>4.35e-06</v>
      </c>
      <c r="N111" t="n">
        <v>-0.565185038</v>
      </c>
      <c r="P111" t="n">
        <v>0.705686378</v>
      </c>
      <c r="S111" t="n">
        <v>1.235448193</v>
      </c>
      <c r="T111" t="n">
        <v>0.943450926</v>
      </c>
      <c r="U111" t="n">
        <v>-0.079321</v>
      </c>
      <c r="V111" t="n">
        <v>0.623390827</v>
      </c>
      <c r="W111" t="n">
        <v>-6.511365608</v>
      </c>
      <c r="Z111" t="n">
        <v>1.562881945</v>
      </c>
      <c r="AA111" t="n">
        <v>0.526714883</v>
      </c>
      <c r="AC111" t="n">
        <v>0.16671244</v>
      </c>
      <c r="AD111" t="n">
        <v>1.279660157</v>
      </c>
      <c r="AE111" t="n">
        <v>1.56076644</v>
      </c>
      <c r="AF111" t="n">
        <v>-0.9174168660000001</v>
      </c>
      <c r="AH111" t="n">
        <v>1.420328024</v>
      </c>
      <c r="AI111" t="n">
        <v>0.7879786</v>
      </c>
      <c r="AJ111" t="n">
        <v>1.071506394</v>
      </c>
      <c r="AL111" t="n">
        <v>0.021198254</v>
      </c>
      <c r="AN111" t="n">
        <v>-1.658835446</v>
      </c>
      <c r="AR111" t="n">
        <v>1.408670212</v>
      </c>
      <c r="AT111" t="n">
        <v>-0.945142778</v>
      </c>
      <c r="AU111" t="n">
        <v>1.132567196</v>
      </c>
    </row>
    <row r="112">
      <c r="A112" t="inlineStr">
        <is>
          <t>1974-Q4</t>
        </is>
      </c>
      <c r="B112" s="87" t="n">
        <v>27395</v>
      </c>
      <c r="D112" t="n">
        <v>0.105984652</v>
      </c>
      <c r="E112" t="n">
        <v>-1.224199014</v>
      </c>
      <c r="F112" t="n">
        <v>-1.000723354</v>
      </c>
      <c r="H112" t="n">
        <v>-0.463837034</v>
      </c>
      <c r="I112" t="n">
        <v>-3.572712242</v>
      </c>
      <c r="M112" t="n">
        <v>-1.262707459</v>
      </c>
      <c r="N112" t="n">
        <v>-0.641423598</v>
      </c>
      <c r="P112" t="n">
        <v>0.066164419</v>
      </c>
      <c r="S112" t="n">
        <v>0.023032177</v>
      </c>
      <c r="T112" t="n">
        <v>-1.510183316</v>
      </c>
      <c r="U112" t="n">
        <v>-0.84959</v>
      </c>
      <c r="V112" t="n">
        <v>-1.463229067</v>
      </c>
      <c r="W112" t="n">
        <v>5.234095866</v>
      </c>
      <c r="Z112" t="n">
        <v>1.877960383</v>
      </c>
      <c r="AA112" t="n">
        <v>-0.055508009</v>
      </c>
      <c r="AC112" t="n">
        <v>-2.090374618</v>
      </c>
      <c r="AD112" t="n">
        <v>-0.542348904</v>
      </c>
      <c r="AE112" t="n">
        <v>-0.341014777</v>
      </c>
      <c r="AF112" t="n">
        <v>-2.215836913</v>
      </c>
      <c r="AH112" t="n">
        <v>1.455293632</v>
      </c>
      <c r="AI112" t="n">
        <v>-1.385399516</v>
      </c>
      <c r="AJ112" t="n">
        <v>0.85781115</v>
      </c>
      <c r="AL112" t="n">
        <v>-0.610967335</v>
      </c>
      <c r="AN112" t="n">
        <v>-0.772746094</v>
      </c>
      <c r="AR112" t="n">
        <v>1.360991524</v>
      </c>
      <c r="AT112" t="n">
        <v>-0.388140783</v>
      </c>
      <c r="AU112" t="n">
        <v>-0.943914052</v>
      </c>
    </row>
    <row r="113">
      <c r="A113" t="inlineStr">
        <is>
          <t>1975-Q1</t>
        </is>
      </c>
      <c r="B113" s="87" t="n">
        <v>27485</v>
      </c>
      <c r="D113" t="n">
        <v>0.389486944</v>
      </c>
      <c r="E113" t="n">
        <v>0.13912639</v>
      </c>
      <c r="F113" t="n">
        <v>-1.000148554</v>
      </c>
      <c r="H113" t="n">
        <v>-0.628394126</v>
      </c>
      <c r="I113" t="n">
        <v>-2.127130858</v>
      </c>
      <c r="M113" t="n">
        <v>-0.5770053510000001</v>
      </c>
      <c r="N113" t="n">
        <v>-0.719045178</v>
      </c>
      <c r="P113" t="n">
        <v>-0.501915997</v>
      </c>
      <c r="S113" t="n">
        <v>1.603501804</v>
      </c>
      <c r="T113" t="n">
        <v>-0.44990402</v>
      </c>
      <c r="U113" t="n">
        <v>-0.779008</v>
      </c>
      <c r="V113" t="n">
        <v>0.060207186</v>
      </c>
      <c r="W113" t="n">
        <v>7.943471934</v>
      </c>
      <c r="Z113" t="n">
        <v>1.782215968</v>
      </c>
      <c r="AA113" t="n">
        <v>-0.274496285</v>
      </c>
      <c r="AC113" t="n">
        <v>-1.739606011</v>
      </c>
      <c r="AD113" t="n">
        <v>0.130852508</v>
      </c>
      <c r="AE113" t="n">
        <v>1.414647153</v>
      </c>
      <c r="AF113" t="n">
        <v>-2.690011007</v>
      </c>
      <c r="AH113" t="n">
        <v>1.41808582</v>
      </c>
      <c r="AI113" t="n">
        <v>-1.96350355</v>
      </c>
      <c r="AJ113" t="n">
        <v>0.649877665</v>
      </c>
      <c r="AL113" t="n">
        <v>-0.518824936</v>
      </c>
      <c r="AN113" t="n">
        <v>-1.987540613</v>
      </c>
      <c r="AR113" t="n">
        <v>0.638731136</v>
      </c>
      <c r="AT113" t="n">
        <v>-1.217285876</v>
      </c>
      <c r="AU113" t="n">
        <v>-0.400466152</v>
      </c>
    </row>
    <row r="114">
      <c r="A114" t="inlineStr">
        <is>
          <t>1975-Q2</t>
        </is>
      </c>
      <c r="B114" s="87" t="n">
        <v>27576</v>
      </c>
      <c r="D114" t="n">
        <v>3.15076402</v>
      </c>
      <c r="E114" t="n">
        <v>-1.030183642</v>
      </c>
      <c r="F114" t="n">
        <v>-1.004706808</v>
      </c>
      <c r="H114" t="n">
        <v>1.299640149</v>
      </c>
      <c r="I114" t="n">
        <v>-1.071446707</v>
      </c>
      <c r="M114" t="n">
        <v>-0.501954515</v>
      </c>
      <c r="N114" t="n">
        <v>0.092145804</v>
      </c>
      <c r="P114" t="n">
        <v>-0.083067768</v>
      </c>
      <c r="S114" t="n">
        <v>-0.710065894</v>
      </c>
      <c r="T114" t="n">
        <v>0.252750122</v>
      </c>
      <c r="U114" t="n">
        <v>0.516694</v>
      </c>
      <c r="V114" t="n">
        <v>-1.648500549</v>
      </c>
      <c r="W114" t="n">
        <v>-1.00896632</v>
      </c>
      <c r="Z114" t="n">
        <v>1.347474683</v>
      </c>
      <c r="AA114" t="n">
        <v>-0.105422218</v>
      </c>
      <c r="AC114" t="n">
        <v>-0.051609537</v>
      </c>
      <c r="AD114" t="n">
        <v>2.220142359</v>
      </c>
      <c r="AE114" t="n">
        <v>4.708017469</v>
      </c>
      <c r="AF114" t="n">
        <v>-2.268514261</v>
      </c>
      <c r="AH114" t="n">
        <v>1.391313202</v>
      </c>
      <c r="AI114" t="n">
        <v>1.370993416</v>
      </c>
      <c r="AJ114" t="n">
        <v>1.045183624</v>
      </c>
      <c r="AL114" t="n">
        <v>0.534131303</v>
      </c>
      <c r="AN114" t="n">
        <v>-1.492100144</v>
      </c>
      <c r="AR114" t="n">
        <v>-1.154452753</v>
      </c>
      <c r="AT114" t="n">
        <v>0.7145362159999999</v>
      </c>
      <c r="AU114" t="n">
        <v>1.723782844</v>
      </c>
    </row>
    <row r="115">
      <c r="A115" t="inlineStr">
        <is>
          <t>1975-Q3</t>
        </is>
      </c>
      <c r="B115" s="87" t="n">
        <v>27668</v>
      </c>
      <c r="D115" t="n">
        <v>-1.09180734</v>
      </c>
      <c r="E115" t="n">
        <v>0.960338551</v>
      </c>
      <c r="F115" t="n">
        <v>0.507866459</v>
      </c>
      <c r="H115" t="n">
        <v>1.877954578</v>
      </c>
      <c r="I115" t="n">
        <v>-1.136946925</v>
      </c>
      <c r="M115" t="n">
        <v>1.087808729</v>
      </c>
      <c r="N115" t="n">
        <v>0.9076912539999999</v>
      </c>
      <c r="P115" t="n">
        <v>0.436846242</v>
      </c>
      <c r="S115" t="n">
        <v>-0.915384175</v>
      </c>
      <c r="T115" t="n">
        <v>0.38735228</v>
      </c>
      <c r="U115" t="n">
        <v>1.247843</v>
      </c>
      <c r="V115" t="n">
        <v>-0.350264333</v>
      </c>
      <c r="W115" t="n">
        <v>-1.815668393</v>
      </c>
      <c r="Z115" t="n">
        <v>0.612944177</v>
      </c>
      <c r="AA115" t="n">
        <v>0.426649868</v>
      </c>
      <c r="AC115" t="n">
        <v>1.421426377</v>
      </c>
      <c r="AD115" t="n">
        <v>1.138138264</v>
      </c>
      <c r="AE115" t="n">
        <v>2.857939982</v>
      </c>
      <c r="AF115" t="n">
        <v>-0.960290519</v>
      </c>
      <c r="AH115" t="n">
        <v>1.242050696</v>
      </c>
      <c r="AI115" t="n">
        <v>0.5698554850000001</v>
      </c>
      <c r="AJ115" t="n">
        <v>1.42976477</v>
      </c>
      <c r="AL115" t="n">
        <v>1.097339206</v>
      </c>
      <c r="AN115" t="n">
        <v>0.104980707</v>
      </c>
      <c r="AR115" t="n">
        <v>0.911620997</v>
      </c>
      <c r="AT115" t="n">
        <v>1.711651967</v>
      </c>
      <c r="AU115" t="n">
        <v>0.8006653460000001</v>
      </c>
    </row>
    <row r="116">
      <c r="A116" t="inlineStr">
        <is>
          <t>1975-Q4</t>
        </is>
      </c>
      <c r="B116" s="87" t="n">
        <v>27760</v>
      </c>
      <c r="D116" t="n">
        <v>-1.50224469</v>
      </c>
      <c r="E116" t="n">
        <v>2.376262245</v>
      </c>
      <c r="F116" t="n">
        <v>2.127560608</v>
      </c>
      <c r="H116" t="n">
        <v>1.166484824</v>
      </c>
      <c r="I116" t="n">
        <v>-0.713896316</v>
      </c>
      <c r="M116" t="n">
        <v>1.965054968</v>
      </c>
      <c r="N116" t="n">
        <v>1.707836474</v>
      </c>
      <c r="P116" t="n">
        <v>0.7028369330000001</v>
      </c>
      <c r="S116" t="n">
        <v>-0.970032912</v>
      </c>
      <c r="T116" t="n">
        <v>1.350335463</v>
      </c>
      <c r="U116" t="n">
        <v>1.335392</v>
      </c>
      <c r="V116" t="n">
        <v>1.145875318</v>
      </c>
      <c r="W116" t="n">
        <v>4.826948536</v>
      </c>
      <c r="Z116" t="n">
        <v>-0.051897778</v>
      </c>
      <c r="AA116" t="n">
        <v>1.094263387</v>
      </c>
      <c r="AC116" t="n">
        <v>1.120331647</v>
      </c>
      <c r="AD116" t="n">
        <v>1.051509853</v>
      </c>
      <c r="AE116" t="n">
        <v>3.085712348</v>
      </c>
      <c r="AF116" t="n">
        <v>0.572463046</v>
      </c>
      <c r="AH116" t="n">
        <v>1.081194488</v>
      </c>
      <c r="AI116" t="n">
        <v>3.81341154</v>
      </c>
      <c r="AJ116" t="n">
        <v>1.799407238</v>
      </c>
      <c r="AL116" t="n">
        <v>1.371549437</v>
      </c>
      <c r="AN116" t="n">
        <v>2.344304561</v>
      </c>
      <c r="AR116" t="n">
        <v>1.276689307</v>
      </c>
      <c r="AT116" t="n">
        <v>1.346524152</v>
      </c>
      <c r="AU116" t="n">
        <v>0.824466409</v>
      </c>
    </row>
    <row r="117">
      <c r="A117" t="inlineStr">
        <is>
          <t>1976-Q1</t>
        </is>
      </c>
      <c r="B117" s="87" t="n">
        <v>27851</v>
      </c>
      <c r="D117" t="n">
        <v>4.410773379</v>
      </c>
      <c r="E117" t="n">
        <v>-0.363839304</v>
      </c>
      <c r="F117" t="n">
        <v>2.074298549</v>
      </c>
      <c r="H117" t="n">
        <v>1.732839462</v>
      </c>
      <c r="I117" t="n">
        <v>-0.088898186</v>
      </c>
      <c r="M117" t="n">
        <v>0.898503341</v>
      </c>
      <c r="N117" t="n">
        <v>2.473896509</v>
      </c>
      <c r="P117" t="n">
        <v>0.993842659</v>
      </c>
      <c r="S117" t="n">
        <v>0.373156084</v>
      </c>
      <c r="T117" t="n">
        <v>1.467728516</v>
      </c>
      <c r="U117" t="n">
        <v>1.688234</v>
      </c>
      <c r="V117" t="n">
        <v>1.653237203</v>
      </c>
      <c r="W117" t="n">
        <v>3.279608692</v>
      </c>
      <c r="Z117" t="n">
        <v>-0.231437253</v>
      </c>
      <c r="AA117" t="n">
        <v>1.628424846</v>
      </c>
      <c r="AC117" t="n">
        <v>1.761832697</v>
      </c>
      <c r="AD117" t="n">
        <v>0.847324585</v>
      </c>
      <c r="AE117" t="n">
        <v>2.888755135</v>
      </c>
      <c r="AF117" t="n">
        <v>1.449331581</v>
      </c>
      <c r="AH117" t="n">
        <v>1.056566621</v>
      </c>
      <c r="AI117" t="n">
        <v>0.188830121</v>
      </c>
      <c r="AJ117" t="n">
        <v>2.150529207</v>
      </c>
      <c r="AL117" t="n">
        <v>1.637670783</v>
      </c>
      <c r="AN117" t="n">
        <v>2.404369543</v>
      </c>
      <c r="AR117" t="n">
        <v>-1.66619471</v>
      </c>
      <c r="AT117" t="n">
        <v>2.248760121</v>
      </c>
      <c r="AU117" t="n">
        <v>1.314343738</v>
      </c>
    </row>
    <row r="118">
      <c r="A118" t="inlineStr">
        <is>
          <t>1976-Q2</t>
        </is>
      </c>
      <c r="B118" s="87" t="n">
        <v>27942</v>
      </c>
      <c r="D118" t="n">
        <v>0.304470954</v>
      </c>
      <c r="E118" t="n">
        <v>1.845980491</v>
      </c>
      <c r="F118" t="n">
        <v>2.019118099</v>
      </c>
      <c r="H118" t="n">
        <v>2.163803961</v>
      </c>
      <c r="I118" t="n">
        <v>0.512927876</v>
      </c>
      <c r="M118" t="n">
        <v>1.485514999</v>
      </c>
      <c r="N118" t="n">
        <v>1.810285415</v>
      </c>
      <c r="P118" t="n">
        <v>1.154238868</v>
      </c>
      <c r="S118" t="n">
        <v>0.534417659</v>
      </c>
      <c r="T118" t="n">
        <v>1.192260978</v>
      </c>
      <c r="U118" t="n">
        <v>0.920215</v>
      </c>
      <c r="V118" t="n">
        <v>-0.129451608</v>
      </c>
      <c r="W118" t="n">
        <v>0.514363354</v>
      </c>
      <c r="Z118" t="n">
        <v>0.112618598</v>
      </c>
      <c r="AA118" t="n">
        <v>1.983566671</v>
      </c>
      <c r="AC118" t="n">
        <v>1.807450363</v>
      </c>
      <c r="AD118" t="n">
        <v>0.590800499</v>
      </c>
      <c r="AE118" t="n">
        <v>4.80717592</v>
      </c>
      <c r="AF118" t="n">
        <v>1.531738731</v>
      </c>
      <c r="AH118" t="n">
        <v>1.046903478</v>
      </c>
      <c r="AI118" t="n">
        <v>0.099520108</v>
      </c>
      <c r="AJ118" t="n">
        <v>1.718176292</v>
      </c>
      <c r="AL118" t="n">
        <v>1.024552575</v>
      </c>
      <c r="AN118" t="n">
        <v>2.487970122</v>
      </c>
      <c r="AR118" t="n">
        <v>1.766900116</v>
      </c>
      <c r="AT118" t="n">
        <v>0.733700577</v>
      </c>
      <c r="AU118" t="n">
        <v>-1.995152109</v>
      </c>
    </row>
    <row r="119">
      <c r="A119" t="inlineStr">
        <is>
          <t>1976-Q3</t>
        </is>
      </c>
      <c r="B119" s="87" t="n">
        <v>28034</v>
      </c>
      <c r="D119" t="n">
        <v>0.812627544</v>
      </c>
      <c r="E119" t="n">
        <v>2.295540148</v>
      </c>
      <c r="F119" t="n">
        <v>0.8736708480000001</v>
      </c>
      <c r="H119" t="n">
        <v>0.445344075</v>
      </c>
      <c r="I119" t="n">
        <v>1.658508644</v>
      </c>
      <c r="M119" t="n">
        <v>0.029868819</v>
      </c>
      <c r="N119" t="n">
        <v>1.184947516</v>
      </c>
      <c r="P119" t="n">
        <v>0.969907983</v>
      </c>
      <c r="S119" t="n">
        <v>1.115155717</v>
      </c>
      <c r="T119" t="n">
        <v>0.472915631</v>
      </c>
      <c r="U119" t="n">
        <v>0.825098</v>
      </c>
      <c r="V119" t="n">
        <v>1.272004491</v>
      </c>
      <c r="W119" t="n">
        <v>-2.48720672</v>
      </c>
      <c r="Z119" t="n">
        <v>0.941474492</v>
      </c>
      <c r="AA119" t="n">
        <v>2.218361227</v>
      </c>
      <c r="AC119" t="n">
        <v>2.541459042</v>
      </c>
      <c r="AD119" t="n">
        <v>1.406011224</v>
      </c>
      <c r="AE119" t="n">
        <v>1.940145549</v>
      </c>
      <c r="AF119" t="n">
        <v>0.974239657</v>
      </c>
      <c r="AH119" t="n">
        <v>0.820824926</v>
      </c>
      <c r="AI119" t="n">
        <v>3.533003443</v>
      </c>
      <c r="AJ119" t="n">
        <v>1.308634174</v>
      </c>
      <c r="AL119" t="n">
        <v>0.885911525</v>
      </c>
      <c r="AN119" t="n">
        <v>0.463687651</v>
      </c>
      <c r="AR119" t="n">
        <v>-0.541325725</v>
      </c>
      <c r="AT119" t="n">
        <v>0.548705764</v>
      </c>
      <c r="AU119" t="n">
        <v>2.379248149</v>
      </c>
    </row>
    <row r="120">
      <c r="A120" t="inlineStr">
        <is>
          <t>1976-Q4</t>
        </is>
      </c>
      <c r="B120" s="87" t="n">
        <v>28126</v>
      </c>
      <c r="D120" t="n">
        <v>0.87935688</v>
      </c>
      <c r="E120" t="n">
        <v>1.361666685</v>
      </c>
      <c r="F120" t="n">
        <v>-0.278586554</v>
      </c>
      <c r="H120" t="n">
        <v>0.206075061</v>
      </c>
      <c r="I120" t="n">
        <v>1.119221411</v>
      </c>
      <c r="M120" t="n">
        <v>1.85157959</v>
      </c>
      <c r="N120" t="n">
        <v>0.584883391</v>
      </c>
      <c r="P120" t="n">
        <v>0.767893364</v>
      </c>
      <c r="S120" t="n">
        <v>0.834285714</v>
      </c>
      <c r="T120" t="n">
        <v>1.245840306</v>
      </c>
      <c r="U120" t="n">
        <v>0.986998</v>
      </c>
      <c r="V120" t="n">
        <v>2.118166659</v>
      </c>
      <c r="W120" t="n">
        <v>7.826207497</v>
      </c>
      <c r="Z120" t="n">
        <v>1.853283189</v>
      </c>
      <c r="AA120" t="n">
        <v>2.318748639</v>
      </c>
      <c r="AC120" t="n">
        <v>1.734669506</v>
      </c>
      <c r="AD120" t="n">
        <v>0.118914049</v>
      </c>
      <c r="AE120" t="n">
        <v>1.124698181</v>
      </c>
      <c r="AF120" t="n">
        <v>0.275677506</v>
      </c>
      <c r="AH120" t="n">
        <v>0.591004129</v>
      </c>
      <c r="AI120" t="n">
        <v>-1.692871864</v>
      </c>
      <c r="AJ120" t="n">
        <v>0.916125955</v>
      </c>
      <c r="AL120" t="n">
        <v>0.95107675</v>
      </c>
      <c r="AN120" t="n">
        <v>3.207685852</v>
      </c>
      <c r="AR120" t="n">
        <v>-0.462996332</v>
      </c>
      <c r="AT120" t="n">
        <v>0.724850978</v>
      </c>
      <c r="AU120" t="n">
        <v>-0.7308368240000001</v>
      </c>
    </row>
    <row r="121">
      <c r="A121" t="inlineStr">
        <is>
          <t>1977-Q1</t>
        </is>
      </c>
      <c r="B121" s="87" t="n">
        <v>28216</v>
      </c>
      <c r="D121" t="n">
        <v>-0.550201381</v>
      </c>
      <c r="E121" t="n">
        <v>0.186590103</v>
      </c>
      <c r="F121" t="n">
        <v>-0.278875151</v>
      </c>
      <c r="H121" t="n">
        <v>1.422042393</v>
      </c>
      <c r="I121" t="n">
        <v>-0.058254394</v>
      </c>
      <c r="M121" t="n">
        <v>0.853943577</v>
      </c>
      <c r="N121" t="n">
        <v>-1.198126636</v>
      </c>
      <c r="P121" t="n">
        <v>0.792235802</v>
      </c>
      <c r="S121" t="n">
        <v>-0.8613850159999999</v>
      </c>
      <c r="T121" t="n">
        <v>1.105448055</v>
      </c>
      <c r="U121" t="n">
        <v>1.108591</v>
      </c>
      <c r="V121" t="n">
        <v>0.018535681</v>
      </c>
      <c r="W121" t="n">
        <v>-0.466491579</v>
      </c>
      <c r="Z121" t="n">
        <v>2.400262301</v>
      </c>
      <c r="AA121" t="n">
        <v>2.267105536</v>
      </c>
      <c r="AC121" t="n">
        <v>0.039609619</v>
      </c>
      <c r="AD121" t="n">
        <v>2.187257002</v>
      </c>
      <c r="AE121" t="n">
        <v>1.000940879</v>
      </c>
      <c r="AF121" t="n">
        <v>-0.050324567</v>
      </c>
      <c r="AH121" t="n">
        <v>0.589218726</v>
      </c>
      <c r="AI121" t="n">
        <v>1.21384212</v>
      </c>
      <c r="AJ121" t="n">
        <v>0.535594358</v>
      </c>
      <c r="AL121" t="n">
        <v>0.909735772</v>
      </c>
      <c r="AN121" t="n">
        <v>0.921982026</v>
      </c>
      <c r="AR121" t="n">
        <v>-2.032863483</v>
      </c>
      <c r="AT121" t="n">
        <v>1.181483598</v>
      </c>
      <c r="AU121" t="n">
        <v>-0.218388293</v>
      </c>
    </row>
    <row r="122">
      <c r="A122" t="inlineStr">
        <is>
          <t>1977-Q2</t>
        </is>
      </c>
      <c r="B122" s="87" t="n">
        <v>28307</v>
      </c>
      <c r="D122" t="n">
        <v>1.410956427</v>
      </c>
      <c r="E122" t="n">
        <v>1.426332979</v>
      </c>
      <c r="F122" t="n">
        <v>-0.275710685</v>
      </c>
      <c r="H122" t="n">
        <v>0.537242437</v>
      </c>
      <c r="I122" t="n">
        <v>-0.005068553</v>
      </c>
      <c r="M122" t="n">
        <v>0.566949156</v>
      </c>
      <c r="N122" t="n">
        <v>-0.069879794</v>
      </c>
      <c r="P122" t="n">
        <v>0.453631189</v>
      </c>
      <c r="S122" t="n">
        <v>-0.120041157</v>
      </c>
      <c r="T122" t="n">
        <v>0.434796121</v>
      </c>
      <c r="U122" t="n">
        <v>0.973479</v>
      </c>
      <c r="V122" t="n">
        <v>-0.717021427</v>
      </c>
      <c r="W122" t="n">
        <v>-3.651628379</v>
      </c>
      <c r="Z122" t="n">
        <v>2.549489505</v>
      </c>
      <c r="AA122" t="n">
        <v>2.108320871</v>
      </c>
      <c r="AC122" t="n">
        <v>-0.55686306</v>
      </c>
      <c r="AD122" t="n">
        <v>0.703787517</v>
      </c>
      <c r="AE122" t="n">
        <v>5.073162158</v>
      </c>
      <c r="AF122" t="n">
        <v>0.036882423</v>
      </c>
      <c r="AH122" t="n">
        <v>0.574541288</v>
      </c>
      <c r="AI122" t="n">
        <v>0.013692467</v>
      </c>
      <c r="AJ122" t="n">
        <v>0.71004957</v>
      </c>
      <c r="AL122" t="n">
        <v>0.8719396230000001</v>
      </c>
      <c r="AN122" t="n">
        <v>0.889026235</v>
      </c>
      <c r="AR122" t="n">
        <v>1.010680614</v>
      </c>
      <c r="AT122" t="n">
        <v>1.944113078</v>
      </c>
      <c r="AU122" t="n">
        <v>0.09606388</v>
      </c>
    </row>
    <row r="123">
      <c r="A123" t="inlineStr">
        <is>
          <t>1977-Q3</t>
        </is>
      </c>
      <c r="B123" s="87" t="n">
        <v>28399</v>
      </c>
      <c r="D123" t="n">
        <v>-0.424315034</v>
      </c>
      <c r="E123" t="n">
        <v>0.315146692</v>
      </c>
      <c r="F123" t="n">
        <v>0.312929842</v>
      </c>
      <c r="H123" t="n">
        <v>0.528995067</v>
      </c>
      <c r="I123" t="n">
        <v>0.780596599</v>
      </c>
      <c r="M123" t="n">
        <v>-0.028904963</v>
      </c>
      <c r="N123" t="n">
        <v>3.290039473</v>
      </c>
      <c r="P123" t="n">
        <v>0.332296681</v>
      </c>
      <c r="S123" t="n">
        <v>0.6180964920000001</v>
      </c>
      <c r="T123" t="n">
        <v>0.458443057</v>
      </c>
      <c r="U123" t="n">
        <v>0.926698</v>
      </c>
      <c r="V123" t="n">
        <v>0.680867706</v>
      </c>
      <c r="W123" t="n">
        <v>0.360042899</v>
      </c>
      <c r="Z123" t="n">
        <v>2.433546544</v>
      </c>
      <c r="AA123" t="n">
        <v>1.896654856</v>
      </c>
      <c r="AC123" t="n">
        <v>-0.9353476040000001</v>
      </c>
      <c r="AD123" t="n">
        <v>0.681686576</v>
      </c>
      <c r="AE123" t="n">
        <v>6.0092059</v>
      </c>
      <c r="AF123" t="n">
        <v>0.50605461</v>
      </c>
      <c r="AH123" t="n">
        <v>1.396296342</v>
      </c>
      <c r="AI123" t="n">
        <v>0.825347154</v>
      </c>
      <c r="AJ123" t="n">
        <v>0.88106137</v>
      </c>
      <c r="AL123" t="n">
        <v>0.921334213</v>
      </c>
      <c r="AN123" t="n">
        <v>1.004016479</v>
      </c>
      <c r="AR123" t="n">
        <v>0.143075842</v>
      </c>
      <c r="AT123" t="n">
        <v>1.804355899</v>
      </c>
      <c r="AU123" t="n">
        <v>-0.385872981</v>
      </c>
    </row>
    <row r="124">
      <c r="A124" t="inlineStr">
        <is>
          <t>1977-Q4</t>
        </is>
      </c>
      <c r="B124" s="87" t="n">
        <v>28491</v>
      </c>
      <c r="D124" t="n">
        <v>-0.307954537</v>
      </c>
      <c r="E124" t="n">
        <v>2.305531958</v>
      </c>
      <c r="F124" t="n">
        <v>0.94035917</v>
      </c>
      <c r="H124" t="n">
        <v>1.58111274</v>
      </c>
      <c r="I124" t="n">
        <v>-0.062869357</v>
      </c>
      <c r="M124" t="n">
        <v>1.720636701</v>
      </c>
      <c r="N124" t="n">
        <v>-0.905907355</v>
      </c>
      <c r="P124" t="n">
        <v>0.668053727</v>
      </c>
      <c r="S124" t="n">
        <v>-0.233206302</v>
      </c>
      <c r="T124" t="n">
        <v>0.228252482</v>
      </c>
      <c r="U124" t="n">
        <v>0.712237</v>
      </c>
      <c r="V124" t="n">
        <v>1.703459448</v>
      </c>
      <c r="W124" t="n">
        <v>6.031982291</v>
      </c>
      <c r="Z124" t="n">
        <v>2.132613612</v>
      </c>
      <c r="AA124" t="n">
        <v>1.647309678</v>
      </c>
      <c r="AC124" t="n">
        <v>0.856853295</v>
      </c>
      <c r="AD124" t="n">
        <v>1.356456852</v>
      </c>
      <c r="AE124" t="n">
        <v>3.768176164</v>
      </c>
      <c r="AF124" t="n">
        <v>1.047038045</v>
      </c>
      <c r="AH124" t="n">
        <v>2.24138602</v>
      </c>
      <c r="AI124" t="n">
        <v>0.9970515210000001</v>
      </c>
      <c r="AJ124" t="n">
        <v>1.047887281</v>
      </c>
      <c r="AL124" t="n">
        <v>0.817011263</v>
      </c>
      <c r="AN124" t="n">
        <v>0.702947075</v>
      </c>
      <c r="AR124" t="n">
        <v>-0.591868443</v>
      </c>
      <c r="AT124" t="n">
        <v>0.002185772</v>
      </c>
      <c r="AU124" t="n">
        <v>0.5135061909999999</v>
      </c>
    </row>
    <row r="125">
      <c r="A125" t="inlineStr">
        <is>
          <t>1978-Q1</t>
        </is>
      </c>
      <c r="B125" s="87" t="n">
        <v>28581</v>
      </c>
      <c r="D125" t="n">
        <v>0.700426003</v>
      </c>
      <c r="E125" t="n">
        <v>-4.375787184</v>
      </c>
      <c r="F125" t="n">
        <v>0.92598361</v>
      </c>
      <c r="H125" t="n">
        <v>0.840853027</v>
      </c>
      <c r="I125" t="n">
        <v>-0.012581782</v>
      </c>
      <c r="M125" t="n">
        <v>0.412115378</v>
      </c>
      <c r="N125" t="n">
        <v>-1.907817704</v>
      </c>
      <c r="P125" t="n">
        <v>0.624253076</v>
      </c>
      <c r="S125" t="n">
        <v>1.083238312</v>
      </c>
      <c r="T125" t="n">
        <v>1.389138596</v>
      </c>
      <c r="U125" t="n">
        <v>0.832946</v>
      </c>
      <c r="V125" t="n">
        <v>0.883254195</v>
      </c>
      <c r="W125" t="n">
        <v>3.917933951</v>
      </c>
      <c r="Z125" t="n">
        <v>1.764624843</v>
      </c>
      <c r="AA125" t="n">
        <v>1.410812098</v>
      </c>
      <c r="AC125" t="n">
        <v>1.634293921</v>
      </c>
      <c r="AD125" t="n">
        <v>1.889184999</v>
      </c>
      <c r="AE125" t="n">
        <v>-0.809499069</v>
      </c>
      <c r="AF125" t="n">
        <v>1.311099693</v>
      </c>
      <c r="AH125" t="n">
        <v>2.178848345</v>
      </c>
      <c r="AI125" t="n">
        <v>0.253524373</v>
      </c>
      <c r="AJ125" t="n">
        <v>1.532138371</v>
      </c>
      <c r="AL125" t="n">
        <v>0.806603143</v>
      </c>
      <c r="AN125" t="n">
        <v>0.481313774</v>
      </c>
      <c r="AR125" t="n">
        <v>1.622628005</v>
      </c>
      <c r="AT125" t="n">
        <v>0.319163241</v>
      </c>
      <c r="AU125" t="n">
        <v>1.644337137</v>
      </c>
    </row>
    <row r="126">
      <c r="A126" t="inlineStr">
        <is>
          <t>1978-Q2</t>
        </is>
      </c>
      <c r="B126" s="87" t="n">
        <v>28672</v>
      </c>
      <c r="D126" t="n">
        <v>0.8168302710000001</v>
      </c>
      <c r="E126" t="n">
        <v>1.884672549</v>
      </c>
      <c r="F126" t="n">
        <v>0.908158404</v>
      </c>
      <c r="H126" t="n">
        <v>0.685996478</v>
      </c>
      <c r="I126" t="n">
        <v>0.226500567</v>
      </c>
      <c r="M126" t="n">
        <v>0.396382149</v>
      </c>
      <c r="N126" t="n">
        <v>2.178223156</v>
      </c>
      <c r="P126" t="n">
        <v>0.202601685</v>
      </c>
      <c r="S126" t="n">
        <v>0.705019741</v>
      </c>
      <c r="T126" t="n">
        <v>1.662617478</v>
      </c>
      <c r="U126" t="n">
        <v>2.277045</v>
      </c>
      <c r="V126" t="n">
        <v>1.168508775</v>
      </c>
      <c r="W126" t="n">
        <v>-1.586366943</v>
      </c>
      <c r="Z126" t="n">
        <v>1.42637876</v>
      </c>
      <c r="AA126" t="n">
        <v>1.247333233</v>
      </c>
      <c r="AC126" t="n">
        <v>1.729759053</v>
      </c>
      <c r="AD126" t="n">
        <v>0.972000933</v>
      </c>
      <c r="AE126" t="n">
        <v>3.082241658</v>
      </c>
      <c r="AF126" t="n">
        <v>1.285131054</v>
      </c>
      <c r="AH126" t="n">
        <v>2.110729874</v>
      </c>
      <c r="AI126" t="n">
        <v>0.183915093</v>
      </c>
      <c r="AJ126" t="n">
        <v>1.621609917</v>
      </c>
      <c r="AL126" t="n">
        <v>1.978437371</v>
      </c>
      <c r="AN126" t="n">
        <v>0.477280992</v>
      </c>
      <c r="AR126" t="n">
        <v>1.557888566</v>
      </c>
      <c r="AT126" t="n">
        <v>3.864270188</v>
      </c>
      <c r="AU126" t="n">
        <v>1.932724731</v>
      </c>
    </row>
    <row r="127">
      <c r="A127" t="inlineStr">
        <is>
          <t>1978-Q3</t>
        </is>
      </c>
      <c r="B127" s="87" t="n">
        <v>28764</v>
      </c>
      <c r="D127" t="n">
        <v>1.522774393</v>
      </c>
      <c r="E127" t="n">
        <v>0.657607036</v>
      </c>
      <c r="F127" t="n">
        <v>0.644272881</v>
      </c>
      <c r="H127" t="n">
        <v>0.954509352</v>
      </c>
      <c r="I127" t="n">
        <v>0.035153798</v>
      </c>
      <c r="M127" t="n">
        <v>1.311340647</v>
      </c>
      <c r="N127" t="n">
        <v>1.622225334</v>
      </c>
      <c r="P127" t="n">
        <v>-0.122709652</v>
      </c>
      <c r="S127" t="n">
        <v>0.436852422</v>
      </c>
      <c r="T127" t="n">
        <v>-0.087958221</v>
      </c>
      <c r="U127" t="n">
        <v>0.9881720000000001</v>
      </c>
      <c r="V127" t="n">
        <v>1.377849789</v>
      </c>
      <c r="W127" t="n">
        <v>-3.179882448</v>
      </c>
      <c r="Z127" t="n">
        <v>1.090713181</v>
      </c>
      <c r="AA127" t="n">
        <v>1.142055205</v>
      </c>
      <c r="AC127" t="n">
        <v>0.526216337</v>
      </c>
      <c r="AD127" t="n">
        <v>1.293282486</v>
      </c>
      <c r="AE127" t="n">
        <v>1.859288012</v>
      </c>
      <c r="AF127" t="n">
        <v>1.0318009</v>
      </c>
      <c r="AH127" t="n">
        <v>2.237664759</v>
      </c>
      <c r="AI127" t="n">
        <v>0.935097717</v>
      </c>
      <c r="AJ127" t="n">
        <v>1.199691934</v>
      </c>
      <c r="AL127" t="n">
        <v>0.902480633</v>
      </c>
      <c r="AN127" t="n">
        <v>0.536667144</v>
      </c>
      <c r="AR127" t="n">
        <v>-2.062251777</v>
      </c>
      <c r="AT127" t="n">
        <v>1.005517127</v>
      </c>
      <c r="AU127" t="n">
        <v>-1.07584401</v>
      </c>
    </row>
    <row r="128">
      <c r="A128" t="inlineStr">
        <is>
          <t>1978-Q4</t>
        </is>
      </c>
      <c r="B128" s="87" t="n">
        <v>28856</v>
      </c>
      <c r="D128" t="n">
        <v>0.83987928</v>
      </c>
      <c r="E128" t="n">
        <v>0.665147304</v>
      </c>
      <c r="F128" t="n">
        <v>0.363560447</v>
      </c>
      <c r="H128" t="n">
        <v>0.87695671</v>
      </c>
      <c r="I128" t="n">
        <v>0.386555887</v>
      </c>
      <c r="M128" t="n">
        <v>1.169104613</v>
      </c>
      <c r="N128" t="n">
        <v>0.198663907</v>
      </c>
      <c r="P128" t="n">
        <v>-0.147990953</v>
      </c>
      <c r="S128" t="n">
        <v>2.174761613</v>
      </c>
      <c r="T128" t="n">
        <v>0.851110816</v>
      </c>
      <c r="U128" t="n">
        <v>1.258016</v>
      </c>
      <c r="V128" t="n">
        <v>0.903984664</v>
      </c>
      <c r="W128" t="n">
        <v>9.64212363</v>
      </c>
      <c r="Z128" t="n">
        <v>0.799293581</v>
      </c>
      <c r="AA128" t="n">
        <v>1.091053182</v>
      </c>
      <c r="AC128" t="n">
        <v>1.52383092</v>
      </c>
      <c r="AD128" t="n">
        <v>1.443061634</v>
      </c>
      <c r="AE128" t="n">
        <v>4.797352379</v>
      </c>
      <c r="AF128" t="n">
        <v>0.696244528</v>
      </c>
      <c r="AH128" t="n">
        <v>2.35397061</v>
      </c>
      <c r="AI128" t="n">
        <v>1.756247277</v>
      </c>
      <c r="AJ128" t="n">
        <v>0.131752306</v>
      </c>
      <c r="AL128" t="n">
        <v>1.316691054</v>
      </c>
      <c r="AN128" t="n">
        <v>1.716846424</v>
      </c>
      <c r="AR128" t="n">
        <v>1.628870517</v>
      </c>
      <c r="AT128" t="n">
        <v>1.344143064</v>
      </c>
      <c r="AU128" t="n">
        <v>0.910144681</v>
      </c>
    </row>
    <row r="129">
      <c r="A129" t="inlineStr">
        <is>
          <t>1979-Q1</t>
        </is>
      </c>
      <c r="B129" s="87" t="n">
        <v>28946</v>
      </c>
      <c r="D129" t="n">
        <v>2.73296562</v>
      </c>
      <c r="E129" t="n">
        <v>2.316319435</v>
      </c>
      <c r="F129" t="n">
        <v>0.360280483</v>
      </c>
      <c r="H129" t="n">
        <v>0.831951715</v>
      </c>
      <c r="I129" t="n">
        <v>0.725126897</v>
      </c>
      <c r="M129" t="n">
        <v>0.123655596</v>
      </c>
      <c r="N129" t="n">
        <v>0.922835579</v>
      </c>
      <c r="P129" t="n">
        <v>-0.159395973</v>
      </c>
      <c r="S129" t="n">
        <v>2.030235223</v>
      </c>
      <c r="T129" t="n">
        <v>0.860055009</v>
      </c>
      <c r="U129" t="n">
        <v>0.527322</v>
      </c>
      <c r="V129" t="n">
        <v>-0.355860051</v>
      </c>
      <c r="W129" t="n">
        <v>0.419401896</v>
      </c>
      <c r="Z129" t="n">
        <v>0.6138020320000001</v>
      </c>
      <c r="AA129" t="n">
        <v>1.103744556</v>
      </c>
      <c r="AC129" t="n">
        <v>1.579975193</v>
      </c>
      <c r="AD129" t="n">
        <v>1.495580739</v>
      </c>
      <c r="AE129" t="n">
        <v>4.486019937</v>
      </c>
      <c r="AF129" t="n">
        <v>0.451987485</v>
      </c>
      <c r="AH129" t="n">
        <v>2.275444904</v>
      </c>
      <c r="AI129" t="n">
        <v>-4.905976541</v>
      </c>
      <c r="AJ129" t="n">
        <v>-0.43679404</v>
      </c>
      <c r="AL129" t="n">
        <v>0.586001522</v>
      </c>
      <c r="AN129" t="n">
        <v>1.063669162</v>
      </c>
      <c r="AR129" t="n">
        <v>2.064018273</v>
      </c>
      <c r="AT129" t="n">
        <v>0.179787288</v>
      </c>
      <c r="AU129" t="n">
        <v>1.750362876</v>
      </c>
    </row>
    <row r="130">
      <c r="A130" t="inlineStr">
        <is>
          <t>1979-Q2</t>
        </is>
      </c>
      <c r="B130" s="87" t="n">
        <v>29037</v>
      </c>
      <c r="D130" t="n">
        <v>-1.609343883</v>
      </c>
      <c r="E130" t="n">
        <v>1.288999833</v>
      </c>
      <c r="F130" t="n">
        <v>0.354987306</v>
      </c>
      <c r="H130" t="n">
        <v>1.347063852</v>
      </c>
      <c r="I130" t="n">
        <v>0.561030708</v>
      </c>
      <c r="M130" t="n">
        <v>3.10525348</v>
      </c>
      <c r="N130" t="n">
        <v>1.737239004</v>
      </c>
      <c r="P130" t="n">
        <v>0.155449122</v>
      </c>
      <c r="S130" t="n">
        <v>2.374966569</v>
      </c>
      <c r="T130" t="n">
        <v>0.955992372</v>
      </c>
      <c r="U130" t="n">
        <v>1.250952</v>
      </c>
      <c r="V130" t="n">
        <v>4.397800474</v>
      </c>
      <c r="W130" t="n">
        <v>-0.564570712</v>
      </c>
      <c r="Z130" t="n">
        <v>0.566558783</v>
      </c>
      <c r="AA130" t="n">
        <v>1.195865755</v>
      </c>
      <c r="AC130" t="n">
        <v>0.727095866</v>
      </c>
      <c r="AD130" t="n">
        <v>1.827155452</v>
      </c>
      <c r="AE130" t="n">
        <v>0.755831526</v>
      </c>
      <c r="AF130" t="n">
        <v>0.345323703</v>
      </c>
      <c r="AH130" t="n">
        <v>2.212040322</v>
      </c>
      <c r="AI130" t="n">
        <v>5.824767499</v>
      </c>
      <c r="AJ130" t="n">
        <v>2.990411133</v>
      </c>
      <c r="AL130" t="n">
        <v>1.230632331</v>
      </c>
      <c r="AN130" t="n">
        <v>2.126871436</v>
      </c>
      <c r="AR130" t="n">
        <v>1.605590277</v>
      </c>
      <c r="AT130" t="n">
        <v>0.106919831</v>
      </c>
      <c r="AU130" t="n">
        <v>0.6460303590000001</v>
      </c>
    </row>
    <row r="131">
      <c r="A131" t="inlineStr">
        <is>
          <t>1979-Q3</t>
        </is>
      </c>
      <c r="B131" s="87" t="n">
        <v>29129</v>
      </c>
      <c r="D131" t="n">
        <v>0.93202954</v>
      </c>
      <c r="E131" t="n">
        <v>0.879435791</v>
      </c>
      <c r="F131" t="n">
        <v>0.953921557</v>
      </c>
      <c r="H131" t="n">
        <v>0.691984333</v>
      </c>
      <c r="I131" t="n">
        <v>0.940531734</v>
      </c>
      <c r="M131" t="n">
        <v>7.53e-06</v>
      </c>
      <c r="N131" t="n">
        <v>-0.667477188</v>
      </c>
      <c r="P131" t="n">
        <v>0.240502258</v>
      </c>
      <c r="S131" t="n">
        <v>0.856889075</v>
      </c>
      <c r="T131" t="n">
        <v>1.143098761</v>
      </c>
      <c r="U131" t="n">
        <v>0.519647</v>
      </c>
      <c r="V131" t="n">
        <v>-2.232754797</v>
      </c>
      <c r="W131" t="n">
        <v>-5.363991035</v>
      </c>
      <c r="Z131" t="n">
        <v>0.636799193</v>
      </c>
      <c r="AA131" t="n">
        <v>1.376404142</v>
      </c>
      <c r="AC131" t="n">
        <v>1.730408441</v>
      </c>
      <c r="AD131" t="n">
        <v>0.762663736</v>
      </c>
      <c r="AE131" t="n">
        <v>-2.767723422</v>
      </c>
      <c r="AF131" t="n">
        <v>0.34475206</v>
      </c>
      <c r="AH131" t="n">
        <v>2.070864933</v>
      </c>
      <c r="AI131" t="n">
        <v>0.740055504</v>
      </c>
      <c r="AJ131" t="n">
        <v>2.6071009</v>
      </c>
      <c r="AL131" t="n">
        <v>0.482747996</v>
      </c>
      <c r="AN131" t="n">
        <v>1.329439771</v>
      </c>
      <c r="AR131" t="n">
        <v>0.275914039</v>
      </c>
      <c r="AT131" t="n">
        <v>0.742871468</v>
      </c>
      <c r="AU131" t="n">
        <v>0.746384808</v>
      </c>
    </row>
    <row r="132">
      <c r="A132" t="inlineStr">
        <is>
          <t>1979-Q4</t>
        </is>
      </c>
      <c r="B132" s="87" t="n">
        <v>29221</v>
      </c>
      <c r="D132" t="n">
        <v>1.941694952</v>
      </c>
      <c r="E132" t="n">
        <v>1.328876082</v>
      </c>
      <c r="F132" t="n">
        <v>1.576811915</v>
      </c>
      <c r="H132" t="n">
        <v>0.665624679</v>
      </c>
      <c r="I132" t="n">
        <v>1.530936659</v>
      </c>
      <c r="M132" t="n">
        <v>0.6129933400000001</v>
      </c>
      <c r="N132" t="n">
        <v>0.506337955</v>
      </c>
      <c r="P132" t="n">
        <v>0.351518364</v>
      </c>
      <c r="S132" t="n">
        <v>1.196705175</v>
      </c>
      <c r="T132" t="n">
        <v>0.190206929</v>
      </c>
      <c r="U132" t="n">
        <v>0.570146</v>
      </c>
      <c r="V132" t="n">
        <v>1.039069334</v>
      </c>
      <c r="W132" t="n">
        <v>4.631253947</v>
      </c>
      <c r="Z132" t="n">
        <v>0.743497736</v>
      </c>
      <c r="AA132" t="n">
        <v>1.525694765</v>
      </c>
      <c r="AC132" t="n">
        <v>2.353893536</v>
      </c>
      <c r="AD132" t="n">
        <v>0.434649</v>
      </c>
      <c r="AE132" t="n">
        <v>-1.518757047</v>
      </c>
      <c r="AF132" t="n">
        <v>0.35933326</v>
      </c>
      <c r="AH132" t="n">
        <v>1.918080757</v>
      </c>
      <c r="AI132" t="n">
        <v>1.53902663</v>
      </c>
      <c r="AJ132" t="n">
        <v>0.897109378</v>
      </c>
      <c r="AL132" t="n">
        <v>0.679654173</v>
      </c>
      <c r="AN132" t="n">
        <v>2.064941605</v>
      </c>
      <c r="AR132" t="n">
        <v>0.106838671</v>
      </c>
      <c r="AT132" t="n">
        <v>0.250075034</v>
      </c>
      <c r="AU132" t="n">
        <v>2.052155792</v>
      </c>
    </row>
    <row r="133">
      <c r="A133" t="inlineStr">
        <is>
          <t>1980-Q1</t>
        </is>
      </c>
      <c r="B133" s="87" t="n">
        <v>29312</v>
      </c>
      <c r="D133" t="n">
        <v>0.439293143</v>
      </c>
      <c r="E133" t="n">
        <v>1.069759922</v>
      </c>
      <c r="F133" t="n">
        <v>3.762455451</v>
      </c>
      <c r="H133" t="n">
        <v>0.700189435</v>
      </c>
      <c r="I133" t="n">
        <v>1.902427391</v>
      </c>
      <c r="M133" t="n">
        <v>0.801235019</v>
      </c>
      <c r="N133" t="n">
        <v>1.530983651</v>
      </c>
      <c r="P133" t="n">
        <v>0.669637966</v>
      </c>
      <c r="S133" t="n">
        <v>1.6740043</v>
      </c>
      <c r="T133" t="n">
        <v>1.167721708</v>
      </c>
      <c r="U133" t="n">
        <v>0.327352</v>
      </c>
      <c r="V133" t="n">
        <v>-0.952731568</v>
      </c>
      <c r="W133" t="n">
        <v>3.408557441</v>
      </c>
      <c r="Z133" t="n">
        <v>0.803466035</v>
      </c>
      <c r="AA133" t="n">
        <v>1.534589831</v>
      </c>
      <c r="AC133" t="n">
        <v>-0.183599872</v>
      </c>
      <c r="AD133" t="n">
        <v>0.38255242</v>
      </c>
      <c r="AE133" t="n">
        <v>0.886148261</v>
      </c>
      <c r="AF133" t="n">
        <v>0.291943658</v>
      </c>
      <c r="AH133" t="n">
        <v>2.769102252</v>
      </c>
      <c r="AI133" t="n">
        <v>-0.057878744</v>
      </c>
      <c r="AJ133" t="n">
        <v>3.881396125</v>
      </c>
      <c r="AL133" t="n">
        <v>0.579767621</v>
      </c>
      <c r="AN133" t="n">
        <v>1.57446299</v>
      </c>
      <c r="AR133" t="n">
        <v>3.127839726</v>
      </c>
      <c r="AT133" t="n">
        <v>0.314519076</v>
      </c>
      <c r="AU133" t="n">
        <v>2.054445467</v>
      </c>
    </row>
    <row r="134">
      <c r="A134" t="inlineStr">
        <is>
          <t>1980-Q2</t>
        </is>
      </c>
      <c r="B134" s="87" t="n">
        <v>29403</v>
      </c>
      <c r="D134" t="n">
        <v>0.256732614</v>
      </c>
      <c r="E134" t="n">
        <v>-1.048999564</v>
      </c>
      <c r="F134" t="n">
        <v>-0.666234698</v>
      </c>
      <c r="H134" t="n">
        <v>-0.031789499</v>
      </c>
      <c r="I134" t="n">
        <v>0.358729624</v>
      </c>
      <c r="M134" t="n">
        <v>-0.64380222</v>
      </c>
      <c r="N134" t="n">
        <v>-2.548940321</v>
      </c>
      <c r="P134" t="n">
        <v>0.339903035</v>
      </c>
      <c r="S134" t="n">
        <v>-0.468254368</v>
      </c>
      <c r="T134" t="n">
        <v>-0.55232668</v>
      </c>
      <c r="U134" t="n">
        <v>-1.196602</v>
      </c>
      <c r="V134" t="n">
        <v>-1.996903962</v>
      </c>
      <c r="W134" t="n">
        <v>-1.914814274</v>
      </c>
      <c r="Z134" t="n">
        <v>0.823204992</v>
      </c>
      <c r="AA134" t="n">
        <v>1.437157604</v>
      </c>
      <c r="AC134" t="n">
        <v>0.776049009</v>
      </c>
      <c r="AD134" t="n">
        <v>-0.527155036</v>
      </c>
      <c r="AE134" t="n">
        <v>-0.539530976</v>
      </c>
      <c r="AF134" t="n">
        <v>0.151425932</v>
      </c>
      <c r="AH134" t="n">
        <v>0.652366114</v>
      </c>
      <c r="AI134" t="n">
        <v>-1.851382655</v>
      </c>
      <c r="AJ134" t="n">
        <v>-2.042801026</v>
      </c>
      <c r="AL134" t="n">
        <v>-1.055338356</v>
      </c>
      <c r="AN134" t="n">
        <v>-0.026077098</v>
      </c>
      <c r="AR134" t="n">
        <v>-4.767321461</v>
      </c>
      <c r="AT134" t="n">
        <v>-2.060472164</v>
      </c>
      <c r="AU134" t="n">
        <v>1.901048713</v>
      </c>
    </row>
    <row r="135">
      <c r="A135" t="inlineStr">
        <is>
          <t>1980-Q3</t>
        </is>
      </c>
      <c r="B135" s="87" t="n">
        <v>29495</v>
      </c>
      <c r="D135" t="n">
        <v>0.529970037</v>
      </c>
      <c r="E135" t="n">
        <v>0.521108012</v>
      </c>
      <c r="F135" t="n">
        <v>-0.97938113</v>
      </c>
      <c r="H135" t="n">
        <v>-0.114812067</v>
      </c>
      <c r="I135" t="n">
        <v>0.459638532</v>
      </c>
      <c r="M135" t="n">
        <v>-0.396722368</v>
      </c>
      <c r="N135" t="n">
        <v>-1.327637339</v>
      </c>
      <c r="P135" t="n">
        <v>-0.396523201</v>
      </c>
      <c r="S135" t="n">
        <v>4.987859166</v>
      </c>
      <c r="T135" t="n">
        <v>-0.08916722000000001</v>
      </c>
      <c r="U135" t="n">
        <v>0.24197</v>
      </c>
      <c r="V135" t="n">
        <v>-0.104192715</v>
      </c>
      <c r="W135" t="n">
        <v>-5.248280878</v>
      </c>
      <c r="Z135" t="n">
        <v>0.811706142</v>
      </c>
      <c r="AA135" t="n">
        <v>1.246395178</v>
      </c>
      <c r="AC135" t="n">
        <v>0.083677275</v>
      </c>
      <c r="AD135" t="n">
        <v>2.239931727</v>
      </c>
      <c r="AE135" t="n">
        <v>1.892977664</v>
      </c>
      <c r="AF135" t="n">
        <v>-0.063224119</v>
      </c>
      <c r="AH135" t="n">
        <v>2.158764803</v>
      </c>
      <c r="AI135" t="n">
        <v>-0.671178065</v>
      </c>
      <c r="AJ135" t="n">
        <v>-1.801471099</v>
      </c>
      <c r="AL135" t="n">
        <v>0.289952241</v>
      </c>
      <c r="AN135" t="n">
        <v>-0.342024614</v>
      </c>
      <c r="AR135" t="n">
        <v>3.796627783</v>
      </c>
      <c r="AT135" t="n">
        <v>-0.118847117</v>
      </c>
      <c r="AU135" t="n">
        <v>1.712013689</v>
      </c>
    </row>
    <row r="136">
      <c r="A136" t="inlineStr">
        <is>
          <t>1980-Q4</t>
        </is>
      </c>
      <c r="B136" s="87" t="n">
        <v>29587</v>
      </c>
      <c r="D136" t="n">
        <v>1.735151424</v>
      </c>
      <c r="E136" t="n">
        <v>0.055054768</v>
      </c>
      <c r="F136" t="n">
        <v>-0.20455512</v>
      </c>
      <c r="H136" t="n">
        <v>1.380163092</v>
      </c>
      <c r="I136" t="n">
        <v>0.616918805</v>
      </c>
      <c r="M136" t="n">
        <v>-0.132760006</v>
      </c>
      <c r="N136" t="n">
        <v>0.635820231</v>
      </c>
      <c r="P136" t="n">
        <v>0.580015819</v>
      </c>
      <c r="S136" t="n">
        <v>-2.717548424</v>
      </c>
      <c r="T136" t="n">
        <v>-0.13836713</v>
      </c>
      <c r="U136" t="n">
        <v>1.161685</v>
      </c>
      <c r="V136" t="n">
        <v>-1.092661354</v>
      </c>
      <c r="W136" t="n">
        <v>3.933985799</v>
      </c>
      <c r="Z136" t="n">
        <v>0.794660096</v>
      </c>
      <c r="AA136" t="n">
        <v>1.053250514</v>
      </c>
      <c r="AC136" t="n">
        <v>0.852303473</v>
      </c>
      <c r="AD136" t="n">
        <v>2.125487999</v>
      </c>
      <c r="AE136" t="n">
        <v>-2.765761869</v>
      </c>
      <c r="AF136" t="n">
        <v>-0.250089534</v>
      </c>
      <c r="AH136" t="n">
        <v>2.895866373</v>
      </c>
      <c r="AI136" t="n">
        <v>2.32044404</v>
      </c>
      <c r="AJ136" t="n">
        <v>2.159624147</v>
      </c>
      <c r="AL136" t="n">
        <v>1.163328584</v>
      </c>
      <c r="AN136" t="n">
        <v>1.670542679</v>
      </c>
      <c r="AR136" t="n">
        <v>-1.956995266</v>
      </c>
      <c r="AT136" t="n">
        <v>1.864925605</v>
      </c>
      <c r="AU136" t="n">
        <v>0.22477213</v>
      </c>
    </row>
    <row r="137">
      <c r="A137" t="inlineStr">
        <is>
          <t>1981-Q1</t>
        </is>
      </c>
      <c r="B137" s="87" t="n">
        <v>29677</v>
      </c>
      <c r="D137" t="n">
        <v>0.376216412</v>
      </c>
      <c r="E137" t="n">
        <v>-0.692629498</v>
      </c>
      <c r="F137" t="n">
        <v>0.022401138</v>
      </c>
      <c r="H137" t="n">
        <v>2.20395557</v>
      </c>
      <c r="I137" t="n">
        <v>-0.107765661</v>
      </c>
      <c r="M137" t="n">
        <v>1.189866492</v>
      </c>
      <c r="N137" t="n">
        <v>0.156386759</v>
      </c>
      <c r="P137" t="n">
        <v>-0.566186107</v>
      </c>
      <c r="S137" t="n">
        <v>-0.188211986</v>
      </c>
      <c r="T137" t="n">
        <v>0.446159495</v>
      </c>
      <c r="U137" t="n">
        <v>1.168643</v>
      </c>
      <c r="V137" t="n">
        <v>-0.053992264</v>
      </c>
      <c r="W137" t="n">
        <v>-1.9655566</v>
      </c>
      <c r="Z137" t="n">
        <v>0.795555584</v>
      </c>
      <c r="AA137" t="n">
        <v>0.9449466399999999</v>
      </c>
      <c r="AC137" t="n">
        <v>-0.570495427</v>
      </c>
      <c r="AD137" t="n">
        <v>0.613078575</v>
      </c>
      <c r="AE137" t="n">
        <v>4.115111914</v>
      </c>
      <c r="AF137" t="n">
        <v>-0.2974888</v>
      </c>
      <c r="AH137" t="n">
        <v>2.232972009</v>
      </c>
      <c r="AI137" t="n">
        <v>-0.963370163</v>
      </c>
      <c r="AJ137" t="n">
        <v>1.693172147</v>
      </c>
      <c r="AL137" t="n">
        <v>1.05384256</v>
      </c>
      <c r="AN137" t="n">
        <v>0.447068635</v>
      </c>
      <c r="AR137" t="n">
        <v>0.614161716</v>
      </c>
      <c r="AT137" t="n">
        <v>1.959429461</v>
      </c>
      <c r="AU137" t="n">
        <v>1.242016816</v>
      </c>
    </row>
    <row r="138">
      <c r="A138" t="inlineStr">
        <is>
          <t>1981-Q2</t>
        </is>
      </c>
      <c r="B138" s="87" t="n">
        <v>29768</v>
      </c>
      <c r="D138" t="n">
        <v>1.545513575</v>
      </c>
      <c r="E138" t="n">
        <v>1.006343855</v>
      </c>
      <c r="F138" t="n">
        <v>1.457925747</v>
      </c>
      <c r="H138" t="n">
        <v>1.123957546</v>
      </c>
      <c r="I138" t="n">
        <v>1.038152504</v>
      </c>
      <c r="M138" t="n">
        <v>-0.249632331</v>
      </c>
      <c r="N138" t="n">
        <v>-0.734481366</v>
      </c>
      <c r="P138" t="n">
        <v>-0.110718617</v>
      </c>
      <c r="S138" t="n">
        <v>1.171099643</v>
      </c>
      <c r="T138" t="n">
        <v>0.652127432</v>
      </c>
      <c r="U138" t="n">
        <v>-0.019565</v>
      </c>
      <c r="V138" t="n">
        <v>0.226214744</v>
      </c>
      <c r="W138" t="n">
        <v>-2.213851554</v>
      </c>
      <c r="Z138" t="n">
        <v>0.821783501</v>
      </c>
      <c r="AA138" t="n">
        <v>0.93939076</v>
      </c>
      <c r="AC138" t="n">
        <v>0.194997387</v>
      </c>
      <c r="AD138" t="n">
        <v>1.223762939</v>
      </c>
      <c r="AE138" t="n">
        <v>2.415542796</v>
      </c>
      <c r="AF138" t="n">
        <v>-0.203181542</v>
      </c>
      <c r="AH138" t="n">
        <v>2.591142862</v>
      </c>
      <c r="AI138" t="n">
        <v>-0.025646662</v>
      </c>
      <c r="AJ138" t="n">
        <v>0.414882336</v>
      </c>
      <c r="AL138" t="n">
        <v>0.215617337</v>
      </c>
      <c r="AN138" t="n">
        <v>0.08063390300000001</v>
      </c>
      <c r="AR138" t="n">
        <v>-0.062042613</v>
      </c>
      <c r="AT138" t="n">
        <v>-0.741063613</v>
      </c>
      <c r="AU138" t="n">
        <v>2.183854895</v>
      </c>
    </row>
    <row r="139">
      <c r="A139" t="inlineStr">
        <is>
          <t>1981-Q3</t>
        </is>
      </c>
      <c r="B139" s="87" t="n">
        <v>29860</v>
      </c>
      <c r="D139" t="n">
        <v>2.010750169</v>
      </c>
      <c r="E139" t="n">
        <v>-0.069449232</v>
      </c>
      <c r="F139" t="n">
        <v>-0.428832296</v>
      </c>
      <c r="H139" t="n">
        <v>-0.897752489</v>
      </c>
      <c r="I139" t="n">
        <v>0.517566134</v>
      </c>
      <c r="M139" t="n">
        <v>0.263433962</v>
      </c>
      <c r="N139" t="n">
        <v>0.612585924</v>
      </c>
      <c r="P139" t="n">
        <v>0.444684894</v>
      </c>
      <c r="S139" t="n">
        <v>0.495389445</v>
      </c>
      <c r="T139" t="n">
        <v>0.642762921</v>
      </c>
      <c r="U139" t="n">
        <v>0.610488</v>
      </c>
      <c r="V139" t="n">
        <v>1.093149289</v>
      </c>
      <c r="W139" t="n">
        <v>2.852290237</v>
      </c>
      <c r="Z139" t="n">
        <v>0.886525853</v>
      </c>
      <c r="AA139" t="n">
        <v>1.036372629</v>
      </c>
      <c r="AC139" t="n">
        <v>0.046310302</v>
      </c>
      <c r="AD139" t="n">
        <v>-0.222416724</v>
      </c>
      <c r="AE139" t="n">
        <v>4.162809598</v>
      </c>
      <c r="AF139" t="n">
        <v>0.023791301</v>
      </c>
      <c r="AH139" t="n">
        <v>0.522758414</v>
      </c>
      <c r="AI139" t="n">
        <v>-0.914354821</v>
      </c>
      <c r="AJ139" t="n">
        <v>-1.247105515</v>
      </c>
      <c r="AL139" t="n">
        <v>0.641842594</v>
      </c>
      <c r="AN139" t="n">
        <v>-0.171095832</v>
      </c>
      <c r="AR139" t="n">
        <v>0.767286781</v>
      </c>
      <c r="AT139" t="n">
        <v>1.19752521</v>
      </c>
      <c r="AU139" t="n">
        <v>1.455404361</v>
      </c>
    </row>
    <row r="140">
      <c r="A140" t="inlineStr">
        <is>
          <t>1981-Q4</t>
        </is>
      </c>
      <c r="B140" s="87" t="n">
        <v>29952</v>
      </c>
      <c r="D140" t="n">
        <v>-0.388513409</v>
      </c>
      <c r="E140" t="n">
        <v>-0.631448105</v>
      </c>
      <c r="F140" t="n">
        <v>0.267780554</v>
      </c>
      <c r="H140" t="n">
        <v>-0.457822775</v>
      </c>
      <c r="I140" t="n">
        <v>-0.436565019</v>
      </c>
      <c r="M140" t="n">
        <v>-0.078831451</v>
      </c>
      <c r="N140" t="n">
        <v>0.186660427</v>
      </c>
      <c r="P140" t="n">
        <v>-0.099841043</v>
      </c>
      <c r="S140" t="n">
        <v>0.395334082</v>
      </c>
      <c r="T140" t="n">
        <v>0.498057813</v>
      </c>
      <c r="U140" t="n">
        <v>-0.267587</v>
      </c>
      <c r="V140" t="n">
        <v>0.122461731</v>
      </c>
      <c r="W140" t="n">
        <v>4.002315248</v>
      </c>
      <c r="Z140" t="n">
        <v>0.884651392</v>
      </c>
      <c r="AA140" t="n">
        <v>1.048177078</v>
      </c>
      <c r="AC140" t="n">
        <v>0.811647168</v>
      </c>
      <c r="AD140" t="n">
        <v>0.729939813</v>
      </c>
      <c r="AE140" t="n">
        <v>1.568787799</v>
      </c>
      <c r="AF140" t="n">
        <v>0.271147484</v>
      </c>
      <c r="AH140" t="n">
        <v>1.791577285</v>
      </c>
      <c r="AI140" t="n">
        <v>0.07951918600000001</v>
      </c>
      <c r="AJ140" t="n">
        <v>-0.025564972</v>
      </c>
      <c r="AL140" t="n">
        <v>-0.063085846</v>
      </c>
      <c r="AN140" t="n">
        <v>0.486619108</v>
      </c>
      <c r="AR140" t="n">
        <v>-1.122507363</v>
      </c>
      <c r="AT140" t="n">
        <v>-1.089564087</v>
      </c>
      <c r="AU140" t="n">
        <v>0.623884852</v>
      </c>
    </row>
    <row r="141">
      <c r="A141" t="inlineStr">
        <is>
          <t>1982-Q1</t>
        </is>
      </c>
      <c r="B141" s="87" t="n">
        <v>30042</v>
      </c>
      <c r="D141" t="n">
        <v>-0.823670881</v>
      </c>
      <c r="E141" t="n">
        <v>2.028279293</v>
      </c>
      <c r="F141" t="n">
        <v>0.133523775</v>
      </c>
      <c r="H141" t="n">
        <v>-1.176410874</v>
      </c>
      <c r="I141" t="n">
        <v>-0.744492301</v>
      </c>
      <c r="M141" t="n">
        <v>0.37467052</v>
      </c>
      <c r="N141" t="n">
        <v>1.317726467</v>
      </c>
      <c r="P141" t="n">
        <v>0.411598396</v>
      </c>
      <c r="S141" t="n">
        <v>0.622265435</v>
      </c>
      <c r="T141" t="n">
        <v>0.8712619069999999</v>
      </c>
      <c r="U141" t="n">
        <v>-0.340117</v>
      </c>
      <c r="V141" t="n">
        <v>0.178475594</v>
      </c>
      <c r="W141" t="n">
        <v>-1.929876252</v>
      </c>
      <c r="Z141" t="n">
        <v>0.718008324</v>
      </c>
      <c r="AA141" t="n">
        <v>0.79154092</v>
      </c>
      <c r="AC141" t="n">
        <v>-0.039523113</v>
      </c>
      <c r="AD141" t="n">
        <v>1.532500574</v>
      </c>
      <c r="AE141" t="n">
        <v>0.678619182</v>
      </c>
      <c r="AF141" t="n">
        <v>0.406863649</v>
      </c>
      <c r="AH141" t="n">
        <v>-1.92678781</v>
      </c>
      <c r="AI141" t="n">
        <v>0.93868953</v>
      </c>
      <c r="AJ141" t="n">
        <v>0.700604368</v>
      </c>
      <c r="AL141" t="n">
        <v>-0.289372341</v>
      </c>
      <c r="AN141" t="n">
        <v>2.426235309</v>
      </c>
      <c r="AR141" t="n">
        <v>0.284035978</v>
      </c>
      <c r="AT141" t="n">
        <v>-1.553544479</v>
      </c>
      <c r="AU141" t="n">
        <v>-0.926379164</v>
      </c>
    </row>
    <row r="142">
      <c r="A142" t="inlineStr">
        <is>
          <t>1982-Q2</t>
        </is>
      </c>
      <c r="B142" s="87" t="n">
        <v>30133</v>
      </c>
      <c r="D142" t="n">
        <v>0.901500826</v>
      </c>
      <c r="E142" t="n">
        <v>0.293478183</v>
      </c>
      <c r="F142" t="n">
        <v>0.269399923</v>
      </c>
      <c r="H142" t="n">
        <v>-1.157146926</v>
      </c>
      <c r="I142" t="n">
        <v>-0.574067716</v>
      </c>
      <c r="M142" t="n">
        <v>-0.615593473</v>
      </c>
      <c r="N142" t="n">
        <v>1.182819965</v>
      </c>
      <c r="P142" t="n">
        <v>0.379789937</v>
      </c>
      <c r="S142" t="n">
        <v>0.985602474</v>
      </c>
      <c r="T142" t="n">
        <v>0.642093386</v>
      </c>
      <c r="U142" t="n">
        <v>0.294374</v>
      </c>
      <c r="V142" t="n">
        <v>1.052334322</v>
      </c>
      <c r="W142" t="n">
        <v>-4.11262998</v>
      </c>
      <c r="Z142" t="n">
        <v>0.428377027</v>
      </c>
      <c r="AA142" t="n">
        <v>0.324272604</v>
      </c>
      <c r="AC142" t="n">
        <v>-0.284173742</v>
      </c>
      <c r="AD142" t="n">
        <v>0.686562871</v>
      </c>
      <c r="AE142" t="n">
        <v>2.348344979</v>
      </c>
      <c r="AF142" t="n">
        <v>0.416661926</v>
      </c>
      <c r="AH142" t="n">
        <v>0.152382125</v>
      </c>
      <c r="AI142" t="n">
        <v>-2.432907407</v>
      </c>
      <c r="AJ142" t="n">
        <v>0.01010283</v>
      </c>
      <c r="AL142" t="n">
        <v>0.250535657</v>
      </c>
      <c r="AN142" t="n">
        <v>-1.344646584</v>
      </c>
      <c r="AR142" t="n">
        <v>2.112290025</v>
      </c>
      <c r="AT142" t="n">
        <v>0.456198515</v>
      </c>
      <c r="AU142" t="n">
        <v>-0.83441653</v>
      </c>
    </row>
    <row r="143">
      <c r="A143" t="inlineStr">
        <is>
          <t>1982-Q3</t>
        </is>
      </c>
      <c r="B143" s="87" t="n">
        <v>30225</v>
      </c>
      <c r="D143" t="n">
        <v>-0.67241959</v>
      </c>
      <c r="E143" t="n">
        <v>-0.067676747</v>
      </c>
      <c r="F143" t="n">
        <v>0.112673273</v>
      </c>
      <c r="H143" t="n">
        <v>-0.876514444</v>
      </c>
      <c r="I143" t="n">
        <v>-0.763398653</v>
      </c>
      <c r="M143" t="n">
        <v>-0.988403773</v>
      </c>
      <c r="N143" t="n">
        <v>1.034116321</v>
      </c>
      <c r="P143" t="n">
        <v>0.67320739</v>
      </c>
      <c r="S143" t="n">
        <v>1.086020477</v>
      </c>
      <c r="T143" t="n">
        <v>0.062064547</v>
      </c>
      <c r="U143" t="n">
        <v>-0.225746</v>
      </c>
      <c r="V143" t="n">
        <v>0.244521888</v>
      </c>
      <c r="W143" t="n">
        <v>-1.02351651</v>
      </c>
      <c r="Z143" t="n">
        <v>0.010146713</v>
      </c>
      <c r="AA143" t="n">
        <v>-0.367662187</v>
      </c>
      <c r="AC143" t="n">
        <v>-0.053487539</v>
      </c>
      <c r="AD143" t="n">
        <v>0.437004283</v>
      </c>
      <c r="AE143" t="n">
        <v>2.07400645</v>
      </c>
      <c r="AF143" t="n">
        <v>0.333060201</v>
      </c>
      <c r="AH143" t="n">
        <v>-0.719204541</v>
      </c>
      <c r="AI143" t="n">
        <v>1.108880425</v>
      </c>
      <c r="AJ143" t="n">
        <v>-0.029486364</v>
      </c>
      <c r="AL143" t="n">
        <v>-0.150230102</v>
      </c>
      <c r="AN143" t="n">
        <v>0.459236425</v>
      </c>
      <c r="AR143" t="n">
        <v>-1.241488584</v>
      </c>
      <c r="AT143" t="n">
        <v>-0.382299274</v>
      </c>
      <c r="AU143" t="n">
        <v>-0.025570619</v>
      </c>
    </row>
    <row r="144">
      <c r="A144" t="inlineStr">
        <is>
          <t>1982-Q4</t>
        </is>
      </c>
      <c r="B144" s="87" t="n">
        <v>30317</v>
      </c>
      <c r="D144" t="n">
        <v>-1.572078679</v>
      </c>
      <c r="E144" t="n">
        <v>-0.174900526</v>
      </c>
      <c r="F144" t="n">
        <v>-0.633301019</v>
      </c>
      <c r="H144" t="n">
        <v>-0.922628586</v>
      </c>
      <c r="I144" t="n">
        <v>-0.300590204</v>
      </c>
      <c r="M144" t="n">
        <v>0.239588883</v>
      </c>
      <c r="N144" t="n">
        <v>0.019956408</v>
      </c>
      <c r="P144" t="n">
        <v>0.352495983</v>
      </c>
      <c r="S144" t="n">
        <v>1.268398883</v>
      </c>
      <c r="T144" t="n">
        <v>0.537892582</v>
      </c>
      <c r="U144" t="n">
        <v>0.31732</v>
      </c>
      <c r="V144" t="n">
        <v>0.696929819</v>
      </c>
      <c r="W144" t="n">
        <v>2.824431508</v>
      </c>
      <c r="Z144" t="n">
        <v>-0.340809339</v>
      </c>
      <c r="AA144" t="n">
        <v>-0.961782849</v>
      </c>
      <c r="AC144" t="n">
        <v>-0.290768813</v>
      </c>
      <c r="AD144" t="n">
        <v>1.389602027</v>
      </c>
      <c r="AE144" t="n">
        <v>3.146901625</v>
      </c>
      <c r="AF144" t="n">
        <v>0.304403446</v>
      </c>
      <c r="AH144" t="n">
        <v>-2.194228615</v>
      </c>
      <c r="AI144" t="n">
        <v>-2.100653207</v>
      </c>
      <c r="AJ144" t="n">
        <v>0.319802929</v>
      </c>
      <c r="AL144" t="n">
        <v>0.202450423</v>
      </c>
      <c r="AN144" t="n">
        <v>0.810506112</v>
      </c>
      <c r="AR144" t="n">
        <v>1.948384164</v>
      </c>
      <c r="AT144" t="n">
        <v>0.039946274</v>
      </c>
      <c r="AU144" t="n">
        <v>-2.114040461</v>
      </c>
    </row>
    <row r="145">
      <c r="A145" t="inlineStr">
        <is>
          <t>1983-Q1</t>
        </is>
      </c>
      <c r="B145" s="87" t="n">
        <v>30407</v>
      </c>
      <c r="D145" t="n">
        <v>-1.010023818</v>
      </c>
      <c r="E145" t="n">
        <v>1.213791378</v>
      </c>
      <c r="F145" t="n">
        <v>0.018049094</v>
      </c>
      <c r="H145" t="n">
        <v>1.672805457</v>
      </c>
      <c r="I145" t="n">
        <v>0.878616947</v>
      </c>
      <c r="M145" t="n">
        <v>0.906269548</v>
      </c>
      <c r="N145" t="n">
        <v>0.5138536970000001</v>
      </c>
      <c r="P145" t="n">
        <v>0.365463092</v>
      </c>
      <c r="S145" t="n">
        <v>0.116838809</v>
      </c>
      <c r="T145" t="n">
        <v>0.540321805</v>
      </c>
      <c r="U145" t="n">
        <v>0.961348</v>
      </c>
      <c r="V145" t="n">
        <v>1.852809341</v>
      </c>
      <c r="W145" t="n">
        <v>-1.198966939</v>
      </c>
      <c r="Z145" t="n">
        <v>-0.399075644</v>
      </c>
      <c r="AA145" t="n">
        <v>-1.086195675</v>
      </c>
      <c r="AC145" t="n">
        <v>0.279768455</v>
      </c>
      <c r="AD145" t="n">
        <v>0.06306144</v>
      </c>
      <c r="AE145" t="n">
        <v>4.430468416</v>
      </c>
      <c r="AF145" t="n">
        <v>0.500740065</v>
      </c>
      <c r="AH145" t="n">
        <v>-0.739376103</v>
      </c>
      <c r="AI145" t="n">
        <v>0.832132838</v>
      </c>
      <c r="AJ145" t="n">
        <v>1.892555549</v>
      </c>
      <c r="AL145" t="n">
        <v>0.805880901</v>
      </c>
      <c r="AN145" t="n">
        <v>0.922716297</v>
      </c>
      <c r="AR145" t="n">
        <v>-1.131415266</v>
      </c>
      <c r="AT145" t="n">
        <v>1.317847576</v>
      </c>
      <c r="AU145" t="n">
        <v>-1.54348066</v>
      </c>
    </row>
    <row r="146">
      <c r="A146" t="inlineStr">
        <is>
          <t>1983-Q2</t>
        </is>
      </c>
      <c r="B146" s="87" t="n">
        <v>30498</v>
      </c>
      <c r="D146" t="n">
        <v>-0.183993824</v>
      </c>
      <c r="E146" t="n">
        <v>1.308601504</v>
      </c>
      <c r="F146" t="n">
        <v>0.047185122</v>
      </c>
      <c r="H146" t="n">
        <v>1.965445626</v>
      </c>
      <c r="I146" t="n">
        <v>0.186722737</v>
      </c>
      <c r="M146" t="n">
        <v>1.052777518</v>
      </c>
      <c r="N146" t="n">
        <v>1.641518999</v>
      </c>
      <c r="P146" t="n">
        <v>0.617609594</v>
      </c>
      <c r="S146" t="n">
        <v>1.050322099</v>
      </c>
      <c r="T146" t="n">
        <v>-0.033650484</v>
      </c>
      <c r="U146" t="n">
        <v>1.357138</v>
      </c>
      <c r="V146" t="n">
        <v>0.827410883</v>
      </c>
      <c r="W146" t="n">
        <v>-3.124675415</v>
      </c>
      <c r="Z146" t="n">
        <v>-0.160622964</v>
      </c>
      <c r="AA146" t="n">
        <v>-0.728979951</v>
      </c>
      <c r="AC146" t="n">
        <v>-0.120408691</v>
      </c>
      <c r="AD146" t="n">
        <v>0.751951743</v>
      </c>
      <c r="AE146" t="n">
        <v>3.087699961</v>
      </c>
      <c r="AF146" t="n">
        <v>0.904903114</v>
      </c>
      <c r="AH146" t="n">
        <v>-2.01071468</v>
      </c>
      <c r="AI146" t="n">
        <v>2.716420716</v>
      </c>
      <c r="AJ146" t="n">
        <v>1.103167097</v>
      </c>
      <c r="AL146" t="n">
        <v>1.103623457</v>
      </c>
      <c r="AN146" t="n">
        <v>-0.894686478</v>
      </c>
      <c r="AR146" t="n">
        <v>0.78839975</v>
      </c>
      <c r="AT146" t="n">
        <v>2.275612439</v>
      </c>
      <c r="AU146" t="n">
        <v>0.415254266</v>
      </c>
    </row>
    <row r="147">
      <c r="A147" t="inlineStr">
        <is>
          <t>1983-Q3</t>
        </is>
      </c>
      <c r="B147" s="87" t="n">
        <v>30590</v>
      </c>
      <c r="D147" t="n">
        <v>2.788197533</v>
      </c>
      <c r="E147" t="n">
        <v>0.838428419</v>
      </c>
      <c r="F147" t="n">
        <v>0.834639932</v>
      </c>
      <c r="H147" t="n">
        <v>1.118398007</v>
      </c>
      <c r="I147" t="n">
        <v>0.435536475</v>
      </c>
      <c r="M147" t="n">
        <v>-0.208367803</v>
      </c>
      <c r="N147" t="n">
        <v>-1.290314265</v>
      </c>
      <c r="P147" t="n">
        <v>0.147060704</v>
      </c>
      <c r="S147" t="n">
        <v>0.919295976</v>
      </c>
      <c r="T147" t="n">
        <v>0.095375131</v>
      </c>
      <c r="U147" t="n">
        <v>1.376816</v>
      </c>
      <c r="V147" t="n">
        <v>1.08345755</v>
      </c>
      <c r="W147" t="n">
        <v>2.355211665</v>
      </c>
      <c r="Z147" t="n">
        <v>0.365866648</v>
      </c>
      <c r="AA147" t="n">
        <v>0.095576801</v>
      </c>
      <c r="AC147" t="n">
        <v>1.862228848</v>
      </c>
      <c r="AD147" t="n">
        <v>1.496253621</v>
      </c>
      <c r="AE147" t="n">
        <v>3.713597355</v>
      </c>
      <c r="AF147" t="n">
        <v>1.530275988</v>
      </c>
      <c r="AH147" t="n">
        <v>0.830142741</v>
      </c>
      <c r="AI147" t="n">
        <v>1.47510981</v>
      </c>
      <c r="AJ147" t="n">
        <v>1.38234478</v>
      </c>
      <c r="AL147" t="n">
        <v>1.319676247</v>
      </c>
      <c r="AN147" t="n">
        <v>-1.500339839</v>
      </c>
      <c r="AR147" t="n">
        <v>1.127330251</v>
      </c>
      <c r="AT147" t="n">
        <v>1.999064294</v>
      </c>
      <c r="AU147" t="n">
        <v>1.152778503</v>
      </c>
    </row>
    <row r="148">
      <c r="A148" t="inlineStr">
        <is>
          <t>1983-Q4</t>
        </is>
      </c>
      <c r="B148" s="87" t="n">
        <v>30682</v>
      </c>
      <c r="D148" t="n">
        <v>1.677953348</v>
      </c>
      <c r="E148" t="n">
        <v>1.013589137</v>
      </c>
      <c r="F148" t="n">
        <v>1.11730004</v>
      </c>
      <c r="H148" t="n">
        <v>1.260197667</v>
      </c>
      <c r="I148" t="n">
        <v>0.349783064</v>
      </c>
      <c r="M148" t="n">
        <v>1.383273921</v>
      </c>
      <c r="N148" t="n">
        <v>2.339343054</v>
      </c>
      <c r="P148" t="n">
        <v>0.646116914</v>
      </c>
      <c r="S148" t="n">
        <v>-0.242607342</v>
      </c>
      <c r="T148" t="n">
        <v>0.576321368</v>
      </c>
      <c r="U148" t="n">
        <v>1.549954</v>
      </c>
      <c r="V148" t="n">
        <v>0.852220362</v>
      </c>
      <c r="W148" t="n">
        <v>3.310113654</v>
      </c>
      <c r="Z148" t="n">
        <v>0.9494425949999999</v>
      </c>
      <c r="AA148" t="n">
        <v>0.9919697119999999</v>
      </c>
      <c r="AC148" t="n">
        <v>2.216799557</v>
      </c>
      <c r="AD148" t="n">
        <v>0.83312633</v>
      </c>
      <c r="AE148" t="n">
        <v>0.715888069</v>
      </c>
      <c r="AF148" t="n">
        <v>2.017614358</v>
      </c>
      <c r="AH148" t="n">
        <v>1.150445915</v>
      </c>
      <c r="AI148" t="n">
        <v>-0.701583523</v>
      </c>
      <c r="AJ148" t="n">
        <v>0.037273945</v>
      </c>
      <c r="AL148" t="n">
        <v>1.433655957</v>
      </c>
      <c r="AN148" t="n">
        <v>-0.652490849</v>
      </c>
      <c r="AR148" t="n">
        <v>2.014711165</v>
      </c>
      <c r="AT148" t="n">
        <v>2.086217479</v>
      </c>
      <c r="AU148" t="n">
        <v>2.536371796</v>
      </c>
    </row>
    <row r="149">
      <c r="A149" t="inlineStr">
        <is>
          <t>1984-Q1</t>
        </is>
      </c>
      <c r="B149" s="87" t="n">
        <v>30773</v>
      </c>
      <c r="D149" t="n">
        <v>2.50869533</v>
      </c>
      <c r="E149" t="n">
        <v>-1.317603741</v>
      </c>
      <c r="F149" t="n">
        <v>0.404556436</v>
      </c>
      <c r="H149" t="n">
        <v>1.720298067</v>
      </c>
      <c r="I149" t="n">
        <v>1.19473237</v>
      </c>
      <c r="M149" t="n">
        <v>1.322572601</v>
      </c>
      <c r="N149" t="n">
        <v>1.298158981</v>
      </c>
      <c r="P149" t="n">
        <v>0.827201218</v>
      </c>
      <c r="S149" t="n">
        <v>1.578488505</v>
      </c>
      <c r="T149" t="n">
        <v>0.616618205</v>
      </c>
      <c r="U149" t="n">
        <v>1.355743</v>
      </c>
      <c r="V149" t="n">
        <v>0.697636436</v>
      </c>
      <c r="W149" t="n">
        <v>-0.643852978</v>
      </c>
      <c r="Z149" t="n">
        <v>1.323472594</v>
      </c>
      <c r="AA149" t="n">
        <v>1.488003664</v>
      </c>
      <c r="AC149" t="n">
        <v>-0.196112871</v>
      </c>
      <c r="AD149" t="n">
        <v>1.15167553</v>
      </c>
      <c r="AE149" t="n">
        <v>4.381299676</v>
      </c>
      <c r="AF149" t="n">
        <v>2.008825017</v>
      </c>
      <c r="AH149" t="n">
        <v>2.760114021</v>
      </c>
      <c r="AI149" t="n">
        <v>1.676444412</v>
      </c>
      <c r="AJ149" t="n">
        <v>2.682463541</v>
      </c>
      <c r="AL149" t="n">
        <v>1.447369692</v>
      </c>
      <c r="AN149" t="n">
        <v>-0.770611829</v>
      </c>
      <c r="AR149" t="n">
        <v>2.256875815</v>
      </c>
      <c r="AT149" t="n">
        <v>1.954770289</v>
      </c>
      <c r="AU149" t="n">
        <v>1.696766485</v>
      </c>
    </row>
    <row r="150">
      <c r="A150" t="inlineStr">
        <is>
          <t>1984-Q2</t>
        </is>
      </c>
      <c r="B150" s="87" t="n">
        <v>30864</v>
      </c>
      <c r="D150" t="n">
        <v>1.122581577</v>
      </c>
      <c r="E150" t="n">
        <v>-0.705957587</v>
      </c>
      <c r="F150" t="n">
        <v>0.152870268</v>
      </c>
      <c r="H150" t="n">
        <v>1.955921331</v>
      </c>
      <c r="I150" t="n">
        <v>0.497644414</v>
      </c>
      <c r="M150" t="n">
        <v>-1.575206402</v>
      </c>
      <c r="N150" t="n">
        <v>1.267804499</v>
      </c>
      <c r="P150" t="n">
        <v>-0.308284679</v>
      </c>
      <c r="S150" t="n">
        <v>0.135519718</v>
      </c>
      <c r="T150" t="n">
        <v>0.367182307</v>
      </c>
      <c r="U150" t="n">
        <v>0.890749</v>
      </c>
      <c r="V150" t="n">
        <v>-0.882030369</v>
      </c>
      <c r="W150" t="n">
        <v>-2.588699527</v>
      </c>
      <c r="Z150" t="n">
        <v>1.460845341</v>
      </c>
      <c r="AA150" t="n">
        <v>1.535971926</v>
      </c>
      <c r="AC150" t="n">
        <v>0.321964637</v>
      </c>
      <c r="AD150" t="n">
        <v>1.514425641</v>
      </c>
      <c r="AE150" t="n">
        <v>2.506439485</v>
      </c>
      <c r="AF150" t="n">
        <v>1.562180116</v>
      </c>
      <c r="AH150" t="n">
        <v>-1.471891339</v>
      </c>
      <c r="AI150" t="n">
        <v>-0.058949625</v>
      </c>
      <c r="AJ150" t="n">
        <v>0.620679855</v>
      </c>
      <c r="AL150" t="n">
        <v>0.670770576</v>
      </c>
      <c r="AN150" t="n">
        <v>-1.034333756</v>
      </c>
      <c r="AR150" t="n">
        <v>-1.513563096</v>
      </c>
      <c r="AT150" t="n">
        <v>1.727792663</v>
      </c>
      <c r="AU150" t="n">
        <v>2.077491808</v>
      </c>
    </row>
    <row r="151">
      <c r="A151" t="inlineStr">
        <is>
          <t>1984-Q3</t>
        </is>
      </c>
      <c r="B151" s="87" t="n">
        <v>30956</v>
      </c>
      <c r="D151" t="n">
        <v>0.8483550479999999</v>
      </c>
      <c r="E151" t="n">
        <v>0.91992237</v>
      </c>
      <c r="F151" t="n">
        <v>0.286767681</v>
      </c>
      <c r="H151" t="n">
        <v>0.420533849</v>
      </c>
      <c r="I151" t="n">
        <v>1.7509008</v>
      </c>
      <c r="M151" t="n">
        <v>2.723287578</v>
      </c>
      <c r="N151" t="n">
        <v>0.912187488</v>
      </c>
      <c r="P151" t="n">
        <v>0.870915218</v>
      </c>
      <c r="S151" t="n">
        <v>0.893219651</v>
      </c>
      <c r="T151" t="n">
        <v>0.463547567</v>
      </c>
      <c r="U151" t="n">
        <v>1.138656</v>
      </c>
      <c r="V151" t="n">
        <v>0.64091575</v>
      </c>
      <c r="W151" t="n">
        <v>3.039879871</v>
      </c>
      <c r="Z151" t="n">
        <v>1.409504901</v>
      </c>
      <c r="AA151" t="n">
        <v>1.224880414</v>
      </c>
      <c r="AC151" t="n">
        <v>1.177467534</v>
      </c>
      <c r="AD151" t="n">
        <v>1.222067612</v>
      </c>
      <c r="AE151" t="n">
        <v>1.363243714</v>
      </c>
      <c r="AF151" t="n">
        <v>0.740315982</v>
      </c>
      <c r="AH151" t="n">
        <v>2.421554744</v>
      </c>
      <c r="AI151" t="n">
        <v>1.093892434</v>
      </c>
      <c r="AJ151" t="n">
        <v>2.895367311</v>
      </c>
      <c r="AL151" t="n">
        <v>1.215257003</v>
      </c>
      <c r="AN151" t="n">
        <v>2.404084272</v>
      </c>
      <c r="AR151" t="n">
        <v>1.322052833</v>
      </c>
      <c r="AT151" t="n">
        <v>0.964063628</v>
      </c>
      <c r="AU151" t="n">
        <v>-1.657470107</v>
      </c>
    </row>
    <row r="152">
      <c r="A152" t="inlineStr">
        <is>
          <t>1984-Q4</t>
        </is>
      </c>
      <c r="B152" s="87" t="n">
        <v>31048</v>
      </c>
      <c r="D152" t="n">
        <v>0.701998631</v>
      </c>
      <c r="E152" t="n">
        <v>0.95028883</v>
      </c>
      <c r="F152" t="n">
        <v>0.644336748</v>
      </c>
      <c r="H152" t="n">
        <v>1.584483871</v>
      </c>
      <c r="I152" t="n">
        <v>0.811258481</v>
      </c>
      <c r="M152" t="n">
        <v>0.841814285</v>
      </c>
      <c r="N152" t="n">
        <v>0.465100265</v>
      </c>
      <c r="P152" t="n">
        <v>0.127632419</v>
      </c>
      <c r="S152" t="n">
        <v>1.180415828</v>
      </c>
      <c r="T152" t="n">
        <v>0.283695276</v>
      </c>
      <c r="U152" t="n">
        <v>0.727999</v>
      </c>
      <c r="V152" t="n">
        <v>1.960829859</v>
      </c>
      <c r="W152" t="n">
        <v>1.199735651</v>
      </c>
      <c r="Z152" t="n">
        <v>1.201564066</v>
      </c>
      <c r="AA152" t="n">
        <v>0.819432844</v>
      </c>
      <c r="AC152" t="n">
        <v>0.01604437</v>
      </c>
      <c r="AD152" t="n">
        <v>0.172601927</v>
      </c>
      <c r="AE152" t="n">
        <v>0.486023902</v>
      </c>
      <c r="AF152" t="n">
        <v>0.038899643</v>
      </c>
      <c r="AH152" t="n">
        <v>-0.881230455</v>
      </c>
      <c r="AI152" t="n">
        <v>0.183878781</v>
      </c>
      <c r="AJ152" t="n">
        <v>2.077149881</v>
      </c>
      <c r="AL152" t="n">
        <v>0.643399966</v>
      </c>
      <c r="AN152" t="n">
        <v>-0.2316478</v>
      </c>
      <c r="AR152" t="n">
        <v>0.9298325079999999</v>
      </c>
      <c r="AT152" t="n">
        <v>0.820857146</v>
      </c>
      <c r="AU152" t="n">
        <v>0.154612647</v>
      </c>
    </row>
    <row r="153">
      <c r="A153" t="inlineStr">
        <is>
          <t>1985-Q1</t>
        </is>
      </c>
      <c r="B153" s="87" t="n">
        <v>31138</v>
      </c>
      <c r="D153" t="n">
        <v>1.44634635</v>
      </c>
      <c r="E153" t="n">
        <v>0.480319771</v>
      </c>
      <c r="F153" t="n">
        <v>0.427656259</v>
      </c>
      <c r="H153" t="n">
        <v>1.51940209</v>
      </c>
      <c r="I153" t="n">
        <v>1.1747838</v>
      </c>
      <c r="M153" t="n">
        <v>-0.545070922</v>
      </c>
      <c r="N153" t="n">
        <v>0.317686043</v>
      </c>
      <c r="P153" t="n">
        <v>1.115984954</v>
      </c>
      <c r="S153" t="n">
        <v>0.689380883</v>
      </c>
      <c r="T153" t="n">
        <v>0.132746927</v>
      </c>
      <c r="U153" t="n">
        <v>0.956714</v>
      </c>
      <c r="V153" t="n">
        <v>0.799623349</v>
      </c>
      <c r="W153" t="n">
        <v>-2.684147955</v>
      </c>
      <c r="Z153" t="n">
        <v>0.866556749</v>
      </c>
      <c r="AA153" t="n">
        <v>0.5889643919999999</v>
      </c>
      <c r="AC153" t="n">
        <v>0.571727581</v>
      </c>
      <c r="AD153" t="n">
        <v>2.450569896</v>
      </c>
      <c r="AE153" t="n">
        <v>2.810896317</v>
      </c>
      <c r="AF153" t="n">
        <v>-0.025472148</v>
      </c>
      <c r="AH153" t="n">
        <v>1.829112115</v>
      </c>
      <c r="AI153" t="n">
        <v>0.368847396</v>
      </c>
      <c r="AJ153" t="n">
        <v>1.960690155</v>
      </c>
      <c r="AL153" t="n">
        <v>0.972923322</v>
      </c>
      <c r="AN153" t="n">
        <v>1.088803087</v>
      </c>
      <c r="AR153" t="n">
        <v>0.138870664</v>
      </c>
      <c r="AT153" t="n">
        <v>0.969072301</v>
      </c>
      <c r="AU153" t="n">
        <v>-0.595775596</v>
      </c>
    </row>
    <row r="154">
      <c r="A154" t="inlineStr">
        <is>
          <t>1985-Q2</t>
        </is>
      </c>
      <c r="B154" s="87" t="n">
        <v>31229</v>
      </c>
      <c r="D154" t="n">
        <v>2.211635629</v>
      </c>
      <c r="E154" t="n">
        <v>0.155684194</v>
      </c>
      <c r="F154" t="n">
        <v>0.365211577</v>
      </c>
      <c r="H154" t="n">
        <v>0.318739387</v>
      </c>
      <c r="I154" t="n">
        <v>0.855004022</v>
      </c>
      <c r="M154" t="n">
        <v>1.002247959</v>
      </c>
      <c r="N154" t="n">
        <v>1.610371546</v>
      </c>
      <c r="P154" t="n">
        <v>-0.093929207</v>
      </c>
      <c r="S154" t="n">
        <v>1.127935045</v>
      </c>
      <c r="T154" t="n">
        <v>0.627137787</v>
      </c>
      <c r="U154" t="n">
        <v>1.178623</v>
      </c>
      <c r="V154" t="n">
        <v>2.137637487</v>
      </c>
      <c r="W154" t="n">
        <v>0.154857359</v>
      </c>
      <c r="Z154" t="n">
        <v>0.461224127</v>
      </c>
      <c r="AA154" t="n">
        <v>0.564402476</v>
      </c>
      <c r="AC154" t="n">
        <v>1.320883135</v>
      </c>
      <c r="AD154" t="n">
        <v>2.024950032</v>
      </c>
      <c r="AE154" t="n">
        <v>2.408892709</v>
      </c>
      <c r="AF154" t="n">
        <v>0.546865216</v>
      </c>
      <c r="AH154" t="n">
        <v>-0.08664116600000001</v>
      </c>
      <c r="AI154" t="n">
        <v>1.972851315</v>
      </c>
      <c r="AJ154" t="n">
        <v>-1.373830807</v>
      </c>
      <c r="AL154" t="n">
        <v>1.072691194</v>
      </c>
      <c r="AN154" t="n">
        <v>0.973922931</v>
      </c>
      <c r="AR154" t="n">
        <v>1.056977679</v>
      </c>
      <c r="AT154" t="n">
        <v>0.880466353</v>
      </c>
      <c r="AU154" t="n">
        <v>-0.727141963</v>
      </c>
    </row>
    <row r="155">
      <c r="A155" t="inlineStr">
        <is>
          <t>1985-Q3</t>
        </is>
      </c>
      <c r="B155" s="87" t="n">
        <v>31321</v>
      </c>
      <c r="D155" t="n">
        <v>1.351374255</v>
      </c>
      <c r="E155" t="n">
        <v>1.484461339</v>
      </c>
      <c r="F155" t="n">
        <v>0.677149728</v>
      </c>
      <c r="H155" t="n">
        <v>1.268698772</v>
      </c>
      <c r="I155" t="n">
        <v>0.139898325</v>
      </c>
      <c r="M155" t="n">
        <v>1.302408149</v>
      </c>
      <c r="N155" t="n">
        <v>2.179652219</v>
      </c>
      <c r="P155" t="n">
        <v>1.036666832</v>
      </c>
      <c r="S155" t="n">
        <v>0.499088621</v>
      </c>
      <c r="T155" t="n">
        <v>0.7441018659999999</v>
      </c>
      <c r="U155" t="n">
        <v>1.223623</v>
      </c>
      <c r="V155" t="n">
        <v>0.09182939599999999</v>
      </c>
      <c r="W155" t="n">
        <v>4.801745465</v>
      </c>
      <c r="Z155" t="n">
        <v>-0.025823585</v>
      </c>
      <c r="AA155" t="n">
        <v>0.742035808</v>
      </c>
      <c r="AC155" t="n">
        <v>0.801015883</v>
      </c>
      <c r="AD155" t="n">
        <v>1.308559679</v>
      </c>
      <c r="AE155" t="n">
        <v>1.137674121</v>
      </c>
      <c r="AF155" t="n">
        <v>1.739756298</v>
      </c>
      <c r="AH155" t="n">
        <v>0.625404543</v>
      </c>
      <c r="AI155" t="n">
        <v>-0.974238714</v>
      </c>
      <c r="AJ155" t="n">
        <v>2.907229393</v>
      </c>
      <c r="AL155" t="n">
        <v>1.160708343</v>
      </c>
      <c r="AN155" t="n">
        <v>-0.373988317</v>
      </c>
      <c r="AR155" t="n">
        <v>1.103460017</v>
      </c>
      <c r="AT155" t="n">
        <v>1.527121263</v>
      </c>
      <c r="AU155" t="n">
        <v>-0.263979032</v>
      </c>
    </row>
    <row r="156">
      <c r="A156" t="inlineStr">
        <is>
          <t>1985-Q4</t>
        </is>
      </c>
      <c r="B156" s="87" t="n">
        <v>31413</v>
      </c>
      <c r="D156" t="n">
        <v>-0.245823509</v>
      </c>
      <c r="E156" t="n">
        <v>-0.416358753</v>
      </c>
      <c r="F156" t="n">
        <v>0.517968412</v>
      </c>
      <c r="H156" t="n">
        <v>1.534781494</v>
      </c>
      <c r="I156" t="n">
        <v>0.9132554000000001</v>
      </c>
      <c r="M156" t="n">
        <v>0.599977251</v>
      </c>
      <c r="N156" t="n">
        <v>1.901622049</v>
      </c>
      <c r="P156" t="n">
        <v>1.148468301</v>
      </c>
      <c r="S156" t="n">
        <v>0.168415598</v>
      </c>
      <c r="T156" t="n">
        <v>0.349465011</v>
      </c>
      <c r="U156" t="n">
        <v>0.786291</v>
      </c>
      <c r="V156" t="n">
        <v>0.236179275</v>
      </c>
      <c r="W156" t="n">
        <v>3.88341557</v>
      </c>
      <c r="Z156" t="n">
        <v>-0.411335987</v>
      </c>
      <c r="AA156" t="n">
        <v>1.061648587</v>
      </c>
      <c r="AC156" t="n">
        <v>0.666795973</v>
      </c>
      <c r="AD156" t="n">
        <v>1.328426309</v>
      </c>
      <c r="AE156" t="n">
        <v>3.048656647</v>
      </c>
      <c r="AF156" t="n">
        <v>2.866838608</v>
      </c>
      <c r="AH156" t="n">
        <v>-0.271496552</v>
      </c>
      <c r="AI156" t="n">
        <v>2.446499155</v>
      </c>
      <c r="AJ156" t="n">
        <v>0.964978631</v>
      </c>
      <c r="AL156" t="n">
        <v>0.822681646</v>
      </c>
      <c r="AN156" t="n">
        <v>1.587131687</v>
      </c>
      <c r="AR156" t="n">
        <v>-1.004893611</v>
      </c>
      <c r="AT156" t="n">
        <v>0.743327344</v>
      </c>
      <c r="AU156" t="n">
        <v>1.069340316</v>
      </c>
    </row>
    <row r="157">
      <c r="A157" t="inlineStr">
        <is>
          <t>1986-Q1</t>
        </is>
      </c>
      <c r="B157" s="87" t="n">
        <v>31503</v>
      </c>
      <c r="D157" t="n">
        <v>0.638704486</v>
      </c>
      <c r="E157" t="n">
        <v>0.89439608</v>
      </c>
      <c r="F157" t="n">
        <v>0.547889625</v>
      </c>
      <c r="H157" t="n">
        <v>-0.030061903</v>
      </c>
      <c r="I157" t="n">
        <v>0.534149395</v>
      </c>
      <c r="M157" t="n">
        <v>-0.57204937</v>
      </c>
      <c r="N157" t="n">
        <v>0.8650818139999999</v>
      </c>
      <c r="P157" t="n">
        <v>0.28204135</v>
      </c>
      <c r="S157" t="n">
        <v>0.060355234</v>
      </c>
      <c r="T157" t="n">
        <v>0.338126356</v>
      </c>
      <c r="U157" t="n">
        <v>0.573929</v>
      </c>
      <c r="V157" t="n">
        <v>1.132900807</v>
      </c>
      <c r="W157" t="n">
        <v>-6.376633213</v>
      </c>
      <c r="Z157" t="n">
        <v>-0.476883795</v>
      </c>
      <c r="AA157" t="n">
        <v>1.461927375</v>
      </c>
      <c r="AC157" t="n">
        <v>0.6231799</v>
      </c>
      <c r="AD157" t="n">
        <v>0.397646389</v>
      </c>
      <c r="AE157" t="n">
        <v>1.925429551</v>
      </c>
      <c r="AF157" t="n">
        <v>3.202975963</v>
      </c>
      <c r="AH157" t="n">
        <v>-1.92823854</v>
      </c>
      <c r="AI157" t="n">
        <v>0.176768535</v>
      </c>
      <c r="AJ157" t="n">
        <v>1.874972711</v>
      </c>
      <c r="AL157" t="n">
        <v>0.441513329</v>
      </c>
      <c r="AN157" t="n">
        <v>1.321063257</v>
      </c>
      <c r="AR157" t="n">
        <v>2.023470286</v>
      </c>
      <c r="AT157" t="n">
        <v>0.933524708</v>
      </c>
      <c r="AU157" t="n">
        <v>-1.191395651</v>
      </c>
    </row>
    <row r="158">
      <c r="A158" t="inlineStr">
        <is>
          <t>1986-Q2</t>
        </is>
      </c>
      <c r="B158" s="87" t="n">
        <v>31594</v>
      </c>
      <c r="D158" t="n">
        <v>-0.177680054</v>
      </c>
      <c r="E158" t="n">
        <v>1.209921631</v>
      </c>
      <c r="F158" t="n">
        <v>0.203576123</v>
      </c>
      <c r="H158" t="n">
        <v>0.568484015</v>
      </c>
      <c r="I158" t="n">
        <v>0.480621358</v>
      </c>
      <c r="M158" t="n">
        <v>1.150684662</v>
      </c>
      <c r="N158" t="n">
        <v>-0.296741302</v>
      </c>
      <c r="P158" t="n">
        <v>2.381555918</v>
      </c>
      <c r="S158" t="n">
        <v>0.43515726</v>
      </c>
      <c r="T158" t="n">
        <v>1.122554165</v>
      </c>
      <c r="U158" t="n">
        <v>0.502808</v>
      </c>
      <c r="V158" t="n">
        <v>0.741475755</v>
      </c>
      <c r="W158" t="n">
        <v>2.67650975</v>
      </c>
      <c r="Z158" t="n">
        <v>-0.220145043</v>
      </c>
      <c r="AA158" t="n">
        <v>1.905118594</v>
      </c>
      <c r="AC158" t="n">
        <v>0.646812678</v>
      </c>
      <c r="AD158" t="n">
        <v>-0.245688838</v>
      </c>
      <c r="AE158" t="n">
        <v>3.897172975</v>
      </c>
      <c r="AF158" t="n">
        <v>2.819251519</v>
      </c>
      <c r="AH158" t="n">
        <v>-0.373519773</v>
      </c>
      <c r="AI158" t="n">
        <v>1.732328888</v>
      </c>
      <c r="AJ158" t="n">
        <v>-1.356155484</v>
      </c>
      <c r="AL158" t="n">
        <v>0.639638883</v>
      </c>
      <c r="AN158" t="n">
        <v>1.128379966</v>
      </c>
      <c r="AR158" t="n">
        <v>0.500524353</v>
      </c>
      <c r="AT158" t="n">
        <v>0.450377363</v>
      </c>
      <c r="AU158" t="n">
        <v>0.690410026</v>
      </c>
    </row>
    <row r="159">
      <c r="A159" t="inlineStr">
        <is>
          <t>1986-Q3</t>
        </is>
      </c>
      <c r="B159" s="87" t="n">
        <v>31686</v>
      </c>
      <c r="D159" t="n">
        <v>0.282012916</v>
      </c>
      <c r="E159" t="n">
        <v>0.08147199199999999</v>
      </c>
      <c r="F159" t="n">
        <v>1.230936529</v>
      </c>
      <c r="H159" t="n">
        <v>0.126214599</v>
      </c>
      <c r="I159" t="n">
        <v>-0.088404836</v>
      </c>
      <c r="M159" t="n">
        <v>0.738239227</v>
      </c>
      <c r="N159" t="n">
        <v>-0.039017767</v>
      </c>
      <c r="P159" t="n">
        <v>-0.705039025</v>
      </c>
      <c r="S159" t="n">
        <v>4.358457381</v>
      </c>
      <c r="T159" t="n">
        <v>0.345403761</v>
      </c>
      <c r="U159" t="n">
        <v>0.751688</v>
      </c>
      <c r="V159" t="n">
        <v>0.4585683</v>
      </c>
      <c r="W159" t="n">
        <v>-1.460956352</v>
      </c>
      <c r="Z159" t="n">
        <v>0.349549576</v>
      </c>
      <c r="AA159" t="n">
        <v>2.438086319</v>
      </c>
      <c r="AC159" t="n">
        <v>0.998122617</v>
      </c>
      <c r="AD159" t="n">
        <v>0.585787749</v>
      </c>
      <c r="AE159" t="n">
        <v>4.317175112</v>
      </c>
      <c r="AF159" t="n">
        <v>1.88521542</v>
      </c>
      <c r="AH159" t="n">
        <v>-1.898208827</v>
      </c>
      <c r="AI159" t="n">
        <v>0.253506563</v>
      </c>
      <c r="AJ159" t="n">
        <v>2.610107478</v>
      </c>
      <c r="AL159" t="n">
        <v>0.675532528</v>
      </c>
      <c r="AN159" t="n">
        <v>0.5352335070000001</v>
      </c>
      <c r="AR159" t="n">
        <v>0.489035763</v>
      </c>
      <c r="AT159" t="n">
        <v>0.956992886</v>
      </c>
      <c r="AU159" t="n">
        <v>0.225035091</v>
      </c>
    </row>
    <row r="160">
      <c r="A160" t="inlineStr">
        <is>
          <t>1986-Q4</t>
        </is>
      </c>
      <c r="B160" s="87" t="n">
        <v>31778</v>
      </c>
      <c r="D160" t="n">
        <v>1.657921303</v>
      </c>
      <c r="E160" t="n">
        <v>0.074006433</v>
      </c>
      <c r="F160" t="n">
        <v>-1.156201418</v>
      </c>
      <c r="H160" t="n">
        <v>-0.722101968</v>
      </c>
      <c r="I160" t="n">
        <v>-0.130248837</v>
      </c>
      <c r="M160" t="n">
        <v>0.997108218</v>
      </c>
      <c r="N160" t="n">
        <v>0.367632584</v>
      </c>
      <c r="P160" t="n">
        <v>0.638803135</v>
      </c>
      <c r="S160" t="n">
        <v>-1.874460476</v>
      </c>
      <c r="T160" t="n">
        <v>0.358194674</v>
      </c>
      <c r="U160" t="n">
        <v>0.652539</v>
      </c>
      <c r="V160" t="n">
        <v>1.791063001</v>
      </c>
      <c r="W160" t="n">
        <v>2.718685968</v>
      </c>
      <c r="Z160" t="n">
        <v>0.987010685</v>
      </c>
      <c r="AA160" t="n">
        <v>2.747322694</v>
      </c>
      <c r="AC160" t="n">
        <v>0.410590175</v>
      </c>
      <c r="AD160" t="n">
        <v>0.7887211079999999</v>
      </c>
      <c r="AE160" t="n">
        <v>1.559825819</v>
      </c>
      <c r="AF160" t="n">
        <v>0.897677378</v>
      </c>
      <c r="AH160" t="n">
        <v>-0.273023038</v>
      </c>
      <c r="AI160" t="n">
        <v>-1.274309195</v>
      </c>
      <c r="AJ160" t="n">
        <v>0.547564819</v>
      </c>
      <c r="AL160" t="n">
        <v>0.614581794</v>
      </c>
      <c r="AN160" t="n">
        <v>1.600706368</v>
      </c>
      <c r="AR160" t="n">
        <v>0.303682301</v>
      </c>
      <c r="AT160" t="n">
        <v>0.5369857179999999</v>
      </c>
      <c r="AU160" t="n">
        <v>0.419882585</v>
      </c>
    </row>
    <row r="161">
      <c r="A161" t="inlineStr">
        <is>
          <t>1987-Q1</t>
        </is>
      </c>
      <c r="B161" s="87" t="n">
        <v>31868</v>
      </c>
      <c r="D161" t="n">
        <v>0.955394898</v>
      </c>
      <c r="E161" t="n">
        <v>-0.8528270570000001</v>
      </c>
      <c r="F161" t="n">
        <v>0.706357821</v>
      </c>
      <c r="H161" t="n">
        <v>2.307193327</v>
      </c>
      <c r="I161" t="n">
        <v>0.175169724</v>
      </c>
      <c r="M161" t="n">
        <v>-2.509804892</v>
      </c>
      <c r="N161" t="n">
        <v>-1.569174494</v>
      </c>
      <c r="P161" t="n">
        <v>2.048184242</v>
      </c>
      <c r="S161" t="n">
        <v>0.766620586</v>
      </c>
      <c r="T161" t="n">
        <v>0.237118668</v>
      </c>
      <c r="U161" t="n">
        <v>0.250646</v>
      </c>
      <c r="V161" t="n">
        <v>0.939931199</v>
      </c>
      <c r="W161" t="n">
        <v>-4.286339826</v>
      </c>
      <c r="Z161" t="n">
        <v>1.404725829</v>
      </c>
      <c r="AA161" t="n">
        <v>2.547970949</v>
      </c>
      <c r="AC161" t="n">
        <v>0.40962454</v>
      </c>
      <c r="AD161" t="n">
        <v>-0.07172563799999999</v>
      </c>
      <c r="AE161" t="n">
        <v>3.211522029</v>
      </c>
      <c r="AF161" t="n">
        <v>0.39014948</v>
      </c>
      <c r="AH161" t="n">
        <v>0.597476046</v>
      </c>
      <c r="AI161" t="n">
        <v>0.239278793</v>
      </c>
      <c r="AJ161" t="n">
        <v>-0.418688258</v>
      </c>
      <c r="AL161" t="n">
        <v>0.324430522</v>
      </c>
      <c r="AN161" t="n">
        <v>1.805396508</v>
      </c>
      <c r="AR161" t="n">
        <v>0.45626201</v>
      </c>
      <c r="AT161" t="n">
        <v>0.74501963</v>
      </c>
      <c r="AU161" t="n">
        <v>0.72728254</v>
      </c>
    </row>
    <row r="162">
      <c r="A162" t="inlineStr">
        <is>
          <t>1987-Q2</t>
        </is>
      </c>
      <c r="B162" s="87" t="n">
        <v>31959</v>
      </c>
      <c r="D162" t="n">
        <v>1.572751938</v>
      </c>
      <c r="E162" t="n">
        <v>1.764855166</v>
      </c>
      <c r="F162" t="n">
        <v>1.111189178</v>
      </c>
      <c r="H162" t="n">
        <v>1.291592995</v>
      </c>
      <c r="I162" t="n">
        <v>0.754633327</v>
      </c>
      <c r="M162" t="n">
        <v>2.244993958</v>
      </c>
      <c r="N162" t="n">
        <v>3.024836903</v>
      </c>
      <c r="P162" t="n">
        <v>1.49605753</v>
      </c>
      <c r="S162" t="n">
        <v>1.741914027</v>
      </c>
      <c r="T162" t="n">
        <v>1.160862355</v>
      </c>
      <c r="U162" t="n">
        <v>1.461495</v>
      </c>
      <c r="V162" t="n">
        <v>1.463181038</v>
      </c>
      <c r="W162" t="n">
        <v>-1.894337321</v>
      </c>
      <c r="Z162" t="n">
        <v>1.567871274</v>
      </c>
      <c r="AA162" t="n">
        <v>1.964998593</v>
      </c>
      <c r="AC162" t="n">
        <v>1.514381795</v>
      </c>
      <c r="AD162" t="n">
        <v>2.0955948</v>
      </c>
      <c r="AE162" t="n">
        <v>4.953211831</v>
      </c>
      <c r="AF162" t="n">
        <v>0.428521307</v>
      </c>
      <c r="AH162" t="n">
        <v>2.736231087</v>
      </c>
      <c r="AI162" t="n">
        <v>1.642375645</v>
      </c>
      <c r="AJ162" t="n">
        <v>2.197283666</v>
      </c>
      <c r="AL162" t="n">
        <v>1.634838128</v>
      </c>
      <c r="AN162" t="n">
        <v>1.60081077</v>
      </c>
      <c r="AR162" t="n">
        <v>2.212031342</v>
      </c>
      <c r="AT162" t="n">
        <v>1.078842316</v>
      </c>
      <c r="AU162" t="n">
        <v>0.356603187</v>
      </c>
    </row>
    <row r="163">
      <c r="A163" t="inlineStr">
        <is>
          <t>1987-Q3</t>
        </is>
      </c>
      <c r="B163" s="87" t="n">
        <v>32051</v>
      </c>
      <c r="D163" t="n">
        <v>1.813383279</v>
      </c>
      <c r="E163" t="n">
        <v>1.214960389</v>
      </c>
      <c r="F163" t="n">
        <v>1.397512752</v>
      </c>
      <c r="H163" t="n">
        <v>1.522052283</v>
      </c>
      <c r="I163" t="n">
        <v>1.259434287</v>
      </c>
      <c r="M163" t="n">
        <v>0.69212071</v>
      </c>
      <c r="N163" t="n">
        <v>-1.381495735</v>
      </c>
      <c r="P163" t="n">
        <v>2.065202533</v>
      </c>
      <c r="S163" t="n">
        <v>0.388182895</v>
      </c>
      <c r="T163" t="n">
        <v>0.693897488</v>
      </c>
      <c r="U163" t="n">
        <v>1.134289</v>
      </c>
      <c r="V163" t="n">
        <v>2.421152356</v>
      </c>
      <c r="W163" t="n">
        <v>0.298791019</v>
      </c>
      <c r="Z163" t="n">
        <v>1.556645286</v>
      </c>
      <c r="AA163" t="n">
        <v>1.039469583</v>
      </c>
      <c r="AC163" t="n">
        <v>0.288641596</v>
      </c>
      <c r="AD163" t="n">
        <v>2.000277551</v>
      </c>
      <c r="AE163" t="n">
        <v>0.975698471</v>
      </c>
      <c r="AF163" t="n">
        <v>0.946731365</v>
      </c>
      <c r="AH163" t="n">
        <v>0.107060851</v>
      </c>
      <c r="AI163" t="n">
        <v>1.146136544</v>
      </c>
      <c r="AJ163" t="n">
        <v>-2.607621844</v>
      </c>
      <c r="AK163" t="n">
        <v>0.542744666</v>
      </c>
      <c r="AL163" t="n">
        <v>1.107934737</v>
      </c>
      <c r="AN163" t="n">
        <v>1.547363343</v>
      </c>
      <c r="AR163" t="n">
        <v>1.136551934</v>
      </c>
      <c r="AT163" t="n">
        <v>0.8675668560000001</v>
      </c>
      <c r="AU163" t="n">
        <v>0.364927876</v>
      </c>
    </row>
    <row r="164">
      <c r="A164" t="inlineStr">
        <is>
          <t>1987-Q4</t>
        </is>
      </c>
      <c r="B164" s="87" t="n">
        <v>32143</v>
      </c>
      <c r="D164" t="n">
        <v>2.028806756</v>
      </c>
      <c r="E164" t="n">
        <v>0.8101848109999999</v>
      </c>
      <c r="F164" t="n">
        <v>1.290633452</v>
      </c>
      <c r="H164" t="n">
        <v>1.291892412</v>
      </c>
      <c r="I164" t="n">
        <v>0.782846691</v>
      </c>
      <c r="M164" t="n">
        <v>1.599900168</v>
      </c>
      <c r="N164" t="n">
        <v>0.595971644</v>
      </c>
      <c r="P164" t="n">
        <v>2.045736097</v>
      </c>
      <c r="S164" t="n">
        <v>1.970042331</v>
      </c>
      <c r="T164" t="n">
        <v>1.693836158</v>
      </c>
      <c r="U164" t="n">
        <v>1.73399</v>
      </c>
      <c r="V164" t="n">
        <v>1.11098778</v>
      </c>
      <c r="W164" t="n">
        <v>5.882251649</v>
      </c>
      <c r="Z164" t="n">
        <v>1.428591408</v>
      </c>
      <c r="AA164" t="n">
        <v>0.103175991</v>
      </c>
      <c r="AC164" t="n">
        <v>1.075995276</v>
      </c>
      <c r="AD164" t="n">
        <v>2.574799235</v>
      </c>
      <c r="AE164" t="n">
        <v>2.035328587</v>
      </c>
      <c r="AF164" t="n">
        <v>1.654540177</v>
      </c>
      <c r="AH164" t="n">
        <v>1.208326572</v>
      </c>
      <c r="AI164" t="n">
        <v>0.814297627</v>
      </c>
      <c r="AJ164" t="n">
        <v>1.813583314</v>
      </c>
      <c r="AK164" t="n">
        <v>0.461263204</v>
      </c>
      <c r="AL164" t="n">
        <v>1.822449009</v>
      </c>
      <c r="AN164" t="n">
        <v>1.19749144</v>
      </c>
      <c r="AR164" t="n">
        <v>0.311079872</v>
      </c>
      <c r="AT164" t="n">
        <v>1.717036096</v>
      </c>
      <c r="AU164" t="n">
        <v>1.227631694</v>
      </c>
    </row>
    <row r="165">
      <c r="A165" t="inlineStr">
        <is>
          <t>1988-Q1</t>
        </is>
      </c>
      <c r="B165" s="87" t="n">
        <v>32234</v>
      </c>
      <c r="D165" t="n">
        <v>0.424636063</v>
      </c>
      <c r="E165" t="n">
        <v>-1.010978113</v>
      </c>
      <c r="F165" t="n">
        <v>0.990360014</v>
      </c>
      <c r="H165" t="n">
        <v>1.457933086</v>
      </c>
      <c r="I165" t="n">
        <v>0.249713375</v>
      </c>
      <c r="M165" t="n">
        <v>-0.906972722</v>
      </c>
      <c r="N165" t="n">
        <v>0.98007254</v>
      </c>
      <c r="P165" t="n">
        <v>0.321543408</v>
      </c>
      <c r="S165" t="n">
        <v>1.273351429</v>
      </c>
      <c r="T165" t="n">
        <v>1.224398533</v>
      </c>
      <c r="U165" t="n">
        <v>0.949478</v>
      </c>
      <c r="V165" t="n">
        <v>1.735826963</v>
      </c>
      <c r="W165" t="n">
        <v>2.302850916</v>
      </c>
      <c r="Z165" t="n">
        <v>1.270740591</v>
      </c>
      <c r="AA165" t="n">
        <v>-0.472976227</v>
      </c>
      <c r="AC165" t="n">
        <v>1.471709696</v>
      </c>
      <c r="AD165" t="n">
        <v>2.387212705</v>
      </c>
      <c r="AE165" t="n">
        <v>7.703239327</v>
      </c>
      <c r="AF165" t="n">
        <v>2.22271802</v>
      </c>
      <c r="AH165" t="n">
        <v>-0.675506228</v>
      </c>
      <c r="AI165" t="n">
        <v>0.131301948</v>
      </c>
      <c r="AJ165" t="n">
        <v>-0.37338757</v>
      </c>
      <c r="AK165" t="n">
        <v>-0.387802387</v>
      </c>
      <c r="AL165" t="n">
        <v>0.835354287</v>
      </c>
      <c r="AN165" t="n">
        <v>4.556632001</v>
      </c>
      <c r="AR165" t="n">
        <v>0.47846826</v>
      </c>
      <c r="AT165" t="n">
        <v>0.516654167</v>
      </c>
      <c r="AU165" t="n">
        <v>1.502943309</v>
      </c>
    </row>
    <row r="166">
      <c r="A166" t="inlineStr">
        <is>
          <t>1988-Q2</t>
        </is>
      </c>
      <c r="B166" s="87" t="n">
        <v>32325</v>
      </c>
      <c r="D166" t="n">
        <v>0.071918594</v>
      </c>
      <c r="E166" t="n">
        <v>1.835161278</v>
      </c>
      <c r="F166" t="n">
        <v>0.932079886</v>
      </c>
      <c r="H166" t="n">
        <v>0.885658372</v>
      </c>
      <c r="I166" t="n">
        <v>0.626401069</v>
      </c>
      <c r="M166" t="n">
        <v>1.812832048</v>
      </c>
      <c r="N166" t="n">
        <v>0.055030685</v>
      </c>
      <c r="P166" t="n">
        <v>1.22318158</v>
      </c>
      <c r="S166" t="n">
        <v>0.804067636</v>
      </c>
      <c r="T166" t="n">
        <v>0.599640098</v>
      </c>
      <c r="U166" t="n">
        <v>0.923608</v>
      </c>
      <c r="V166" t="n">
        <v>0.548027624</v>
      </c>
      <c r="W166" t="n">
        <v>-3.711946586</v>
      </c>
      <c r="Z166" t="n">
        <v>1.136569822</v>
      </c>
      <c r="AA166" t="n">
        <v>-0.62217562</v>
      </c>
      <c r="AC166" t="n">
        <v>0.635269809</v>
      </c>
      <c r="AD166" t="n">
        <v>-0.145997226</v>
      </c>
      <c r="AE166" t="n">
        <v>-2.1607374</v>
      </c>
      <c r="AF166" t="n">
        <v>2.612814571</v>
      </c>
      <c r="AH166" t="n">
        <v>-0.320852788</v>
      </c>
      <c r="AI166" t="n">
        <v>0.7618721899999999</v>
      </c>
      <c r="AJ166" t="n">
        <v>-1.533099202</v>
      </c>
      <c r="AK166" t="n">
        <v>-0.473643597</v>
      </c>
      <c r="AL166" t="n">
        <v>0.69951286</v>
      </c>
      <c r="AN166" t="n">
        <v>0.454994464</v>
      </c>
      <c r="AR166" t="n">
        <v>0.193406783</v>
      </c>
      <c r="AT166" t="n">
        <v>1.313900617</v>
      </c>
      <c r="AU166" t="n">
        <v>0.710055327</v>
      </c>
    </row>
    <row r="167">
      <c r="A167" t="inlineStr">
        <is>
          <t>1988-Q3</t>
        </is>
      </c>
      <c r="B167" s="87" t="n">
        <v>32417</v>
      </c>
      <c r="D167" t="n">
        <v>0.817040103</v>
      </c>
      <c r="E167" t="n">
        <v>1.661264342</v>
      </c>
      <c r="F167" t="n">
        <v>1.228906465</v>
      </c>
      <c r="H167" t="n">
        <v>0.009098695</v>
      </c>
      <c r="I167" t="n">
        <v>1.136737564</v>
      </c>
      <c r="M167" t="n">
        <v>1.133075704</v>
      </c>
      <c r="N167" t="n">
        <v>-1.90125445</v>
      </c>
      <c r="P167" t="n">
        <v>1.802907916</v>
      </c>
      <c r="S167" t="n">
        <v>1.231671554</v>
      </c>
      <c r="T167" t="n">
        <v>1.299868549</v>
      </c>
      <c r="U167" t="n">
        <v>1.091287</v>
      </c>
      <c r="V167" t="n">
        <v>1.484552846</v>
      </c>
      <c r="W167" t="n">
        <v>0.739640086</v>
      </c>
      <c r="Z167" t="n">
        <v>1.018049402</v>
      </c>
      <c r="AA167" t="n">
        <v>-0.413715371</v>
      </c>
      <c r="AC167" t="n">
        <v>1.313966057</v>
      </c>
      <c r="AD167" t="n">
        <v>2.230947392</v>
      </c>
      <c r="AE167" t="n">
        <v>3.145655266</v>
      </c>
      <c r="AF167" t="n">
        <v>2.880656406</v>
      </c>
      <c r="AH167" t="n">
        <v>0.123422488</v>
      </c>
      <c r="AI167" t="n">
        <v>0.851588504</v>
      </c>
      <c r="AJ167" t="n">
        <v>0.844981495</v>
      </c>
      <c r="AK167" t="n">
        <v>0.228717109</v>
      </c>
      <c r="AL167" t="n">
        <v>1.062977468</v>
      </c>
      <c r="AN167" t="n">
        <v>0.762612717</v>
      </c>
      <c r="AR167" t="n">
        <v>0.165338555</v>
      </c>
      <c r="AT167" t="n">
        <v>0.585928314</v>
      </c>
      <c r="AU167" t="n">
        <v>1.34491922</v>
      </c>
    </row>
    <row r="168">
      <c r="A168" t="inlineStr">
        <is>
          <t>1988-Q4</t>
        </is>
      </c>
      <c r="B168" s="87" t="n">
        <v>32509</v>
      </c>
      <c r="D168" t="n">
        <v>1.58089778</v>
      </c>
      <c r="E168" t="n">
        <v>1.183299725</v>
      </c>
      <c r="F168" t="n">
        <v>0.979884921</v>
      </c>
      <c r="H168" t="n">
        <v>0.697440592</v>
      </c>
      <c r="I168" t="n">
        <v>1.750111656</v>
      </c>
      <c r="M168" t="n">
        <v>1.177546594</v>
      </c>
      <c r="N168" t="n">
        <v>2.460192868</v>
      </c>
      <c r="P168" t="n">
        <v>-0.224281664</v>
      </c>
      <c r="S168" t="n">
        <v>1.850135187</v>
      </c>
      <c r="T168" t="n">
        <v>1.051116577</v>
      </c>
      <c r="U168" t="n">
        <v>1.1674</v>
      </c>
      <c r="V168" t="n">
        <v>0.832518866</v>
      </c>
      <c r="W168" t="n">
        <v>1.817496476</v>
      </c>
      <c r="Z168" t="n">
        <v>1.010502067</v>
      </c>
      <c r="AA168" t="n">
        <v>-0.057924087</v>
      </c>
      <c r="AC168" t="n">
        <v>1.193897196</v>
      </c>
      <c r="AD168" t="n">
        <v>1.053823715</v>
      </c>
      <c r="AE168" t="n">
        <v>3.254636181</v>
      </c>
      <c r="AF168" t="n">
        <v>2.926296302</v>
      </c>
      <c r="AH168" t="n">
        <v>1.992230561</v>
      </c>
      <c r="AI168" t="n">
        <v>0.930330374</v>
      </c>
      <c r="AJ168" t="n">
        <v>0.143202542</v>
      </c>
      <c r="AK168" t="n">
        <v>-0.874530439</v>
      </c>
      <c r="AL168" t="n">
        <v>1.172235063</v>
      </c>
      <c r="AN168" t="n">
        <v>1.319190173</v>
      </c>
      <c r="AR168" t="n">
        <v>2.116756794</v>
      </c>
      <c r="AT168" t="n">
        <v>1.332500553</v>
      </c>
      <c r="AU168" t="n">
        <v>0.938980474</v>
      </c>
    </row>
    <row r="169">
      <c r="A169" t="inlineStr">
        <is>
          <t>1989-Q1</t>
        </is>
      </c>
      <c r="B169" s="87" t="n">
        <v>32599</v>
      </c>
      <c r="D169" t="n">
        <v>1.014801469</v>
      </c>
      <c r="E169" t="n">
        <v>0.823139698</v>
      </c>
      <c r="F169" t="n">
        <v>0.76019039</v>
      </c>
      <c r="H169" t="n">
        <v>1.14072018</v>
      </c>
      <c r="I169" t="n">
        <v>0.317756372</v>
      </c>
      <c r="M169" t="n">
        <v>1.045142904</v>
      </c>
      <c r="N169" t="n">
        <v>1.130299648</v>
      </c>
      <c r="P169" t="n">
        <v>2.358130461</v>
      </c>
      <c r="S169" t="n">
        <v>1.19458455</v>
      </c>
      <c r="T169" t="n">
        <v>1.271557272</v>
      </c>
      <c r="U169" t="n">
        <v>1.261302</v>
      </c>
      <c r="V169" t="n">
        <v>0.407737802</v>
      </c>
      <c r="W169" t="n">
        <v>3.492845301</v>
      </c>
      <c r="Z169" t="n">
        <v>1.206530316</v>
      </c>
      <c r="AA169" t="n">
        <v>0.198630532</v>
      </c>
      <c r="AC169" t="n">
        <v>0.621204493</v>
      </c>
      <c r="AD169" t="n">
        <v>2.698039962</v>
      </c>
      <c r="AE169" t="n">
        <v>0.043277553</v>
      </c>
      <c r="AF169" t="n">
        <v>2.648368327</v>
      </c>
      <c r="AH169" t="n">
        <v>1.873677883</v>
      </c>
      <c r="AI169" t="n">
        <v>1.517731509</v>
      </c>
      <c r="AJ169" t="n">
        <v>-0.653577383</v>
      </c>
      <c r="AK169" t="n">
        <v>1.275417715</v>
      </c>
      <c r="AL169" t="n">
        <v>1.226773146</v>
      </c>
      <c r="AN169" t="n">
        <v>3.766029175</v>
      </c>
      <c r="AR169" t="n">
        <v>0.164711547</v>
      </c>
      <c r="AT169" t="n">
        <v>1.016597674</v>
      </c>
      <c r="AU169" t="n">
        <v>0.619315947</v>
      </c>
    </row>
    <row r="170">
      <c r="A170" t="inlineStr">
        <is>
          <t>1989-Q2</t>
        </is>
      </c>
      <c r="B170" s="87" t="n">
        <v>32690</v>
      </c>
      <c r="D170" t="n">
        <v>2.10873796</v>
      </c>
      <c r="E170" t="n">
        <v>0.475649301</v>
      </c>
      <c r="F170" t="n">
        <v>0.961123679</v>
      </c>
      <c r="H170" t="n">
        <v>0.382183085</v>
      </c>
      <c r="I170" t="n">
        <v>1.809704335</v>
      </c>
      <c r="M170" t="n">
        <v>0.402547977</v>
      </c>
      <c r="N170" t="n">
        <v>-2.001584299</v>
      </c>
      <c r="P170" t="n">
        <v>0.984088837</v>
      </c>
      <c r="S170" t="n">
        <v>1.757607555</v>
      </c>
      <c r="T170" t="n">
        <v>0.823223081</v>
      </c>
      <c r="U170" t="n">
        <v>0.304749</v>
      </c>
      <c r="V170" t="n">
        <v>0.626372861</v>
      </c>
      <c r="W170" t="n">
        <v>-1.108916435</v>
      </c>
      <c r="Z170" t="n">
        <v>1.581667362</v>
      </c>
      <c r="AA170" t="n">
        <v>0.315227277</v>
      </c>
      <c r="AC170" t="n">
        <v>0.432396865</v>
      </c>
      <c r="AD170" t="n">
        <v>-1.30573169</v>
      </c>
      <c r="AE170" t="n">
        <v>1.460586398</v>
      </c>
      <c r="AF170" t="n">
        <v>2.140820765</v>
      </c>
      <c r="AH170" t="n">
        <v>0.038205539</v>
      </c>
      <c r="AI170" t="n">
        <v>1.245802409</v>
      </c>
      <c r="AJ170" t="n">
        <v>1.17940318</v>
      </c>
      <c r="AK170" t="n">
        <v>0.580148223</v>
      </c>
      <c r="AL170" t="n">
        <v>0.38959065</v>
      </c>
      <c r="AN170" t="n">
        <v>-1.41413539</v>
      </c>
      <c r="AR170" t="n">
        <v>0.675412149</v>
      </c>
      <c r="AT170" t="n">
        <v>0.763265657</v>
      </c>
      <c r="AU170" t="n">
        <v>0.433857416</v>
      </c>
    </row>
    <row r="171">
      <c r="A171" t="inlineStr">
        <is>
          <t>1989-Q3</t>
        </is>
      </c>
      <c r="B171" s="87" t="n">
        <v>32782</v>
      </c>
      <c r="D171" t="n">
        <v>0.8424811210000001</v>
      </c>
      <c r="E171" t="n">
        <v>0.829097953</v>
      </c>
      <c r="F171" t="n">
        <v>0.37144843</v>
      </c>
      <c r="H171" t="n">
        <v>0.357792585</v>
      </c>
      <c r="I171" t="n">
        <v>0.715132684</v>
      </c>
      <c r="M171" t="n">
        <v>0.9132452559999999</v>
      </c>
      <c r="N171" t="n">
        <v>-1.486353377</v>
      </c>
      <c r="P171" t="n">
        <v>1.339679544</v>
      </c>
      <c r="S171" t="n">
        <v>1.178506979</v>
      </c>
      <c r="T171" t="n">
        <v>1.077837938</v>
      </c>
      <c r="U171" t="n">
        <v>0.916706</v>
      </c>
      <c r="V171" t="n">
        <v>0.067311473</v>
      </c>
      <c r="W171" t="n">
        <v>-1.374559638</v>
      </c>
      <c r="Z171" t="n">
        <v>2.164625023</v>
      </c>
      <c r="AA171" t="n">
        <v>0.322138084</v>
      </c>
      <c r="AC171" t="n">
        <v>1.042437027</v>
      </c>
      <c r="AD171" t="n">
        <v>1.749678162</v>
      </c>
      <c r="AE171" t="n">
        <v>2.564383464</v>
      </c>
      <c r="AF171" t="n">
        <v>1.463473366</v>
      </c>
      <c r="AH171" t="n">
        <v>1.864123977</v>
      </c>
      <c r="AI171" t="n">
        <v>0.87768189</v>
      </c>
      <c r="AJ171" t="n">
        <v>0.972886657</v>
      </c>
      <c r="AK171" t="n">
        <v>-1.124522744</v>
      </c>
      <c r="AL171" t="n">
        <v>0.9860398849999999</v>
      </c>
      <c r="AN171" t="n">
        <v>1.972954215</v>
      </c>
      <c r="AR171" t="n">
        <v>0.030821689</v>
      </c>
      <c r="AT171" t="n">
        <v>0.740876994</v>
      </c>
      <c r="AU171" t="n">
        <v>0.080345162</v>
      </c>
    </row>
    <row r="172">
      <c r="A172" t="inlineStr">
        <is>
          <t>1989-Q4</t>
        </is>
      </c>
      <c r="B172" s="87" t="n">
        <v>32874</v>
      </c>
      <c r="D172" t="n">
        <v>-0.26986808</v>
      </c>
      <c r="E172" t="n">
        <v>1.300395898</v>
      </c>
      <c r="F172" t="n">
        <v>1.298638289</v>
      </c>
      <c r="H172" t="n">
        <v>-0.213453123</v>
      </c>
      <c r="I172" t="n">
        <v>1.31966816</v>
      </c>
      <c r="M172" t="n">
        <v>1.158805549</v>
      </c>
      <c r="N172" t="n">
        <v>1.6576394</v>
      </c>
      <c r="P172" t="n">
        <v>-0.166005345</v>
      </c>
      <c r="S172" t="n">
        <v>0.047319186</v>
      </c>
      <c r="T172" t="n">
        <v>1.525526591</v>
      </c>
      <c r="U172" t="n">
        <v>0.955341</v>
      </c>
      <c r="V172" t="n">
        <v>0.06789485100000001</v>
      </c>
      <c r="W172" t="n">
        <v>4.286397704</v>
      </c>
      <c r="Z172" t="n">
        <v>2.593530417</v>
      </c>
      <c r="AA172" t="n">
        <v>0.280219594</v>
      </c>
      <c r="AC172" t="n">
        <v>1.029139679</v>
      </c>
      <c r="AD172" t="n">
        <v>3.098252201</v>
      </c>
      <c r="AE172" t="n">
        <v>4.129775627</v>
      </c>
      <c r="AF172" t="n">
        <v>0.900854462</v>
      </c>
      <c r="AH172" t="n">
        <v>-0.881771666</v>
      </c>
      <c r="AI172" t="n">
        <v>0.80527414</v>
      </c>
      <c r="AJ172" t="n">
        <v>0.700081257</v>
      </c>
      <c r="AK172" t="n">
        <v>-0.193050362</v>
      </c>
      <c r="AL172" t="n">
        <v>0.971869368</v>
      </c>
      <c r="AN172" t="n">
        <v>0.832613301</v>
      </c>
      <c r="AR172" t="n">
        <v>1.307210199</v>
      </c>
      <c r="AT172" t="n">
        <v>0.197050974</v>
      </c>
      <c r="AU172" t="n">
        <v>-0.618832123</v>
      </c>
    </row>
    <row r="173">
      <c r="A173" t="inlineStr">
        <is>
          <t>1990-Q1</t>
        </is>
      </c>
      <c r="B173" s="87" t="n">
        <v>32964</v>
      </c>
      <c r="D173" t="n">
        <v>0.794042998</v>
      </c>
      <c r="E173" t="n">
        <v>1.232355365</v>
      </c>
      <c r="F173" t="n">
        <v>1.563246317</v>
      </c>
      <c r="H173" t="n">
        <v>0.9427601410000001</v>
      </c>
      <c r="I173" t="n">
        <v>1.718724572</v>
      </c>
      <c r="M173" t="n">
        <v>2.075706554</v>
      </c>
      <c r="N173" t="n">
        <v>-0.555739332</v>
      </c>
      <c r="P173" t="n">
        <v>0.87601898</v>
      </c>
      <c r="S173" t="n">
        <v>1.354072902</v>
      </c>
      <c r="T173" t="n">
        <v>0.503870468</v>
      </c>
      <c r="U173" t="n">
        <v>0.776792</v>
      </c>
      <c r="V173" t="n">
        <v>0.648018721</v>
      </c>
      <c r="W173" t="n">
        <v>0.9434539280000001</v>
      </c>
      <c r="Z173" t="n">
        <v>2.525290337</v>
      </c>
      <c r="AA173" t="n">
        <v>0.261792364</v>
      </c>
      <c r="AC173" t="n">
        <v>0.398617358</v>
      </c>
      <c r="AD173" t="n">
        <v>-0.475764015</v>
      </c>
      <c r="AE173" t="n">
        <v>1.01855052</v>
      </c>
      <c r="AF173" t="n">
        <v>0.788354081</v>
      </c>
      <c r="AH173" t="n">
        <v>2.174244872</v>
      </c>
      <c r="AI173" t="n">
        <v>1.253436712</v>
      </c>
      <c r="AJ173" t="n">
        <v>-0.363767302</v>
      </c>
      <c r="AK173" t="n">
        <v>-0.171716375</v>
      </c>
      <c r="AL173" t="n">
        <v>0.950875583</v>
      </c>
      <c r="AN173" t="n">
        <v>1.017439357</v>
      </c>
      <c r="AR173" t="n">
        <v>0.212357079</v>
      </c>
      <c r="AT173" t="n">
        <v>1.092795416</v>
      </c>
      <c r="AU173" t="n">
        <v>0.080051424</v>
      </c>
    </row>
    <row r="174">
      <c r="A174" t="inlineStr">
        <is>
          <t>1990-Q2</t>
        </is>
      </c>
      <c r="B174" s="87" t="n">
        <v>33055</v>
      </c>
      <c r="D174" t="n">
        <v>0.126141221</v>
      </c>
      <c r="E174" t="n">
        <v>1.078142771</v>
      </c>
      <c r="F174" t="n">
        <v>-0.353727874</v>
      </c>
      <c r="H174" t="n">
        <v>-0.41411306</v>
      </c>
      <c r="I174" t="n">
        <v>0.583434107</v>
      </c>
      <c r="M174" t="n">
        <v>0.491660084</v>
      </c>
      <c r="N174" t="n">
        <v>2.248686049</v>
      </c>
      <c r="P174" t="n">
        <v>1.699634141</v>
      </c>
      <c r="S174" t="n">
        <v>-1.376299839</v>
      </c>
      <c r="T174" t="n">
        <v>0.391352761</v>
      </c>
      <c r="U174" t="n">
        <v>0.853523</v>
      </c>
      <c r="V174" t="n">
        <v>0.490921234</v>
      </c>
      <c r="W174" t="n">
        <v>-2.784215709</v>
      </c>
      <c r="Z174" t="n">
        <v>2.059279618</v>
      </c>
      <c r="AA174" t="n">
        <v>0.279188306</v>
      </c>
      <c r="AC174" t="n">
        <v>0.304784304</v>
      </c>
      <c r="AD174" t="n">
        <v>3.153970057</v>
      </c>
      <c r="AE174" t="n">
        <v>2.23062202</v>
      </c>
      <c r="AF174" t="n">
        <v>1.144335786</v>
      </c>
      <c r="AH174" t="n">
        <v>2.169802353</v>
      </c>
      <c r="AI174" t="n">
        <v>0.83691369</v>
      </c>
      <c r="AJ174" t="n">
        <v>1.080264384</v>
      </c>
      <c r="AK174" t="n">
        <v>-0.014950672</v>
      </c>
      <c r="AL174" t="n">
        <v>0.919866741</v>
      </c>
      <c r="AN174" t="n">
        <v>1.870296778</v>
      </c>
      <c r="AR174" t="n">
        <v>-0.305109459</v>
      </c>
      <c r="AT174" t="n">
        <v>0.36291179</v>
      </c>
      <c r="AU174" t="n">
        <v>-0.08252201100000001</v>
      </c>
    </row>
    <row r="175">
      <c r="A175" t="inlineStr">
        <is>
          <t>1990-Q3</t>
        </is>
      </c>
      <c r="B175" s="87" t="n">
        <v>33147</v>
      </c>
      <c r="D175" t="n">
        <v>-0.570961316</v>
      </c>
      <c r="E175" t="n">
        <v>0.826362616</v>
      </c>
      <c r="F175" t="n">
        <v>0.132864989</v>
      </c>
      <c r="H175" t="n">
        <v>-0.707548459</v>
      </c>
      <c r="I175" t="n">
        <v>-0.365506245</v>
      </c>
      <c r="M175" t="n">
        <v>2.105934971</v>
      </c>
      <c r="N175" t="n">
        <v>0.288459453</v>
      </c>
      <c r="P175" t="n">
        <v>-0.29846911</v>
      </c>
      <c r="S175" t="n">
        <v>-2.14259536</v>
      </c>
      <c r="T175" t="n">
        <v>0.458540623</v>
      </c>
      <c r="U175" t="n">
        <v>0.5058510000000001</v>
      </c>
      <c r="V175" t="n">
        <v>-1.059967515</v>
      </c>
      <c r="W175" t="n">
        <v>-6.848247815</v>
      </c>
      <c r="Z175" t="n">
        <v>1.257670078</v>
      </c>
      <c r="AA175" t="n">
        <v>0.327839303</v>
      </c>
      <c r="AC175" t="n">
        <v>0.160344602</v>
      </c>
      <c r="AD175" t="n">
        <v>1.676741547</v>
      </c>
      <c r="AE175" t="n">
        <v>3.232927558</v>
      </c>
      <c r="AF175" t="n">
        <v>1.933530546</v>
      </c>
      <c r="AH175" t="n">
        <v>1.364136563</v>
      </c>
      <c r="AI175" t="n">
        <v>1.362324985</v>
      </c>
      <c r="AJ175" t="n">
        <v>-0.983428603</v>
      </c>
      <c r="AK175" t="n">
        <v>0.913524688</v>
      </c>
      <c r="AL175" t="n">
        <v>0.371033731</v>
      </c>
      <c r="AN175" t="n">
        <v>0.698606862</v>
      </c>
      <c r="AR175" t="n">
        <v>-0.792884966</v>
      </c>
      <c r="AT175" t="n">
        <v>0.066512432</v>
      </c>
      <c r="AU175" t="n">
        <v>-0.08404234100000001</v>
      </c>
    </row>
    <row r="176">
      <c r="A176" t="inlineStr">
        <is>
          <t>1990-Q4</t>
        </is>
      </c>
      <c r="B176" s="87" t="n">
        <v>33239</v>
      </c>
      <c r="D176" t="n">
        <v>0.592887265</v>
      </c>
      <c r="E176" t="n">
        <v>0.6837512019999999</v>
      </c>
      <c r="F176" t="n">
        <v>1.213353942</v>
      </c>
      <c r="H176" t="n">
        <v>-0.891196884</v>
      </c>
      <c r="I176" t="n">
        <v>-0.432186418</v>
      </c>
      <c r="M176" t="n">
        <v>1.760421133</v>
      </c>
      <c r="N176" t="n">
        <v>-1.073961938</v>
      </c>
      <c r="P176" t="n">
        <v>3.78168337</v>
      </c>
      <c r="S176" t="n">
        <v>-0.573305292</v>
      </c>
      <c r="T176" t="n">
        <v>0.361657322</v>
      </c>
      <c r="U176" t="n">
        <v>-0.317485</v>
      </c>
      <c r="V176" t="n">
        <v>-0.360665206</v>
      </c>
      <c r="W176" t="n">
        <v>10.427887993</v>
      </c>
      <c r="Z176" t="n">
        <v>0.45468201</v>
      </c>
      <c r="AA176" t="n">
        <v>0.31654637</v>
      </c>
      <c r="AC176" t="n">
        <v>-0.649584431</v>
      </c>
      <c r="AD176" t="n">
        <v>-0.189979697</v>
      </c>
      <c r="AE176" t="n">
        <v>2.033266271</v>
      </c>
      <c r="AF176" t="n">
        <v>2.632888285</v>
      </c>
      <c r="AH176" t="n">
        <v>1.270953872</v>
      </c>
      <c r="AI176" t="n">
        <v>0.792733374</v>
      </c>
      <c r="AJ176" t="n">
        <v>2.677670275</v>
      </c>
      <c r="AK176" t="n">
        <v>1.168901551</v>
      </c>
      <c r="AL176" t="n">
        <v>0.252043301</v>
      </c>
      <c r="AN176" t="n">
        <v>2.658981232</v>
      </c>
      <c r="AR176" t="n">
        <v>1.13594325</v>
      </c>
      <c r="AT176" t="n">
        <v>-0.9103945409999999</v>
      </c>
      <c r="AU176" t="n">
        <v>0.092815014</v>
      </c>
    </row>
    <row r="177">
      <c r="A177" t="inlineStr">
        <is>
          <t>1991-Q1</t>
        </is>
      </c>
      <c r="B177" s="87" t="n">
        <v>33329</v>
      </c>
      <c r="D177" t="n">
        <v>-1.291435742</v>
      </c>
      <c r="E177" t="n">
        <v>0.692705087</v>
      </c>
      <c r="F177" t="n">
        <v>-0.431525413</v>
      </c>
      <c r="H177" t="n">
        <v>-1.427068555</v>
      </c>
      <c r="I177" t="n">
        <v>0.14597322</v>
      </c>
      <c r="M177" t="n">
        <v>2.834538856</v>
      </c>
      <c r="N177" t="n">
        <v>0.295591234</v>
      </c>
      <c r="P177" t="n">
        <v>-1.921754413</v>
      </c>
      <c r="S177" t="n">
        <v>-1.950046361</v>
      </c>
      <c r="T177" t="n">
        <v>-0.143014685</v>
      </c>
      <c r="U177" t="n">
        <v>0.344833</v>
      </c>
      <c r="V177" t="n">
        <v>-0.315031078</v>
      </c>
      <c r="W177" t="n">
        <v>0.425654387</v>
      </c>
      <c r="Z177" t="n">
        <v>0.02482338</v>
      </c>
      <c r="AA177" t="n">
        <v>0.148932074</v>
      </c>
      <c r="AC177" t="n">
        <v>1.973555466</v>
      </c>
      <c r="AD177" t="n">
        <v>0.871317214</v>
      </c>
      <c r="AE177" t="n">
        <v>3.750176278</v>
      </c>
      <c r="AF177" t="n">
        <v>2.708053464</v>
      </c>
      <c r="AH177" t="n">
        <v>0.275608267</v>
      </c>
      <c r="AI177" t="n">
        <v>-0.406317571</v>
      </c>
      <c r="AJ177" t="n">
        <v>0.848660489</v>
      </c>
      <c r="AK177" t="n">
        <v>-2.422719941</v>
      </c>
      <c r="AL177" t="n">
        <v>0.118227724</v>
      </c>
      <c r="AN177" t="n">
        <v>-2.330576906</v>
      </c>
      <c r="AR177" t="n">
        <v>-0.31136664</v>
      </c>
      <c r="AT177" t="n">
        <v>-0.467867584</v>
      </c>
      <c r="AU177" t="n">
        <v>-0.795422603</v>
      </c>
    </row>
    <row r="178">
      <c r="A178" t="inlineStr">
        <is>
          <t>1991-Q2</t>
        </is>
      </c>
      <c r="B178" s="87" t="n">
        <v>33420</v>
      </c>
      <c r="D178" t="n">
        <v>-0.164203612</v>
      </c>
      <c r="E178" t="n">
        <v>0.9121643</v>
      </c>
      <c r="F178" t="n">
        <v>1.167532986</v>
      </c>
      <c r="H178" t="n">
        <v>0.466260689</v>
      </c>
      <c r="I178" t="n">
        <v>-0.95559206</v>
      </c>
      <c r="M178" t="n">
        <v>-0.529306039</v>
      </c>
      <c r="N178" t="n">
        <v>1.078705412</v>
      </c>
      <c r="P178" t="n">
        <v>1.219274668</v>
      </c>
      <c r="S178" t="n">
        <v>-1.196843878</v>
      </c>
      <c r="T178" t="n">
        <v>0.287513838</v>
      </c>
      <c r="U178" t="n">
        <v>0.477711</v>
      </c>
      <c r="V178" t="n">
        <v>-0.148848557</v>
      </c>
      <c r="W178" t="n">
        <v>-1.718026457</v>
      </c>
      <c r="Z178" t="n">
        <v>0.022640762</v>
      </c>
      <c r="AA178" t="n">
        <v>-0.147785638</v>
      </c>
      <c r="AC178" t="n">
        <v>-0.547240957</v>
      </c>
      <c r="AD178" t="n">
        <v>1.186411273</v>
      </c>
      <c r="AE178" t="n">
        <v>1.661478045</v>
      </c>
      <c r="AF178" t="n">
        <v>2.245888829</v>
      </c>
      <c r="AH178" t="n">
        <v>1.530225799</v>
      </c>
      <c r="AI178" t="n">
        <v>1.172009654</v>
      </c>
      <c r="AJ178" t="n">
        <v>0.522850829</v>
      </c>
      <c r="AK178" t="n">
        <v>-0.679455408</v>
      </c>
      <c r="AL178" t="n">
        <v>0.579100711</v>
      </c>
      <c r="AN178" t="n">
        <v>1.962589301</v>
      </c>
      <c r="AR178" t="n">
        <v>-1.147189466</v>
      </c>
      <c r="AT178" t="n">
        <v>0.7797180379999999</v>
      </c>
      <c r="AU178" t="n">
        <v>-0.225649346</v>
      </c>
    </row>
    <row r="179">
      <c r="A179" t="inlineStr">
        <is>
          <t>1991-Q3</t>
        </is>
      </c>
      <c r="B179" s="87" t="n">
        <v>33512</v>
      </c>
      <c r="D179" t="n">
        <v>0.435059423</v>
      </c>
      <c r="E179" t="n">
        <v>1.109097288</v>
      </c>
      <c r="F179" t="n">
        <v>0.674732007</v>
      </c>
      <c r="H179" t="n">
        <v>0.133908241</v>
      </c>
      <c r="I179" t="n">
        <v>0.000120258</v>
      </c>
      <c r="M179" t="n">
        <v>-0.218317666</v>
      </c>
      <c r="N179" t="n">
        <v>0.740823925</v>
      </c>
      <c r="P179" t="n">
        <v>0.7552724750000001</v>
      </c>
      <c r="S179" t="n">
        <v>-2.057785488</v>
      </c>
      <c r="T179" t="n">
        <v>0.294459657</v>
      </c>
      <c r="U179" t="n">
        <v>0.161089</v>
      </c>
      <c r="V179" t="n">
        <v>-0.242120788</v>
      </c>
      <c r="W179" t="n">
        <v>1.849350809</v>
      </c>
      <c r="Z179" t="n">
        <v>0.387840267</v>
      </c>
      <c r="AA179" t="n">
        <v>-0.591563996</v>
      </c>
      <c r="AC179" t="n">
        <v>0.035820181</v>
      </c>
      <c r="AD179" t="n">
        <v>-0.22137912</v>
      </c>
      <c r="AE179" t="n">
        <v>2.145297059</v>
      </c>
      <c r="AF179" t="n">
        <v>1.345213026</v>
      </c>
      <c r="AH179" t="n">
        <v>0.185943273</v>
      </c>
      <c r="AI179" t="n">
        <v>0.408864799</v>
      </c>
      <c r="AJ179" t="n">
        <v>-0.244288273</v>
      </c>
      <c r="AK179" t="n">
        <v>0.31863776</v>
      </c>
      <c r="AL179" t="n">
        <v>0.289432757</v>
      </c>
      <c r="AN179" t="n">
        <v>1.073590737</v>
      </c>
      <c r="AR179" t="n">
        <v>-0.485888327</v>
      </c>
      <c r="AT179" t="n">
        <v>0.505338431</v>
      </c>
      <c r="AU179" t="n">
        <v>-0.038785793</v>
      </c>
    </row>
    <row r="180">
      <c r="A180" t="inlineStr">
        <is>
          <t>1991-Q4</t>
        </is>
      </c>
      <c r="B180" s="87" t="n">
        <v>33604</v>
      </c>
      <c r="D180" t="n">
        <v>0.060990251</v>
      </c>
      <c r="E180" t="n">
        <v>0.611831277</v>
      </c>
      <c r="F180" t="n">
        <v>0.5059043560000001</v>
      </c>
      <c r="H180" t="n">
        <v>0.184531308</v>
      </c>
      <c r="I180" t="n">
        <v>0.354934987</v>
      </c>
      <c r="M180" t="n">
        <v>1.299062392</v>
      </c>
      <c r="N180" t="n">
        <v>-0.985146169</v>
      </c>
      <c r="P180" t="n">
        <v>0.497512438</v>
      </c>
      <c r="S180" t="n">
        <v>-1.17266231</v>
      </c>
      <c r="T180" t="n">
        <v>0.49475723</v>
      </c>
      <c r="U180" t="n">
        <v>0.578425</v>
      </c>
      <c r="V180" t="n">
        <v>0.151018582</v>
      </c>
      <c r="W180" t="n">
        <v>-0.378222805</v>
      </c>
      <c r="Z180" t="n">
        <v>0.84502496</v>
      </c>
      <c r="AA180" t="n">
        <v>-0.98579378</v>
      </c>
      <c r="AC180" t="n">
        <v>1.173646349</v>
      </c>
      <c r="AD180" t="n">
        <v>0.7023334959999999</v>
      </c>
      <c r="AE180" t="n">
        <v>2.503572026</v>
      </c>
      <c r="AF180" t="n">
        <v>0.419942052</v>
      </c>
      <c r="AH180" t="n">
        <v>1.806169428</v>
      </c>
      <c r="AI180" t="n">
        <v>1.109336867</v>
      </c>
      <c r="AJ180" t="n">
        <v>0.7331931189999999</v>
      </c>
      <c r="AK180" t="n">
        <v>0.645469542</v>
      </c>
      <c r="AL180" t="n">
        <v>0.637857982</v>
      </c>
      <c r="AN180" t="n">
        <v>0.023666545</v>
      </c>
      <c r="AR180" t="n">
        <v>-0.154936158</v>
      </c>
      <c r="AT180" t="n">
        <v>0.348563902</v>
      </c>
      <c r="AU180" t="n">
        <v>-0.172064954</v>
      </c>
    </row>
    <row r="181">
      <c r="A181" t="inlineStr">
        <is>
          <t>1992-Q1</t>
        </is>
      </c>
      <c r="B181" s="87" t="n">
        <v>33695</v>
      </c>
      <c r="D181" t="n">
        <v>0.7635932560000001</v>
      </c>
      <c r="E181" t="n">
        <v>0.383703805</v>
      </c>
      <c r="F181" t="n">
        <v>1.401939339</v>
      </c>
      <c r="H181" t="n">
        <v>0.07289356700000001</v>
      </c>
      <c r="I181" t="n">
        <v>0.755019268</v>
      </c>
      <c r="M181" t="n">
        <v>1.52198092</v>
      </c>
      <c r="N181" t="n">
        <v>1.441056024</v>
      </c>
      <c r="P181" t="n">
        <v>0.997700538</v>
      </c>
      <c r="S181" t="n">
        <v>0.321364563</v>
      </c>
      <c r="T181" t="n">
        <v>0.981187048</v>
      </c>
      <c r="U181" t="n">
        <v>0.793981</v>
      </c>
      <c r="V181" t="n">
        <v>-0.012037926</v>
      </c>
      <c r="W181" t="n">
        <v>2.217449177</v>
      </c>
      <c r="Z181" t="n">
        <v>1.078896145</v>
      </c>
      <c r="AA181" t="n">
        <v>-1.109030913</v>
      </c>
      <c r="AC181" t="n">
        <v>0.268945671</v>
      </c>
      <c r="AD181" t="n">
        <v>0.031100621</v>
      </c>
      <c r="AE181" t="n">
        <v>1.780392603</v>
      </c>
      <c r="AF181" t="n">
        <v>-0.075740707</v>
      </c>
      <c r="AH181" t="n">
        <v>-0.008741364999999999</v>
      </c>
      <c r="AI181" t="n">
        <v>0.707698191</v>
      </c>
      <c r="AJ181" t="n">
        <v>2.126588807</v>
      </c>
      <c r="AK181" t="n">
        <v>0.297902272</v>
      </c>
      <c r="AL181" t="n">
        <v>0.872280809</v>
      </c>
      <c r="AN181" t="n">
        <v>1.768950341</v>
      </c>
      <c r="AR181" t="n">
        <v>0.91757324</v>
      </c>
      <c r="AT181" t="n">
        <v>1.197157574</v>
      </c>
      <c r="AU181" t="n">
        <v>-0.700747897</v>
      </c>
    </row>
    <row r="182">
      <c r="A182" t="inlineStr">
        <is>
          <t>1992-Q2</t>
        </is>
      </c>
      <c r="B182" s="87" t="n">
        <v>33786</v>
      </c>
      <c r="D182" t="n">
        <v>0.716367863</v>
      </c>
      <c r="E182" t="n">
        <v>0.479170189</v>
      </c>
      <c r="F182" t="n">
        <v>-1.215734014</v>
      </c>
      <c r="H182" t="n">
        <v>0.122114907</v>
      </c>
      <c r="I182" t="n">
        <v>-0.398921486</v>
      </c>
      <c r="M182" t="n">
        <v>-0.7711803229999999</v>
      </c>
      <c r="N182" t="n">
        <v>-0.7980383720000001</v>
      </c>
      <c r="P182" t="n">
        <v>-1.303955142</v>
      </c>
      <c r="S182" t="n">
        <v>-1.124253065</v>
      </c>
      <c r="T182" t="n">
        <v>-0.06344309099999999</v>
      </c>
      <c r="U182" t="n">
        <v>0.426129</v>
      </c>
      <c r="V182" t="n">
        <v>-0.137819162</v>
      </c>
      <c r="W182" t="n">
        <v>-3.066086596</v>
      </c>
      <c r="Z182" t="n">
        <v>1.070612909</v>
      </c>
      <c r="AA182" t="n">
        <v>-0.95095968</v>
      </c>
      <c r="AC182" t="n">
        <v>-0.057245116</v>
      </c>
      <c r="AD182" t="n">
        <v>0.35015406</v>
      </c>
      <c r="AE182" t="n">
        <v>0.701694982</v>
      </c>
      <c r="AF182" t="n">
        <v>-0.073511391</v>
      </c>
      <c r="AH182" t="n">
        <v>1.639826199</v>
      </c>
      <c r="AI182" t="n">
        <v>-0.918964154</v>
      </c>
      <c r="AJ182" t="n">
        <v>0.521493005</v>
      </c>
      <c r="AK182" t="n">
        <v>0.007259348</v>
      </c>
      <c r="AL182" t="n">
        <v>0.296817294</v>
      </c>
      <c r="AN182" t="n">
        <v>-0.9193720359999999</v>
      </c>
      <c r="AR182" t="n">
        <v>-0.513647649</v>
      </c>
      <c r="AT182" t="n">
        <v>1.084320604</v>
      </c>
      <c r="AU182" t="n">
        <v>-0.613372611</v>
      </c>
    </row>
    <row r="183">
      <c r="A183" t="inlineStr">
        <is>
          <t>1992-Q3</t>
        </is>
      </c>
      <c r="B183" s="87" t="n">
        <v>33878</v>
      </c>
      <c r="D183" t="n">
        <v>0.988403988</v>
      </c>
      <c r="E183" t="n">
        <v>0.079118778</v>
      </c>
      <c r="F183" t="n">
        <v>0.308941233</v>
      </c>
      <c r="H183" t="n">
        <v>0.53698518</v>
      </c>
      <c r="I183" t="n">
        <v>-1.018233447</v>
      </c>
      <c r="M183" t="n">
        <v>-0.174189929</v>
      </c>
      <c r="N183" t="n">
        <v>2.712643035</v>
      </c>
      <c r="P183" t="n">
        <v>0.0638667</v>
      </c>
      <c r="S183" t="n">
        <v>-0.816173951</v>
      </c>
      <c r="T183" t="n">
        <v>0.0208099</v>
      </c>
      <c r="U183" t="n">
        <v>0.481033</v>
      </c>
      <c r="V183" t="n">
        <v>0.61390373</v>
      </c>
      <c r="W183" t="n">
        <v>1.547949806</v>
      </c>
      <c r="Z183" t="n">
        <v>0.8626600129999999</v>
      </c>
      <c r="AA183" t="n">
        <v>-0.519061305</v>
      </c>
      <c r="AC183" t="n">
        <v>-0.222055678</v>
      </c>
      <c r="AD183" t="n">
        <v>0.117664944</v>
      </c>
      <c r="AE183" t="n">
        <v>0.067624061</v>
      </c>
      <c r="AF183" t="n">
        <v>0.357165266</v>
      </c>
      <c r="AH183" t="n">
        <v>0.928578032</v>
      </c>
      <c r="AI183" t="n">
        <v>0.30420957</v>
      </c>
      <c r="AJ183" t="n">
        <v>1.310034822</v>
      </c>
      <c r="AK183" t="n">
        <v>-0.768668861</v>
      </c>
      <c r="AL183" t="n">
        <v>0.505861125</v>
      </c>
      <c r="AN183" t="n">
        <v>-0.345960037</v>
      </c>
      <c r="AR183" t="n">
        <v>-1.447435642</v>
      </c>
      <c r="AT183" t="n">
        <v>0.9881071890000001</v>
      </c>
      <c r="AU183" t="n">
        <v>-1.157736308</v>
      </c>
    </row>
    <row r="184">
      <c r="A184" t="inlineStr">
        <is>
          <t>1992-Q4</t>
        </is>
      </c>
      <c r="B184" s="87" t="n">
        <v>33970</v>
      </c>
      <c r="D184" t="n">
        <v>2.069850428</v>
      </c>
      <c r="E184" t="n">
        <v>-0.302467443</v>
      </c>
      <c r="F184" t="n">
        <v>-1.232574249</v>
      </c>
      <c r="H184" t="n">
        <v>0.568910538</v>
      </c>
      <c r="I184" t="n">
        <v>-0.7655758539999999</v>
      </c>
      <c r="M184" t="n">
        <v>-0.322148143</v>
      </c>
      <c r="N184" t="n">
        <v>-0.440450662</v>
      </c>
      <c r="P184" t="n">
        <v>-0.651596125</v>
      </c>
      <c r="S184" t="n">
        <v>-0.706680486</v>
      </c>
      <c r="T184" t="n">
        <v>-0.220433704</v>
      </c>
      <c r="U184" t="n">
        <v>0.302633</v>
      </c>
      <c r="V184" t="n">
        <v>0.66754748</v>
      </c>
      <c r="W184" t="n">
        <v>-0.532170776</v>
      </c>
      <c r="Z184" t="n">
        <v>0.616840493</v>
      </c>
      <c r="AA184" t="n">
        <v>0.034808005</v>
      </c>
      <c r="AC184" t="n">
        <v>-0.689307199</v>
      </c>
      <c r="AD184" t="n">
        <v>-0.63750149</v>
      </c>
      <c r="AE184" t="n">
        <v>1.560677644</v>
      </c>
      <c r="AF184" t="n">
        <v>0.920053031</v>
      </c>
      <c r="AH184" t="n">
        <v>0.08330747099999999</v>
      </c>
      <c r="AI184" t="n">
        <v>0.376704761</v>
      </c>
      <c r="AJ184" t="n">
        <v>-0.715831064</v>
      </c>
      <c r="AK184" t="n">
        <v>1.260872291</v>
      </c>
      <c r="AL184" t="n">
        <v>0.262268574</v>
      </c>
      <c r="AN184" t="n">
        <v>-0.159542129</v>
      </c>
      <c r="AR184" t="n">
        <v>-1.372299789</v>
      </c>
      <c r="AT184" t="n">
        <v>1.042879871</v>
      </c>
      <c r="AU184" t="n">
        <v>-0.849714498</v>
      </c>
    </row>
    <row r="185">
      <c r="A185" t="inlineStr">
        <is>
          <t>1993-Q1</t>
        </is>
      </c>
      <c r="B185" s="87" t="n">
        <v>34060</v>
      </c>
      <c r="D185" t="n">
        <v>0.709297951</v>
      </c>
      <c r="E185" t="n">
        <v>-0.239480654</v>
      </c>
      <c r="F185" t="n">
        <v>-0.759719272</v>
      </c>
      <c r="H185" t="n">
        <v>0.639946265</v>
      </c>
      <c r="I185" t="n">
        <v>-0.155093687</v>
      </c>
      <c r="M185" t="n">
        <v>-0.720495046</v>
      </c>
      <c r="N185" t="n">
        <v>-1.201042066</v>
      </c>
      <c r="P185" t="n">
        <v>-0.932984303</v>
      </c>
      <c r="S185" t="n">
        <v>0.234073512</v>
      </c>
      <c r="T185" t="n">
        <v>-0.553225521</v>
      </c>
      <c r="U185" t="n">
        <v>0.221448</v>
      </c>
      <c r="V185" t="n">
        <v>0.690059139</v>
      </c>
      <c r="W185" t="n">
        <v>-2.653931022</v>
      </c>
      <c r="Z185" t="n">
        <v>0.500612148</v>
      </c>
      <c r="AA185" t="n">
        <v>0.530908061</v>
      </c>
      <c r="AC185" t="n">
        <v>-0.13946524</v>
      </c>
      <c r="AD185" t="n">
        <v>1.126858466</v>
      </c>
      <c r="AE185" t="n">
        <v>1.990657829</v>
      </c>
      <c r="AF185" t="n">
        <v>1.277108781</v>
      </c>
      <c r="AH185" t="n">
        <v>-0.03218742</v>
      </c>
      <c r="AI185" t="n">
        <v>0.615912517</v>
      </c>
      <c r="AJ185" t="n">
        <v>-0.657955685</v>
      </c>
      <c r="AK185" t="n">
        <v>1.646058532</v>
      </c>
      <c r="AL185" t="n">
        <v>0.21719468</v>
      </c>
      <c r="AN185" t="n">
        <v>-1.318634595</v>
      </c>
      <c r="AR185" t="n">
        <v>-1.828342023</v>
      </c>
      <c r="AT185" t="n">
        <v>0.166979092</v>
      </c>
      <c r="AU185" t="n">
        <v>1.285733289</v>
      </c>
    </row>
    <row r="186">
      <c r="A186" t="inlineStr">
        <is>
          <t>1993-Q2</t>
        </is>
      </c>
      <c r="B186" s="87" t="n">
        <v>34151</v>
      </c>
      <c r="C186" t="n">
        <v>2.852959296</v>
      </c>
      <c r="D186" t="n">
        <v>0.5835778190000001</v>
      </c>
      <c r="E186" t="n">
        <v>0.570548661</v>
      </c>
      <c r="F186" t="n">
        <v>1.010258312</v>
      </c>
      <c r="H186" t="n">
        <v>0.910433228</v>
      </c>
      <c r="I186" t="n">
        <v>1.105270328</v>
      </c>
      <c r="M186" t="n">
        <v>-0.027127149</v>
      </c>
      <c r="N186" t="n">
        <v>-0.413519134</v>
      </c>
      <c r="P186" t="n">
        <v>-0.00677533</v>
      </c>
      <c r="S186" t="n">
        <v>-0.192501893</v>
      </c>
      <c r="T186" t="n">
        <v>0.041669653</v>
      </c>
      <c r="U186" t="n">
        <v>0.192005</v>
      </c>
      <c r="V186" t="n">
        <v>0.47472243</v>
      </c>
      <c r="W186" t="n">
        <v>1.7093619</v>
      </c>
      <c r="Z186" t="n">
        <v>0.530791567</v>
      </c>
      <c r="AA186" t="n">
        <v>0.904943833</v>
      </c>
      <c r="AC186" t="n">
        <v>-0.241254257</v>
      </c>
      <c r="AD186" t="n">
        <v>-0.633145863</v>
      </c>
      <c r="AE186" t="n">
        <v>2.565331673</v>
      </c>
      <c r="AF186" t="n">
        <v>1.392368245</v>
      </c>
      <c r="AH186" t="n">
        <v>0.264788121</v>
      </c>
      <c r="AI186" t="n">
        <v>0.249895847</v>
      </c>
      <c r="AJ186" t="n">
        <v>1.736165313</v>
      </c>
      <c r="AK186" t="n">
        <v>2.21149533</v>
      </c>
      <c r="AL186" t="n">
        <v>0.42580278</v>
      </c>
      <c r="AN186" t="n">
        <v>0.050113557</v>
      </c>
      <c r="AP186" t="n">
        <v>1.3909376</v>
      </c>
      <c r="AR186" t="n">
        <v>1.306280455</v>
      </c>
      <c r="AT186" t="n">
        <v>0.5821134529999999</v>
      </c>
      <c r="AU186" t="n">
        <v>0.6827638620000001</v>
      </c>
    </row>
    <row r="187">
      <c r="A187" t="inlineStr">
        <is>
          <t>1993-Q3</t>
        </is>
      </c>
      <c r="B187" s="87" t="n">
        <v>34243</v>
      </c>
      <c r="C187" t="n">
        <v>2.010235835</v>
      </c>
      <c r="D187" t="n">
        <v>0.122741622</v>
      </c>
      <c r="E187" t="n">
        <v>1.019556979</v>
      </c>
      <c r="F187" t="n">
        <v>0.31644804</v>
      </c>
      <c r="H187" t="n">
        <v>0.953047096</v>
      </c>
      <c r="I187" t="n">
        <v>0.354940896</v>
      </c>
      <c r="M187" t="n">
        <v>0.59701302</v>
      </c>
      <c r="N187" t="n">
        <v>0.165747008</v>
      </c>
      <c r="P187" t="n">
        <v>1.203186557</v>
      </c>
      <c r="S187" t="n">
        <v>0.572295823</v>
      </c>
      <c r="T187" t="n">
        <v>0.124160985</v>
      </c>
      <c r="U187" t="n">
        <v>0.241152</v>
      </c>
      <c r="V187" t="n">
        <v>0.784885611</v>
      </c>
      <c r="W187" t="n">
        <v>0.340400849</v>
      </c>
      <c r="Z187" t="n">
        <v>0.713412997</v>
      </c>
      <c r="AA187" t="n">
        <v>1.210698929</v>
      </c>
      <c r="AC187" t="n">
        <v>-0.157708891</v>
      </c>
      <c r="AD187" t="n">
        <v>-0.717862391</v>
      </c>
      <c r="AE187" t="n">
        <v>1.843683328</v>
      </c>
      <c r="AF187" t="n">
        <v>1.336455741</v>
      </c>
      <c r="AH187" t="n">
        <v>1.018229373</v>
      </c>
      <c r="AI187" t="n">
        <v>0.817258299</v>
      </c>
      <c r="AJ187" t="n">
        <v>1.992487571</v>
      </c>
      <c r="AK187" t="n">
        <v>2.026419276</v>
      </c>
      <c r="AL187" t="n">
        <v>0.391587967</v>
      </c>
      <c r="AN187" t="n">
        <v>0.695529051</v>
      </c>
      <c r="AP187" t="n">
        <v>1.159824799</v>
      </c>
      <c r="AR187" t="n">
        <v>1.372513582</v>
      </c>
      <c r="AT187" t="n">
        <v>0.477156587</v>
      </c>
      <c r="AU187" t="n">
        <v>1.282386428</v>
      </c>
    </row>
    <row r="188">
      <c r="A188" t="inlineStr">
        <is>
          <t>1993-Q4</t>
        </is>
      </c>
      <c r="B188" s="87" t="n">
        <v>34335</v>
      </c>
      <c r="C188" t="n">
        <v>0.8054548</v>
      </c>
      <c r="D188" t="n">
        <v>1.836605446</v>
      </c>
      <c r="E188" t="n">
        <v>0.70270054</v>
      </c>
      <c r="F188" t="n">
        <v>0.952396909</v>
      </c>
      <c r="H188" t="n">
        <v>0.431683602</v>
      </c>
      <c r="I188" t="n">
        <v>0.595240256</v>
      </c>
      <c r="M188" t="n">
        <v>-0.09441251000000001</v>
      </c>
      <c r="N188" t="n">
        <v>2.188264271</v>
      </c>
      <c r="P188" t="n">
        <v>0.376845971</v>
      </c>
      <c r="S188" t="n">
        <v>0.754527163</v>
      </c>
      <c r="T188" t="n">
        <v>0.275571148</v>
      </c>
      <c r="U188" t="n">
        <v>0.8463310000000001</v>
      </c>
      <c r="V188" t="n">
        <v>0.66848534</v>
      </c>
      <c r="W188" t="n">
        <v>0.19928804</v>
      </c>
      <c r="Z188" t="n">
        <v>1.002046454</v>
      </c>
      <c r="AA188" t="n">
        <v>1.34170469</v>
      </c>
      <c r="AC188" t="n">
        <v>0.73313065</v>
      </c>
      <c r="AD188" t="n">
        <v>0.630002484</v>
      </c>
      <c r="AE188" t="n">
        <v>1.913663988</v>
      </c>
      <c r="AF188" t="n">
        <v>1.162644387</v>
      </c>
      <c r="AH188" t="n">
        <v>1.317613589</v>
      </c>
      <c r="AI188" t="n">
        <v>-0.620387229</v>
      </c>
      <c r="AJ188" t="n">
        <v>3.557989504</v>
      </c>
      <c r="AK188" t="n">
        <v>0.932306106</v>
      </c>
      <c r="AL188" t="n">
        <v>0.870500022</v>
      </c>
      <c r="AN188" t="n">
        <v>0.335461909</v>
      </c>
      <c r="AP188" t="n">
        <v>1.506506636</v>
      </c>
      <c r="AR188" t="n">
        <v>-0.177837307</v>
      </c>
      <c r="AT188" t="n">
        <v>1.36007556</v>
      </c>
      <c r="AU188" t="n">
        <v>0.853492158</v>
      </c>
    </row>
    <row r="189">
      <c r="A189" t="inlineStr">
        <is>
          <t>1994-Q1</t>
        </is>
      </c>
      <c r="B189" s="87" t="n">
        <v>34425</v>
      </c>
      <c r="C189" t="n">
        <v>1.421339214</v>
      </c>
      <c r="D189" t="n">
        <v>1.633351102</v>
      </c>
      <c r="E189" t="n">
        <v>0.321515999</v>
      </c>
      <c r="F189" t="n">
        <v>0.70359509</v>
      </c>
      <c r="H189" t="n">
        <v>1.473568699</v>
      </c>
      <c r="I189" t="n">
        <v>0.496256096</v>
      </c>
      <c r="M189" t="n">
        <v>1.397299051</v>
      </c>
      <c r="N189" t="n">
        <v>1.222447407</v>
      </c>
      <c r="P189" t="n">
        <v>0.827092028</v>
      </c>
      <c r="S189" t="n">
        <v>0.664628058</v>
      </c>
      <c r="T189" t="n">
        <v>0.729049408</v>
      </c>
      <c r="U189" t="n">
        <v>1.008184</v>
      </c>
      <c r="V189" t="n">
        <v>1.165132687</v>
      </c>
      <c r="W189" t="n">
        <v>-0.792530175</v>
      </c>
      <c r="Z189" t="n">
        <v>1.350757536</v>
      </c>
      <c r="AA189" t="n">
        <v>1.202459074</v>
      </c>
      <c r="AC189" t="n">
        <v>0.7616686110000001</v>
      </c>
      <c r="AD189" t="n">
        <v>0.901326294</v>
      </c>
      <c r="AE189" t="n">
        <v>2.916855703</v>
      </c>
      <c r="AF189" t="n">
        <v>0.949749123</v>
      </c>
      <c r="AH189" t="n">
        <v>1.029432141</v>
      </c>
      <c r="AI189" t="n">
        <v>1.49653161</v>
      </c>
      <c r="AJ189" t="n">
        <v>-1.140091879</v>
      </c>
      <c r="AK189" t="n">
        <v>1.515846218</v>
      </c>
      <c r="AL189" t="n">
        <v>0.946784119</v>
      </c>
      <c r="AN189" t="n">
        <v>0.33869414</v>
      </c>
      <c r="AP189" t="n">
        <v>1.788229087</v>
      </c>
      <c r="AR189" t="n">
        <v>1.146670229</v>
      </c>
      <c r="AT189" t="n">
        <v>0.97031284</v>
      </c>
      <c r="AU189" t="n">
        <v>-0.047133474</v>
      </c>
    </row>
    <row r="190">
      <c r="A190" t="inlineStr">
        <is>
          <t>1994-Q2</t>
        </is>
      </c>
      <c r="B190" s="87" t="n">
        <v>34516</v>
      </c>
      <c r="C190" t="n">
        <v>2.06825957</v>
      </c>
      <c r="D190" t="n">
        <v>1.198442287</v>
      </c>
      <c r="E190" t="n">
        <v>0.172232155</v>
      </c>
      <c r="F190" t="n">
        <v>1.149795769</v>
      </c>
      <c r="H190" t="n">
        <v>1.461328599</v>
      </c>
      <c r="I190" t="n">
        <v>-1.035444843</v>
      </c>
      <c r="L190" t="n">
        <v>0.967110121</v>
      </c>
      <c r="M190" t="n">
        <v>0.239649208</v>
      </c>
      <c r="N190" t="n">
        <v>2.928826792</v>
      </c>
      <c r="P190" t="n">
        <v>0.219252651</v>
      </c>
      <c r="S190" t="n">
        <v>0.867921019</v>
      </c>
      <c r="T190" t="n">
        <v>1.085003292</v>
      </c>
      <c r="U190" t="n">
        <v>0.801968</v>
      </c>
      <c r="V190" t="n">
        <v>1.142664085</v>
      </c>
      <c r="W190" t="n">
        <v>1.218187105</v>
      </c>
      <c r="Z190" t="n">
        <v>1.729523864</v>
      </c>
      <c r="AA190" t="n">
        <v>0.853415134</v>
      </c>
      <c r="AC190" t="n">
        <v>0.723639097</v>
      </c>
      <c r="AD190" t="n">
        <v>-0.575179431</v>
      </c>
      <c r="AE190" t="n">
        <v>1.631592096</v>
      </c>
      <c r="AF190" t="n">
        <v>0.753364699</v>
      </c>
      <c r="AH190" t="n">
        <v>2.103200845</v>
      </c>
      <c r="AI190" t="n">
        <v>1.150384582</v>
      </c>
      <c r="AJ190" t="n">
        <v>2.328807905</v>
      </c>
      <c r="AK190" t="n">
        <v>0.665316557</v>
      </c>
      <c r="AL190" t="n">
        <v>0.550836328</v>
      </c>
      <c r="AN190" t="n">
        <v>1.295817808</v>
      </c>
      <c r="AP190" t="n">
        <v>1.218534052</v>
      </c>
      <c r="AR190" t="n">
        <v>1.015110169</v>
      </c>
      <c r="AT190" t="n">
        <v>1.355099752</v>
      </c>
      <c r="AU190" t="n">
        <v>0.975661962</v>
      </c>
    </row>
    <row r="191">
      <c r="A191" t="inlineStr">
        <is>
          <t>1994-Q3</t>
        </is>
      </c>
      <c r="B191" s="87" t="n">
        <v>34608</v>
      </c>
      <c r="C191" t="n">
        <v>0.252390576</v>
      </c>
      <c r="D191" t="n">
        <v>0.771360332</v>
      </c>
      <c r="E191" t="n">
        <v>0.906741452</v>
      </c>
      <c r="F191" t="n">
        <v>0.279731148</v>
      </c>
      <c r="H191" t="n">
        <v>1.278408105</v>
      </c>
      <c r="I191" t="n">
        <v>1.074304501</v>
      </c>
      <c r="L191" t="n">
        <v>1.359144477</v>
      </c>
      <c r="M191" t="n">
        <v>0.70394541</v>
      </c>
      <c r="N191" t="n">
        <v>-0.468871678</v>
      </c>
      <c r="P191" t="n">
        <v>0.793995059</v>
      </c>
      <c r="S191" t="n">
        <v>2.283273409</v>
      </c>
      <c r="T191" t="n">
        <v>0.540830918</v>
      </c>
      <c r="U191" t="n">
        <v>0.768387</v>
      </c>
      <c r="V191" t="n">
        <v>1.088298627</v>
      </c>
      <c r="W191" t="n">
        <v>2.682229849</v>
      </c>
      <c r="Z191" t="n">
        <v>2.188891878</v>
      </c>
      <c r="AA191" t="n">
        <v>0.306349476</v>
      </c>
      <c r="AC191" t="n">
        <v>0.6234692590000001</v>
      </c>
      <c r="AD191" t="n">
        <v>1.172157573</v>
      </c>
      <c r="AE191" t="n">
        <v>1.682199111</v>
      </c>
      <c r="AF191" t="n">
        <v>0.557057233</v>
      </c>
      <c r="AH191" t="n">
        <v>0.766440421</v>
      </c>
      <c r="AI191" t="n">
        <v>0.758168233</v>
      </c>
      <c r="AJ191" t="n">
        <v>-1.358435673</v>
      </c>
      <c r="AK191" t="n">
        <v>1.711957235</v>
      </c>
      <c r="AL191" t="n">
        <v>0.897703306</v>
      </c>
      <c r="AN191" t="n">
        <v>0.452189918</v>
      </c>
      <c r="AP191" t="n">
        <v>1.899671272</v>
      </c>
      <c r="AR191" t="n">
        <v>1.164290394</v>
      </c>
      <c r="AT191" t="n">
        <v>0.584536016</v>
      </c>
      <c r="AU191" t="n">
        <v>1.124515257</v>
      </c>
    </row>
    <row r="192">
      <c r="A192" t="inlineStr">
        <is>
          <t>1994-Q4</t>
        </is>
      </c>
      <c r="B192" s="87" t="n">
        <v>34700</v>
      </c>
      <c r="C192" t="n">
        <v>1.240934576</v>
      </c>
      <c r="D192" t="n">
        <v>1.044894461</v>
      </c>
      <c r="E192" t="n">
        <v>1.350074333</v>
      </c>
      <c r="F192" t="n">
        <v>1.682112024</v>
      </c>
      <c r="H192" t="n">
        <v>0.729647389</v>
      </c>
      <c r="I192" t="n">
        <v>0.49572577</v>
      </c>
      <c r="L192" t="n">
        <v>2.186255117</v>
      </c>
      <c r="M192" t="n">
        <v>1.17382955</v>
      </c>
      <c r="N192" t="n">
        <v>2.508937106</v>
      </c>
      <c r="P192" t="n">
        <v>0.374223486</v>
      </c>
      <c r="S192" t="n">
        <v>2.517726235</v>
      </c>
      <c r="T192" t="n">
        <v>0.887932125</v>
      </c>
      <c r="U192" t="n">
        <v>0.776819</v>
      </c>
      <c r="V192" t="n">
        <v>0.5422740700000001</v>
      </c>
      <c r="W192" t="n">
        <v>-0.82163945</v>
      </c>
      <c r="Z192" t="n">
        <v>2.532276072</v>
      </c>
      <c r="AA192" t="n">
        <v>-0.182250763</v>
      </c>
      <c r="AC192" t="n">
        <v>0.938947453</v>
      </c>
      <c r="AD192" t="n">
        <v>-0.39597084</v>
      </c>
      <c r="AE192" t="n">
        <v>3.930438208</v>
      </c>
      <c r="AF192" t="n">
        <v>0.383915746</v>
      </c>
      <c r="AH192" t="n">
        <v>1.159217201</v>
      </c>
      <c r="AI192" t="n">
        <v>0.946897658</v>
      </c>
      <c r="AJ192" t="n">
        <v>3.952007956</v>
      </c>
      <c r="AK192" t="n">
        <v>1.330066303</v>
      </c>
      <c r="AL192" t="n">
        <v>0.967486578</v>
      </c>
      <c r="AN192" t="n">
        <v>1.201951322</v>
      </c>
      <c r="AP192" t="n">
        <v>1.416354765</v>
      </c>
      <c r="AR192" t="n">
        <v>1.518112806</v>
      </c>
      <c r="AT192" t="n">
        <v>1.145518265</v>
      </c>
      <c r="AU192" t="n">
        <v>1.858295375</v>
      </c>
    </row>
    <row r="193">
      <c r="A193" t="inlineStr">
        <is>
          <t>1995-Q1</t>
        </is>
      </c>
      <c r="B193" s="87" t="n">
        <v>34790</v>
      </c>
      <c r="C193" t="n">
        <v>-1.543121762</v>
      </c>
      <c r="D193" t="n">
        <v>0.039870548</v>
      </c>
      <c r="E193" t="n">
        <v>0.836180191</v>
      </c>
      <c r="F193" t="n">
        <v>-0.055348257</v>
      </c>
      <c r="H193" t="n">
        <v>0.929487425</v>
      </c>
      <c r="I193" t="n">
        <v>-0.388178465</v>
      </c>
      <c r="L193" t="n">
        <v>1.708041588</v>
      </c>
      <c r="M193" t="n">
        <v>-0.332409422</v>
      </c>
      <c r="N193" t="n">
        <v>0.514218948</v>
      </c>
      <c r="P193" t="n">
        <v>1.142035499</v>
      </c>
      <c r="S193" t="n">
        <v>-0.8264462809999999</v>
      </c>
      <c r="T193" t="n">
        <v>0.571820384</v>
      </c>
      <c r="U193" t="n">
        <v>0.517594</v>
      </c>
      <c r="V193" t="n">
        <v>0.368565149</v>
      </c>
      <c r="W193" t="n">
        <v>-0.040633383</v>
      </c>
      <c r="Z193" t="n">
        <v>6.297910321</v>
      </c>
      <c r="AA193" t="n">
        <v>-3.004450734</v>
      </c>
      <c r="AC193" t="n">
        <v>1.255574938</v>
      </c>
      <c r="AD193" t="n">
        <v>1.106828619</v>
      </c>
      <c r="AE193" t="n">
        <v>2.090489418</v>
      </c>
      <c r="AF193" t="n">
        <v>1.175591279</v>
      </c>
      <c r="AH193" t="n">
        <v>-5.746706155</v>
      </c>
      <c r="AI193" t="n">
        <v>0.680302747</v>
      </c>
      <c r="AJ193" t="n">
        <v>-0.781159062</v>
      </c>
      <c r="AK193" t="n">
        <v>1.212418045</v>
      </c>
      <c r="AL193" t="n">
        <v>0.384455505</v>
      </c>
      <c r="AN193" t="n">
        <v>0.174836529</v>
      </c>
      <c r="AP193" t="n">
        <v>1.516137119</v>
      </c>
      <c r="AR193" t="n">
        <v>1.288298893</v>
      </c>
      <c r="AT193" t="n">
        <v>0.35469547</v>
      </c>
      <c r="AU193" t="n">
        <v>0.24994674</v>
      </c>
    </row>
    <row r="194">
      <c r="A194" t="inlineStr">
        <is>
          <t>1995-Q2</t>
        </is>
      </c>
      <c r="B194" s="87" t="n">
        <v>34881</v>
      </c>
      <c r="C194" t="n">
        <v>-3.790303996</v>
      </c>
      <c r="D194" t="n">
        <v>0.401938463</v>
      </c>
      <c r="E194" t="n">
        <v>0.424044226</v>
      </c>
      <c r="F194" t="n">
        <v>0.42061728</v>
      </c>
      <c r="H194" t="n">
        <v>0.040377509</v>
      </c>
      <c r="I194" t="n">
        <v>0.060417016</v>
      </c>
      <c r="J194" t="n">
        <v>2.757814856</v>
      </c>
      <c r="L194" t="n">
        <v>0.395624855</v>
      </c>
      <c r="M194" t="n">
        <v>0.732503229</v>
      </c>
      <c r="N194" t="n">
        <v>-0.286098332</v>
      </c>
      <c r="O194" t="n">
        <v>0.557234</v>
      </c>
      <c r="P194" t="n">
        <v>0.620257229</v>
      </c>
      <c r="Q194" t="n">
        <v>-0.988347898</v>
      </c>
      <c r="R194" t="n">
        <v>1.081356</v>
      </c>
      <c r="S194" t="n">
        <v>2.686170213</v>
      </c>
      <c r="T194" t="n">
        <v>0.481312263</v>
      </c>
      <c r="U194" t="n">
        <v>0.446572</v>
      </c>
      <c r="V194" t="n">
        <v>0.36311861</v>
      </c>
      <c r="W194" t="n">
        <v>0.947533377</v>
      </c>
      <c r="X194" t="n">
        <v>-0.154806261</v>
      </c>
      <c r="Z194" t="n">
        <v>0.77267598</v>
      </c>
      <c r="AA194" t="n">
        <v>2.721451777</v>
      </c>
      <c r="AB194" t="n">
        <v>2.433780552</v>
      </c>
      <c r="AC194" t="n">
        <v>0.07015135</v>
      </c>
      <c r="AD194" t="n">
        <v>0.919957117</v>
      </c>
      <c r="AE194" t="n">
        <v>2.021824591</v>
      </c>
      <c r="AF194" t="n">
        <v>1.049264784</v>
      </c>
      <c r="AG194" t="n">
        <v>0.569997766</v>
      </c>
      <c r="AH194" t="n">
        <v>-4.893619964</v>
      </c>
      <c r="AI194" t="n">
        <v>0.784550155</v>
      </c>
      <c r="AJ194" t="n">
        <v>0.872547564</v>
      </c>
      <c r="AK194" t="n">
        <v>1.277317515</v>
      </c>
      <c r="AL194" t="n">
        <v>0.363048266</v>
      </c>
      <c r="AM194" t="n">
        <v>1.807801519</v>
      </c>
      <c r="AN194" t="n">
        <v>1.179121107</v>
      </c>
      <c r="AP194" t="n">
        <v>1.665255225</v>
      </c>
      <c r="AQ194" t="n">
        <v>0.211693192</v>
      </c>
      <c r="AR194" t="n">
        <v>0.426748156</v>
      </c>
      <c r="AT194" t="n">
        <v>0.298305699</v>
      </c>
      <c r="AU194" t="n">
        <v>0.287484075</v>
      </c>
    </row>
    <row r="195">
      <c r="A195" t="inlineStr">
        <is>
          <t>1995-Q3</t>
        </is>
      </c>
      <c r="B195" s="87" t="n">
        <v>34973</v>
      </c>
      <c r="C195" t="n">
        <v>-0.386299513</v>
      </c>
      <c r="D195" t="n">
        <v>2.256286818</v>
      </c>
      <c r="E195" t="n">
        <v>0.226812689</v>
      </c>
      <c r="F195" t="n">
        <v>0.599565735</v>
      </c>
      <c r="H195" t="n">
        <v>0.131784833</v>
      </c>
      <c r="I195" t="n">
        <v>0.505237364</v>
      </c>
      <c r="J195" t="n">
        <v>0.489260671</v>
      </c>
      <c r="L195" t="n">
        <v>2.919067488</v>
      </c>
      <c r="M195" t="n">
        <v>0.194780866</v>
      </c>
      <c r="N195" t="n">
        <v>0.4170515</v>
      </c>
      <c r="O195" t="n">
        <v>0.219679</v>
      </c>
      <c r="P195" t="n">
        <v>0.403677327</v>
      </c>
      <c r="Q195" t="n">
        <v>-0.337690622</v>
      </c>
      <c r="R195" t="n">
        <v>0.393811</v>
      </c>
      <c r="S195" t="n">
        <v>-0.451811563</v>
      </c>
      <c r="T195" t="n">
        <v>0.074939744</v>
      </c>
      <c r="U195" t="n">
        <v>0.73029</v>
      </c>
      <c r="V195" t="n">
        <v>0.9837479139999999</v>
      </c>
      <c r="W195" t="n">
        <v>0.537860114</v>
      </c>
      <c r="X195" t="n">
        <v>0.016070991</v>
      </c>
      <c r="Z195" t="n">
        <v>0.974272324</v>
      </c>
      <c r="AA195" t="n">
        <v>-1.114206821</v>
      </c>
      <c r="AB195" t="n">
        <v>1.240407288</v>
      </c>
      <c r="AC195" t="n">
        <v>0.444805928</v>
      </c>
      <c r="AD195" t="n">
        <v>1.190633258</v>
      </c>
      <c r="AE195" t="n">
        <v>2.075873115</v>
      </c>
      <c r="AF195" t="n">
        <v>1.039608695</v>
      </c>
      <c r="AG195" t="n">
        <v>-1.053424836</v>
      </c>
      <c r="AH195" t="n">
        <v>1.89273498</v>
      </c>
      <c r="AI195" t="n">
        <v>0.785696194</v>
      </c>
      <c r="AJ195" t="n">
        <v>2.356398183</v>
      </c>
      <c r="AK195" t="n">
        <v>0.921916313</v>
      </c>
      <c r="AL195" t="n">
        <v>0.8522298270000001</v>
      </c>
      <c r="AM195" t="n">
        <v>3.560391399</v>
      </c>
      <c r="AN195" t="n">
        <v>0.433832717</v>
      </c>
      <c r="AP195" t="n">
        <v>0.584375334</v>
      </c>
      <c r="AQ195" t="n">
        <v>0.199606322</v>
      </c>
      <c r="AR195" t="n">
        <v>0.501850477</v>
      </c>
      <c r="AT195" t="n">
        <v>0.850664868</v>
      </c>
      <c r="AU195" t="n">
        <v>0.663462949</v>
      </c>
    </row>
    <row r="196">
      <c r="A196" t="inlineStr">
        <is>
          <t>1995-Q4</t>
        </is>
      </c>
      <c r="B196" s="87" t="n">
        <v>35065</v>
      </c>
      <c r="C196" t="n">
        <v>0.766784665</v>
      </c>
      <c r="D196" t="n">
        <v>-0.026017147</v>
      </c>
      <c r="E196" t="n">
        <v>0.344772176</v>
      </c>
      <c r="F196" t="n">
        <v>0.206090819</v>
      </c>
      <c r="H196" t="n">
        <v>0.409812959</v>
      </c>
      <c r="I196" t="n">
        <v>0.06707283999999999</v>
      </c>
      <c r="J196" t="n">
        <v>1.839741522</v>
      </c>
      <c r="L196" t="n">
        <v>-0.770604418</v>
      </c>
      <c r="M196" t="n">
        <v>0.025917782</v>
      </c>
      <c r="N196" t="n">
        <v>0.731687334</v>
      </c>
      <c r="O196" t="n">
        <v>0.354275</v>
      </c>
      <c r="P196" t="n">
        <v>0.76005554</v>
      </c>
      <c r="Q196" t="n">
        <v>1.170002692</v>
      </c>
      <c r="R196" t="n">
        <v>0.545443</v>
      </c>
      <c r="S196" t="n">
        <v>0.049144311</v>
      </c>
      <c r="T196" t="n">
        <v>0.17329488</v>
      </c>
      <c r="U196" t="n">
        <v>0.459114</v>
      </c>
      <c r="V196" t="n">
        <v>0.231353272</v>
      </c>
      <c r="W196" t="n">
        <v>0.579167974</v>
      </c>
      <c r="X196" t="n">
        <v>-0.420267331</v>
      </c>
      <c r="Z196" t="n">
        <v>0.466298335</v>
      </c>
      <c r="AA196" t="n">
        <v>0.09239140699999999</v>
      </c>
      <c r="AB196" t="n">
        <v>0.881996027</v>
      </c>
      <c r="AC196" t="n">
        <v>0.828152898</v>
      </c>
      <c r="AD196" t="n">
        <v>0.248943711</v>
      </c>
      <c r="AE196" t="n">
        <v>1.870552316</v>
      </c>
      <c r="AF196" t="n">
        <v>1.070725294</v>
      </c>
      <c r="AG196" t="n">
        <v>0.167808491</v>
      </c>
      <c r="AH196" t="n">
        <v>1.913510495</v>
      </c>
      <c r="AI196" t="n">
        <v>0.712376003</v>
      </c>
      <c r="AJ196" t="n">
        <v>1.233719659</v>
      </c>
      <c r="AK196" t="n">
        <v>0.671778973</v>
      </c>
      <c r="AL196" t="n">
        <v>0.561504457</v>
      </c>
      <c r="AM196" t="n">
        <v>-0.1477293</v>
      </c>
      <c r="AN196" t="n">
        <v>0.677522441</v>
      </c>
      <c r="AP196" t="n">
        <v>1.902765321</v>
      </c>
      <c r="AQ196" t="n">
        <v>0.22918909</v>
      </c>
      <c r="AR196" t="n">
        <v>1.022613913</v>
      </c>
      <c r="AT196" t="n">
        <v>0.679036536</v>
      </c>
      <c r="AU196" t="n">
        <v>0.336366655</v>
      </c>
    </row>
    <row r="197">
      <c r="A197" t="inlineStr">
        <is>
          <t>1996-Q1</t>
        </is>
      </c>
      <c r="B197" s="87" t="n">
        <v>35156</v>
      </c>
      <c r="C197" t="n">
        <v>2.749659958</v>
      </c>
      <c r="D197" t="n">
        <v>1.643637565</v>
      </c>
      <c r="E197" t="n">
        <v>0.698423959</v>
      </c>
      <c r="F197" t="n">
        <v>-0.201498034</v>
      </c>
      <c r="H197" t="n">
        <v>0.06880559</v>
      </c>
      <c r="I197" t="n">
        <v>0.5389663649999999</v>
      </c>
      <c r="J197" t="n">
        <v>3.079251895</v>
      </c>
      <c r="L197" t="n">
        <v>2.387550883</v>
      </c>
      <c r="M197" t="n">
        <v>-0.829258591</v>
      </c>
      <c r="N197" t="n">
        <v>0.015030293</v>
      </c>
      <c r="O197" t="n">
        <v>0.19427</v>
      </c>
      <c r="P197" t="n">
        <v>0.591061032</v>
      </c>
      <c r="Q197" t="n">
        <v>0.899314058</v>
      </c>
      <c r="R197" t="n">
        <v>-0.002432</v>
      </c>
      <c r="S197" t="n">
        <v>1.80299922</v>
      </c>
      <c r="T197" t="n">
        <v>0.626317983</v>
      </c>
      <c r="U197" t="n">
        <v>0.492772</v>
      </c>
      <c r="V197" t="n">
        <v>0.5543116</v>
      </c>
      <c r="W197" t="n">
        <v>0.542957052</v>
      </c>
      <c r="X197" t="n">
        <v>0.564369407</v>
      </c>
      <c r="Z197" t="n">
        <v>5.518953814</v>
      </c>
      <c r="AA197" t="n">
        <v>4.606983639</v>
      </c>
      <c r="AB197" t="n">
        <v>1.686201474</v>
      </c>
      <c r="AC197" t="n">
        <v>0.220015719</v>
      </c>
      <c r="AD197" t="n">
        <v>0.813290925</v>
      </c>
      <c r="AE197" t="n">
        <v>1.908135199</v>
      </c>
      <c r="AF197" t="n">
        <v>1.186705089</v>
      </c>
      <c r="AG197" t="n">
        <v>-0.109835107</v>
      </c>
      <c r="AH197" t="n">
        <v>2.689485543</v>
      </c>
      <c r="AI197" t="n">
        <v>0.410827909</v>
      </c>
      <c r="AJ197" t="n">
        <v>1.510334003</v>
      </c>
      <c r="AK197" t="n">
        <v>1.404939952</v>
      </c>
      <c r="AL197" t="n">
        <v>0.726835176</v>
      </c>
      <c r="AM197" t="n">
        <v>2.958097363</v>
      </c>
      <c r="AN197" t="n">
        <v>0.78990095</v>
      </c>
      <c r="AP197" t="n">
        <v>1.689970417</v>
      </c>
      <c r="AQ197" t="n">
        <v>0.6726954429999999</v>
      </c>
      <c r="AR197" t="n">
        <v>0.696631517</v>
      </c>
      <c r="AT197" t="n">
        <v>0.748971329</v>
      </c>
      <c r="AU197" t="n">
        <v>1.852498307</v>
      </c>
    </row>
    <row r="198">
      <c r="A198" t="inlineStr">
        <is>
          <t>1996-Q2</t>
        </is>
      </c>
      <c r="B198" s="87" t="n">
        <v>35247</v>
      </c>
      <c r="C198" t="n">
        <v>2.228766023</v>
      </c>
      <c r="D198" t="n">
        <v>0.686406788</v>
      </c>
      <c r="E198" t="n">
        <v>0.856961661</v>
      </c>
      <c r="F198" t="n">
        <v>0.701793472</v>
      </c>
      <c r="G198" t="n">
        <v>0.894191566</v>
      </c>
      <c r="H198" t="n">
        <v>0.696292748</v>
      </c>
      <c r="I198" t="n">
        <v>-0.404260729</v>
      </c>
      <c r="J198" t="n">
        <v>1.184746178</v>
      </c>
      <c r="L198" t="n">
        <v>0.704964345</v>
      </c>
      <c r="M198" t="n">
        <v>1.358769899</v>
      </c>
      <c r="N198" t="n">
        <v>2.708013266</v>
      </c>
      <c r="O198" t="n">
        <v>0.707701</v>
      </c>
      <c r="P198" t="n">
        <v>0.738336268</v>
      </c>
      <c r="Q198" t="n">
        <v>1.702637973</v>
      </c>
      <c r="R198" t="n">
        <v>0.721537</v>
      </c>
      <c r="S198" t="n">
        <v>0.789033009</v>
      </c>
      <c r="T198" t="n">
        <v>0.173173211</v>
      </c>
      <c r="U198" t="n">
        <v>1.177223</v>
      </c>
      <c r="V198" t="n">
        <v>0.21065647</v>
      </c>
      <c r="W198" t="n">
        <v>0.573881042</v>
      </c>
      <c r="X198" t="n">
        <v>-0.57312385</v>
      </c>
      <c r="Z198" t="n">
        <v>1.20561188</v>
      </c>
      <c r="AA198" t="n">
        <v>0.33778459</v>
      </c>
      <c r="AB198" t="n">
        <v>1.387341302</v>
      </c>
      <c r="AC198" t="n">
        <v>-0.105363425</v>
      </c>
      <c r="AD198" t="n">
        <v>1.258184845</v>
      </c>
      <c r="AE198" t="n">
        <v>2.020152462</v>
      </c>
      <c r="AF198" t="n">
        <v>-7.017608955</v>
      </c>
      <c r="AG198" t="n">
        <v>-0.084883917</v>
      </c>
      <c r="AH198" t="n">
        <v>1.315437849</v>
      </c>
      <c r="AI198" t="n">
        <v>1.114967157</v>
      </c>
      <c r="AJ198" t="n">
        <v>-0.137003578</v>
      </c>
      <c r="AK198" t="n">
        <v>0.889114149</v>
      </c>
      <c r="AL198" t="n">
        <v>1.135634444</v>
      </c>
      <c r="AM198" t="n">
        <v>2.194478818</v>
      </c>
      <c r="AN198" t="n">
        <v>1.199491897</v>
      </c>
      <c r="AP198" t="n">
        <v>1.181136607</v>
      </c>
      <c r="AQ198" t="n">
        <v>1.147734537</v>
      </c>
      <c r="AR198" t="n">
        <v>-0.8543811100000001</v>
      </c>
      <c r="AT198" t="n">
        <v>1.667883947</v>
      </c>
      <c r="AU198" t="n">
        <v>1.19135893</v>
      </c>
    </row>
    <row r="199">
      <c r="A199" t="inlineStr">
        <is>
          <t>1996-Q3</t>
        </is>
      </c>
      <c r="B199" s="87" t="n">
        <v>35339</v>
      </c>
      <c r="C199" t="n">
        <v>2.296677959</v>
      </c>
      <c r="D199" t="n">
        <v>0.774158133</v>
      </c>
      <c r="E199" t="n">
        <v>0.328155225</v>
      </c>
      <c r="F199" t="n">
        <v>0.46045354</v>
      </c>
      <c r="G199" t="n">
        <v>3.916354095</v>
      </c>
      <c r="H199" t="n">
        <v>0.863973279</v>
      </c>
      <c r="I199" t="n">
        <v>-0.298916827</v>
      </c>
      <c r="J199" t="n">
        <v>1.171627832</v>
      </c>
      <c r="L199" t="n">
        <v>0.42206663</v>
      </c>
      <c r="M199" t="n">
        <v>0.360923854</v>
      </c>
      <c r="N199" t="n">
        <v>0.282819107</v>
      </c>
      <c r="O199" t="n">
        <v>0.540876</v>
      </c>
      <c r="P199" t="n">
        <v>0.856899433</v>
      </c>
      <c r="Q199" t="n">
        <v>3.180539411</v>
      </c>
      <c r="R199" t="n">
        <v>0.524705</v>
      </c>
      <c r="S199" t="n">
        <v>0.58010194</v>
      </c>
      <c r="T199" t="n">
        <v>0.612324151</v>
      </c>
      <c r="U199" t="n">
        <v>0.639394</v>
      </c>
      <c r="V199" t="n">
        <v>1.102764766</v>
      </c>
      <c r="W199" t="n">
        <v>1.360099317</v>
      </c>
      <c r="X199" t="n">
        <v>-0.112532412</v>
      </c>
      <c r="Y199" t="n">
        <v>0.48898</v>
      </c>
      <c r="Z199" t="n">
        <v>-1.412107865</v>
      </c>
      <c r="AA199" t="n">
        <v>-2.063247859</v>
      </c>
      <c r="AB199" t="n">
        <v>1.221262489</v>
      </c>
      <c r="AC199" t="n">
        <v>0.148144048</v>
      </c>
      <c r="AD199" t="n">
        <v>0.137398105</v>
      </c>
      <c r="AE199" t="n">
        <v>1.758931416</v>
      </c>
      <c r="AF199" t="n">
        <v>7.757616145</v>
      </c>
      <c r="AG199" t="n">
        <v>3.486482856</v>
      </c>
      <c r="AH199" t="n">
        <v>1.684343877</v>
      </c>
      <c r="AI199" t="n">
        <v>1.400073112</v>
      </c>
      <c r="AJ199" t="n">
        <v>3.332387583</v>
      </c>
      <c r="AK199" t="n">
        <v>0.655298771</v>
      </c>
      <c r="AL199" t="n">
        <v>0.740774108</v>
      </c>
      <c r="AM199" t="n">
        <v>0.870047668</v>
      </c>
      <c r="AN199" t="n">
        <v>1.356809474</v>
      </c>
      <c r="AP199" t="n">
        <v>2.50228209</v>
      </c>
      <c r="AQ199" t="n">
        <v>1.303051911</v>
      </c>
      <c r="AR199" t="n">
        <v>0.485389755</v>
      </c>
      <c r="AT199" t="n">
        <v>0.897010936</v>
      </c>
      <c r="AU199" t="n">
        <v>1.191484164</v>
      </c>
    </row>
    <row r="200">
      <c r="A200" t="inlineStr">
        <is>
          <t>1996-Q4</t>
        </is>
      </c>
      <c r="B200" s="87" t="n">
        <v>35431</v>
      </c>
      <c r="C200" t="n">
        <v>1.822265983</v>
      </c>
      <c r="D200" t="n">
        <v>0.924016005</v>
      </c>
      <c r="E200" t="n">
        <v>0.147480442</v>
      </c>
      <c r="F200" t="n">
        <v>0.78868044</v>
      </c>
      <c r="G200" t="n">
        <v>-1.026346399</v>
      </c>
      <c r="H200" t="n">
        <v>0.8053663599999999</v>
      </c>
      <c r="I200" t="n">
        <v>0.631363898</v>
      </c>
      <c r="J200" t="n">
        <v>1.323898587</v>
      </c>
      <c r="L200" t="n">
        <v>0.124436712</v>
      </c>
      <c r="M200" t="n">
        <v>0.73207547</v>
      </c>
      <c r="N200" t="n">
        <v>0.034009024</v>
      </c>
      <c r="O200" t="n">
        <v>0.438996</v>
      </c>
      <c r="P200" t="n">
        <v>0.5333809859999999</v>
      </c>
      <c r="Q200" t="n">
        <v>2.032043533</v>
      </c>
      <c r="R200" t="n">
        <v>0.356387</v>
      </c>
      <c r="S200" t="n">
        <v>1.873057648</v>
      </c>
      <c r="T200" t="n">
        <v>0.12724769</v>
      </c>
      <c r="U200" t="n">
        <v>0.88117</v>
      </c>
      <c r="V200" t="n">
        <v>1.542455669</v>
      </c>
      <c r="W200" t="n">
        <v>1.059410818</v>
      </c>
      <c r="X200" t="n">
        <v>1.243204047</v>
      </c>
      <c r="Y200" t="n">
        <v>1.58557</v>
      </c>
      <c r="Z200" t="n">
        <v>0.986333194</v>
      </c>
      <c r="AA200" t="n">
        <v>2.312791536</v>
      </c>
      <c r="AB200" t="n">
        <v>1.594395927</v>
      </c>
      <c r="AC200" t="n">
        <v>-0.304402667</v>
      </c>
      <c r="AD200" t="n">
        <v>1.124962168</v>
      </c>
      <c r="AE200" t="n">
        <v>1.691579214</v>
      </c>
      <c r="AF200" t="n">
        <v>1.347940445</v>
      </c>
      <c r="AG200" t="n">
        <v>5.213918483</v>
      </c>
      <c r="AH200" t="n">
        <v>3.018963314</v>
      </c>
      <c r="AI200" t="n">
        <v>0.710941146</v>
      </c>
      <c r="AJ200" t="n">
        <v>-1.604256587</v>
      </c>
      <c r="AK200" t="n">
        <v>1.30805624</v>
      </c>
      <c r="AL200" t="n">
        <v>0.975072927</v>
      </c>
      <c r="AM200" t="n">
        <v>-4.057864163</v>
      </c>
      <c r="AN200" t="n">
        <v>0.282339693</v>
      </c>
      <c r="AP200" t="n">
        <v>1.96749614</v>
      </c>
      <c r="AQ200" t="n">
        <v>1.743258551</v>
      </c>
      <c r="AR200" t="n">
        <v>0.674523685</v>
      </c>
      <c r="AT200" t="n">
        <v>1.038397649</v>
      </c>
      <c r="AU200" t="n">
        <v>0.938171466</v>
      </c>
    </row>
    <row r="201">
      <c r="A201" t="inlineStr">
        <is>
          <t>1997-Q1</t>
        </is>
      </c>
      <c r="B201" s="87" t="n">
        <v>35521</v>
      </c>
      <c r="C201" t="n">
        <v>2.100205284</v>
      </c>
      <c r="D201" t="n">
        <v>0.621085968</v>
      </c>
      <c r="E201" t="n">
        <v>0.584179755</v>
      </c>
      <c r="F201" t="n">
        <v>1.002376205</v>
      </c>
      <c r="G201" t="n">
        <v>0.9827603150000001</v>
      </c>
      <c r="H201" t="n">
        <v>1.319174451</v>
      </c>
      <c r="I201" t="n">
        <v>0.829579921</v>
      </c>
      <c r="J201" t="n">
        <v>1.094454032</v>
      </c>
      <c r="L201" t="n">
        <v>-0.395369789</v>
      </c>
      <c r="M201" t="n">
        <v>-0.5355613930000001</v>
      </c>
      <c r="N201" t="n">
        <v>1.255106285</v>
      </c>
      <c r="O201" t="n">
        <v>0.257645</v>
      </c>
      <c r="P201" t="n">
        <v>1.015318654</v>
      </c>
      <c r="Q201" t="n">
        <v>3.62571911</v>
      </c>
      <c r="R201" t="n">
        <v>0.40456</v>
      </c>
      <c r="S201" t="n">
        <v>1.1790249</v>
      </c>
      <c r="T201" t="n">
        <v>0.303663359</v>
      </c>
      <c r="U201" t="n">
        <v>0.509557</v>
      </c>
      <c r="V201" t="n">
        <v>1.793340214</v>
      </c>
      <c r="W201" t="n">
        <v>0.570901131</v>
      </c>
      <c r="X201" t="n">
        <v>0.958085934</v>
      </c>
      <c r="Y201" t="n">
        <v>0.75236</v>
      </c>
      <c r="Z201" t="n">
        <v>6.30810374</v>
      </c>
      <c r="AA201" t="n">
        <v>4.414953262</v>
      </c>
      <c r="AB201" t="n">
        <v>1.099180974</v>
      </c>
      <c r="AC201" t="n">
        <v>0.335582871</v>
      </c>
      <c r="AD201" t="n">
        <v>0.255524147</v>
      </c>
      <c r="AE201" t="n">
        <v>0.46806387</v>
      </c>
      <c r="AF201" t="n">
        <v>0.6312388410000001</v>
      </c>
      <c r="AG201" t="n">
        <v>-0.833478409</v>
      </c>
      <c r="AH201" t="n">
        <v>0.176156365</v>
      </c>
      <c r="AI201" t="n">
        <v>1.090973276</v>
      </c>
      <c r="AJ201" t="n">
        <v>2.685025115</v>
      </c>
      <c r="AK201" t="n">
        <v>-0.377243719</v>
      </c>
      <c r="AL201" t="n">
        <v>0.623056893</v>
      </c>
      <c r="AM201" t="n">
        <v>7.209693681</v>
      </c>
      <c r="AN201" t="n">
        <v>1.644745127</v>
      </c>
      <c r="AP201" t="n">
        <v>0.990933663</v>
      </c>
      <c r="AQ201" t="n">
        <v>0.5327588170000001</v>
      </c>
      <c r="AR201" t="n">
        <v>0.882826031</v>
      </c>
      <c r="AT201" t="n">
        <v>0.645560777</v>
      </c>
      <c r="AU201" t="n">
        <v>0.46421678</v>
      </c>
    </row>
    <row r="202">
      <c r="A202" t="inlineStr">
        <is>
          <t>1997-Q2</t>
        </is>
      </c>
      <c r="B202" s="87" t="n">
        <v>35612</v>
      </c>
      <c r="C202" t="n">
        <v>1.487513881</v>
      </c>
      <c r="D202" t="n">
        <v>2.973460123</v>
      </c>
      <c r="E202" t="n">
        <v>0.313537643</v>
      </c>
      <c r="F202" t="n">
        <v>1.546782044</v>
      </c>
      <c r="G202" t="n">
        <v>0.677028777</v>
      </c>
      <c r="H202" t="n">
        <v>1.129631513</v>
      </c>
      <c r="I202" t="n">
        <v>0.490919655</v>
      </c>
      <c r="J202" t="n">
        <v>2.347896321</v>
      </c>
      <c r="L202" t="n">
        <v>-0.32452368</v>
      </c>
      <c r="M202" t="n">
        <v>1.294704697</v>
      </c>
      <c r="N202" t="n">
        <v>1.717487195</v>
      </c>
      <c r="O202" t="n">
        <v>1.239738</v>
      </c>
      <c r="P202" t="n">
        <v>0.907001669</v>
      </c>
      <c r="Q202" t="n">
        <v>4.202834368</v>
      </c>
      <c r="R202" t="n">
        <v>1.224764</v>
      </c>
      <c r="S202" t="n">
        <v>1.518402825</v>
      </c>
      <c r="T202" t="n">
        <v>1.15022898</v>
      </c>
      <c r="U202" t="n">
        <v>1.051442</v>
      </c>
      <c r="V202" t="n">
        <v>0.845069653</v>
      </c>
      <c r="W202" t="n">
        <v>1.714354301</v>
      </c>
      <c r="X202" t="n">
        <v>1.050733752</v>
      </c>
      <c r="Y202" t="n">
        <v>0.40985</v>
      </c>
      <c r="Z202" t="n">
        <v>3.833237006</v>
      </c>
      <c r="AA202" t="n">
        <v>0.600461707</v>
      </c>
      <c r="AB202" t="n">
        <v>0.5884903500000001</v>
      </c>
      <c r="AC202" t="n">
        <v>1.327081722</v>
      </c>
      <c r="AD202" t="n">
        <v>-0.765348295</v>
      </c>
      <c r="AE202" t="n">
        <v>3.550552773</v>
      </c>
      <c r="AF202" t="n">
        <v>1.210765539</v>
      </c>
      <c r="AG202" t="n">
        <v>4.188006179</v>
      </c>
      <c r="AH202" t="n">
        <v>2.296319754</v>
      </c>
      <c r="AI202" t="n">
        <v>1.041229521</v>
      </c>
      <c r="AJ202" t="n">
        <v>2.412160057</v>
      </c>
      <c r="AK202" t="n">
        <v>1.961626372</v>
      </c>
      <c r="AL202" t="n">
        <v>1.276736218</v>
      </c>
      <c r="AM202" t="n">
        <v>1.372434043</v>
      </c>
      <c r="AN202" t="n">
        <v>0.908618014</v>
      </c>
      <c r="AP202" t="n">
        <v>1.485837377</v>
      </c>
      <c r="AQ202" t="n">
        <v>2.267982722</v>
      </c>
      <c r="AR202" t="n">
        <v>1.216006264</v>
      </c>
      <c r="AT202" t="n">
        <v>1.661978105</v>
      </c>
      <c r="AU202" t="n">
        <v>0.627410873</v>
      </c>
    </row>
    <row r="203">
      <c r="A203" t="inlineStr">
        <is>
          <t>1997-Q3</t>
        </is>
      </c>
      <c r="B203" s="87" t="n">
        <v>35704</v>
      </c>
      <c r="C203" t="n">
        <v>2.517217344</v>
      </c>
      <c r="D203" t="n">
        <v>0.140951885</v>
      </c>
      <c r="E203" t="n">
        <v>1.234146566</v>
      </c>
      <c r="F203" t="n">
        <v>0.881444397</v>
      </c>
      <c r="G203" t="n">
        <v>1.242090664</v>
      </c>
      <c r="H203" t="n">
        <v>1.183433842</v>
      </c>
      <c r="I203" t="n">
        <v>1.222178246</v>
      </c>
      <c r="J203" t="n">
        <v>2.369164555</v>
      </c>
      <c r="L203" t="n">
        <v>-0.679383788</v>
      </c>
      <c r="M203" t="n">
        <v>0.341682942</v>
      </c>
      <c r="N203" t="n">
        <v>-0.282299164</v>
      </c>
      <c r="O203" t="n">
        <v>0.775377</v>
      </c>
      <c r="P203" t="n">
        <v>1.18948225</v>
      </c>
      <c r="Q203" t="n">
        <v>2.69331139</v>
      </c>
      <c r="R203" t="n">
        <v>0.7101420000000001</v>
      </c>
      <c r="S203" t="n">
        <v>2.357253706</v>
      </c>
      <c r="T203" t="n">
        <v>0.78367447</v>
      </c>
      <c r="U203" t="n">
        <v>0.850198</v>
      </c>
      <c r="V203" t="n">
        <v>0.679984498</v>
      </c>
      <c r="W203" t="n">
        <v>1.595103859</v>
      </c>
      <c r="X203" t="n">
        <v>0.897413638</v>
      </c>
      <c r="Y203" t="n">
        <v>1.19283</v>
      </c>
      <c r="Z203" t="n">
        <v>1.006083988</v>
      </c>
      <c r="AA203" t="n">
        <v>-1.247558344</v>
      </c>
      <c r="AB203" t="n">
        <v>-0.037633401</v>
      </c>
      <c r="AC203" t="n">
        <v>0.67142846</v>
      </c>
      <c r="AD203" t="n">
        <v>0.207155684</v>
      </c>
      <c r="AE203" t="n">
        <v>0.791744376</v>
      </c>
      <c r="AF203" t="n">
        <v>1.135210979</v>
      </c>
      <c r="AG203" t="n">
        <v>1.76786966</v>
      </c>
      <c r="AH203" t="n">
        <v>1.902721447</v>
      </c>
      <c r="AI203" t="n">
        <v>1.45275968</v>
      </c>
      <c r="AJ203" t="n">
        <v>-0.107436238</v>
      </c>
      <c r="AK203" t="n">
        <v>-0.244500051</v>
      </c>
      <c r="AL203" t="n">
        <v>0.902342894</v>
      </c>
      <c r="AM203" t="n">
        <v>-0.257967265</v>
      </c>
      <c r="AN203" t="n">
        <v>1.300962327</v>
      </c>
      <c r="AP203" t="n">
        <v>1.65897196</v>
      </c>
      <c r="AQ203" t="n">
        <v>0.880829783</v>
      </c>
      <c r="AR203" t="n">
        <v>0.7507053809999999</v>
      </c>
      <c r="AT203" t="n">
        <v>1.250778573</v>
      </c>
      <c r="AU203" t="n">
        <v>0.099423795</v>
      </c>
    </row>
    <row r="204">
      <c r="A204" t="inlineStr">
        <is>
          <t>1997-Q4</t>
        </is>
      </c>
      <c r="B204" s="87" t="n">
        <v>35796</v>
      </c>
      <c r="C204" t="n">
        <v>1.351457572</v>
      </c>
      <c r="D204" t="n">
        <v>1.446165615</v>
      </c>
      <c r="E204" t="n">
        <v>1.058748215</v>
      </c>
      <c r="F204" t="n">
        <v>0.5569780640000001</v>
      </c>
      <c r="G204" t="n">
        <v>0.775265903</v>
      </c>
      <c r="H204" t="n">
        <v>0.968322222</v>
      </c>
      <c r="I204" t="n">
        <v>0.732903244</v>
      </c>
      <c r="J204" t="n">
        <v>2.045482837</v>
      </c>
      <c r="L204" t="n">
        <v>-0.173625038</v>
      </c>
      <c r="M204" t="n">
        <v>0.718877903</v>
      </c>
      <c r="N204" t="n">
        <v>-0.013656432</v>
      </c>
      <c r="O204" t="n">
        <v>1.127905</v>
      </c>
      <c r="P204" t="n">
        <v>1.379162685</v>
      </c>
      <c r="Q204" t="n">
        <v>3.131919271</v>
      </c>
      <c r="R204" t="n">
        <v>1.120165</v>
      </c>
      <c r="S204" t="n">
        <v>2.946020128</v>
      </c>
      <c r="T204" t="n">
        <v>1.09352616</v>
      </c>
      <c r="U204" t="n">
        <v>0.815586</v>
      </c>
      <c r="V204" t="n">
        <v>1.197077698</v>
      </c>
      <c r="W204" t="n">
        <v>0.953433782</v>
      </c>
      <c r="X204" t="n">
        <v>0.863106191</v>
      </c>
      <c r="Y204" t="n">
        <v>1.60086</v>
      </c>
      <c r="Z204" t="n">
        <v>1.320592117</v>
      </c>
      <c r="AA204" t="n">
        <v>2.886175782</v>
      </c>
      <c r="AB204" t="n">
        <v>1.784735335</v>
      </c>
      <c r="AC204" t="n">
        <v>1.780133338</v>
      </c>
      <c r="AD204" t="n">
        <v>0.042033111</v>
      </c>
      <c r="AE204" t="n">
        <v>-0.455994331</v>
      </c>
      <c r="AF204" t="n">
        <v>1.120175665</v>
      </c>
      <c r="AG204" t="n">
        <v>0.291781396</v>
      </c>
      <c r="AH204" t="n">
        <v>2.47940198</v>
      </c>
      <c r="AI204" t="n">
        <v>1.282980368</v>
      </c>
      <c r="AJ204" t="n">
        <v>1.412751042</v>
      </c>
      <c r="AK204" t="n">
        <v>-0.195399566</v>
      </c>
      <c r="AL204" t="n">
        <v>0.930892272</v>
      </c>
      <c r="AM204" t="n">
        <v>1.676103622</v>
      </c>
      <c r="AN204" t="n">
        <v>0.672324286</v>
      </c>
      <c r="AP204" t="n">
        <v>-0.527184735</v>
      </c>
      <c r="AQ204" t="n">
        <v>0.382963078</v>
      </c>
      <c r="AR204" t="n">
        <v>2.025397782</v>
      </c>
      <c r="AT204" t="n">
        <v>0.858743563</v>
      </c>
      <c r="AU204" t="n">
        <v>0.013815329</v>
      </c>
    </row>
    <row r="205">
      <c r="A205" t="inlineStr">
        <is>
          <t>1998-Q1</t>
        </is>
      </c>
      <c r="B205" s="87" t="n">
        <v>35886</v>
      </c>
      <c r="C205" t="n">
        <v>0.5174215639999999</v>
      </c>
      <c r="D205" t="n">
        <v>0.673752314</v>
      </c>
      <c r="E205" t="n">
        <v>0.7681150329999999</v>
      </c>
      <c r="F205" t="n">
        <v>0.259883446</v>
      </c>
      <c r="G205" t="n">
        <v>-1.932210973</v>
      </c>
      <c r="H205" t="n">
        <v>1.41241503</v>
      </c>
      <c r="I205" t="n">
        <v>1.017619942</v>
      </c>
      <c r="J205" t="n">
        <v>-0.405949578</v>
      </c>
      <c r="L205" t="n">
        <v>0.013075171</v>
      </c>
      <c r="M205" t="n">
        <v>0.9453307480000001</v>
      </c>
      <c r="N205" t="n">
        <v>1.507787696</v>
      </c>
      <c r="O205" t="n">
        <v>0.644821</v>
      </c>
      <c r="P205" t="n">
        <v>0.8761989140000001</v>
      </c>
      <c r="Q205" t="n">
        <v>0.818750189</v>
      </c>
      <c r="R205" t="n">
        <v>0.705717</v>
      </c>
      <c r="S205" t="n">
        <v>-0.728759332</v>
      </c>
      <c r="T205" t="n">
        <v>0.839422293</v>
      </c>
      <c r="U205" t="n">
        <v>0.469807</v>
      </c>
      <c r="V205" t="n">
        <v>0.688948887</v>
      </c>
      <c r="W205" t="n">
        <v>1.20090361</v>
      </c>
      <c r="X205" t="n">
        <v>0.8833215169999999</v>
      </c>
      <c r="Y205" t="n">
        <v>1.63007</v>
      </c>
      <c r="Z205" t="n">
        <v>3.637011968</v>
      </c>
      <c r="AA205" t="n">
        <v>-2.510129028</v>
      </c>
      <c r="AB205" t="n">
        <v>1.410628668</v>
      </c>
      <c r="AC205" t="n">
        <v>-0.7216755030000001</v>
      </c>
      <c r="AD205" t="n">
        <v>-1.221675195</v>
      </c>
      <c r="AE205" t="n">
        <v>-6.818021985</v>
      </c>
      <c r="AF205" t="n">
        <v>1.072219919</v>
      </c>
      <c r="AG205" t="n">
        <v>5.625952991</v>
      </c>
      <c r="AH205" t="n">
        <v>0.921313262</v>
      </c>
      <c r="AI205" t="n">
        <v>1.349037285</v>
      </c>
      <c r="AJ205" t="n">
        <v>0.964863384</v>
      </c>
      <c r="AK205" t="n">
        <v>-0.56334964</v>
      </c>
      <c r="AL205" t="n">
        <v>0.417378072</v>
      </c>
      <c r="AM205" t="n">
        <v>2.775265236</v>
      </c>
      <c r="AN205" t="n">
        <v>1.447666569</v>
      </c>
      <c r="AP205" t="n">
        <v>1.763985437</v>
      </c>
      <c r="AQ205" t="n">
        <v>0.630747315</v>
      </c>
      <c r="AR205" t="n">
        <v>0.39102817</v>
      </c>
      <c r="AT205" t="n">
        <v>0.999375401</v>
      </c>
      <c r="AU205" t="n">
        <v>0.262703844</v>
      </c>
    </row>
    <row r="206">
      <c r="A206" t="inlineStr">
        <is>
          <t>1998-Q2</t>
        </is>
      </c>
      <c r="B206" s="87" t="n">
        <v>35977</v>
      </c>
      <c r="C206" t="n">
        <v>1.959505358</v>
      </c>
      <c r="D206" t="n">
        <v>0.917166633</v>
      </c>
      <c r="E206" t="n">
        <v>1.077008051</v>
      </c>
      <c r="F206" t="n">
        <v>0.332521666</v>
      </c>
      <c r="G206" t="n">
        <v>1.622806426</v>
      </c>
      <c r="H206" t="n">
        <v>0.053398141</v>
      </c>
      <c r="I206" t="n">
        <v>0.971189783</v>
      </c>
      <c r="J206" t="n">
        <v>2.002304607</v>
      </c>
      <c r="L206" t="n">
        <v>0.266507969</v>
      </c>
      <c r="M206" t="n">
        <v>-0.434128062</v>
      </c>
      <c r="N206" t="n">
        <v>-0.7552173</v>
      </c>
      <c r="O206" t="n">
        <v>0.461618</v>
      </c>
      <c r="P206" t="n">
        <v>1.1279904</v>
      </c>
      <c r="Q206" t="n">
        <v>-0.565285321</v>
      </c>
      <c r="R206" t="n">
        <v>0.436393</v>
      </c>
      <c r="S206" t="n">
        <v>2.01816089</v>
      </c>
      <c r="T206" t="n">
        <v>0.931210215</v>
      </c>
      <c r="U206" t="n">
        <v>0.470707</v>
      </c>
      <c r="V206" t="n">
        <v>0.71752196</v>
      </c>
      <c r="W206" t="n">
        <v>0.442313892</v>
      </c>
      <c r="X206" t="n">
        <v>1.462293148</v>
      </c>
      <c r="Y206" t="n">
        <v>1.31074</v>
      </c>
      <c r="Z206" t="n">
        <v>2.400527961</v>
      </c>
      <c r="AA206" t="n">
        <v>10.151884433</v>
      </c>
      <c r="AB206" t="n">
        <v>0.108854001</v>
      </c>
      <c r="AC206" t="n">
        <v>0.560939403</v>
      </c>
      <c r="AD206" t="n">
        <v>-0.442683169</v>
      </c>
      <c r="AE206" t="n">
        <v>-0.807932069</v>
      </c>
      <c r="AF206" t="n">
        <v>3.511903992</v>
      </c>
      <c r="AG206" t="n">
        <v>-0.3952628</v>
      </c>
      <c r="AH206" t="n">
        <v>0.717307454</v>
      </c>
      <c r="AI206" t="n">
        <v>0.715690359</v>
      </c>
      <c r="AJ206" t="n">
        <v>1.133135065</v>
      </c>
      <c r="AK206" t="n">
        <v>0.494577077</v>
      </c>
      <c r="AL206" t="n">
        <v>0.468478333</v>
      </c>
      <c r="AM206" t="n">
        <v>-0.267009039</v>
      </c>
      <c r="AN206" t="n">
        <v>1.535719128</v>
      </c>
      <c r="AP206" t="n">
        <v>0.015615062</v>
      </c>
      <c r="AQ206" t="n">
        <v>0.69526742</v>
      </c>
      <c r="AR206" t="n">
        <v>1.362291794</v>
      </c>
      <c r="AS206" t="n">
        <v>-0.796542956</v>
      </c>
      <c r="AT206" t="n">
        <v>0.925820507</v>
      </c>
      <c r="AU206" t="n">
        <v>0.141425317</v>
      </c>
    </row>
    <row r="207">
      <c r="A207" t="inlineStr">
        <is>
          <t>1998-Q3</t>
        </is>
      </c>
      <c r="B207" s="87" t="n">
        <v>36069</v>
      </c>
      <c r="C207" t="n">
        <v>-0.304614298</v>
      </c>
      <c r="D207" t="n">
        <v>1.888914041</v>
      </c>
      <c r="E207" t="n">
        <v>0.610903094</v>
      </c>
      <c r="F207" t="n">
        <v>0.292275574</v>
      </c>
      <c r="G207" t="n">
        <v>0.061477771</v>
      </c>
      <c r="H207" t="n">
        <v>0.91021039</v>
      </c>
      <c r="I207" t="n">
        <v>0.090706887</v>
      </c>
      <c r="J207" t="n">
        <v>-0.463898366</v>
      </c>
      <c r="L207" t="n">
        <v>-0.057180188</v>
      </c>
      <c r="M207" t="n">
        <v>0.498318833</v>
      </c>
      <c r="N207" t="n">
        <v>1.837315059</v>
      </c>
      <c r="O207" t="n">
        <v>0.594086</v>
      </c>
      <c r="P207" t="n">
        <v>0.944739553</v>
      </c>
      <c r="Q207" t="n">
        <v>-0.101683815</v>
      </c>
      <c r="R207" t="n">
        <v>0.618443</v>
      </c>
      <c r="S207" t="n">
        <v>1.256142814</v>
      </c>
      <c r="T207" t="n">
        <v>0.688595506</v>
      </c>
      <c r="U207" t="n">
        <v>0.80575</v>
      </c>
      <c r="V207" t="n">
        <v>0.523815644</v>
      </c>
      <c r="W207" t="n">
        <v>0.349172632</v>
      </c>
      <c r="X207" t="n">
        <v>0.882467295</v>
      </c>
      <c r="Y207" t="n">
        <v>1.81475</v>
      </c>
      <c r="Z207" t="n">
        <v>3.127322826</v>
      </c>
      <c r="AA207" t="n">
        <v>-0.379347299</v>
      </c>
      <c r="AB207" t="n">
        <v>0.887963924</v>
      </c>
      <c r="AC207" t="n">
        <v>0.159167729</v>
      </c>
      <c r="AD207" t="n">
        <v>0.182595451</v>
      </c>
      <c r="AE207" t="n">
        <v>1.747151805</v>
      </c>
      <c r="AF207" t="n">
        <v>1.849443206</v>
      </c>
      <c r="AG207" t="n">
        <v>-0.953208156</v>
      </c>
      <c r="AH207" t="n">
        <v>0.516894832</v>
      </c>
      <c r="AI207" t="n">
        <v>0.853584161</v>
      </c>
      <c r="AJ207" t="n">
        <v>-1.793672171</v>
      </c>
      <c r="AK207" t="n">
        <v>0.094914284</v>
      </c>
      <c r="AL207" t="n">
        <v>0.715098085</v>
      </c>
      <c r="AM207" t="n">
        <v>0.843701907</v>
      </c>
      <c r="AN207" t="n">
        <v>1.108503881</v>
      </c>
      <c r="AP207" t="n">
        <v>-0.816682172</v>
      </c>
      <c r="AQ207" t="n">
        <v>0.8779499200000001</v>
      </c>
      <c r="AR207" t="n">
        <v>0.537439063</v>
      </c>
      <c r="AS207" t="n">
        <v>-1.407074898</v>
      </c>
      <c r="AT207" t="n">
        <v>1.252764553</v>
      </c>
      <c r="AU207" t="n">
        <v>-0.219033432</v>
      </c>
    </row>
    <row r="208">
      <c r="A208" t="inlineStr">
        <is>
          <t>1998-Q4</t>
        </is>
      </c>
      <c r="B208" s="87" t="n">
        <v>36161</v>
      </c>
      <c r="C208" t="n">
        <v>-2.549266052</v>
      </c>
      <c r="D208" t="n">
        <v>1.501327593</v>
      </c>
      <c r="E208" t="n">
        <v>0.394671767</v>
      </c>
      <c r="F208" t="n">
        <v>0.223771857</v>
      </c>
      <c r="G208" t="n">
        <v>-1.185586722</v>
      </c>
      <c r="H208" t="n">
        <v>1.360670376</v>
      </c>
      <c r="I208" t="n">
        <v>-0.275672537</v>
      </c>
      <c r="J208" t="n">
        <v>-3.508287312</v>
      </c>
      <c r="L208" t="n">
        <v>0.09077961800000001</v>
      </c>
      <c r="M208" t="n">
        <v>-0.43387042</v>
      </c>
      <c r="N208" t="n">
        <v>0.320757081</v>
      </c>
      <c r="O208" t="n">
        <v>0.139823</v>
      </c>
      <c r="P208" t="n">
        <v>1.098466848</v>
      </c>
      <c r="Q208" t="n">
        <v>-1.820651625</v>
      </c>
      <c r="R208" t="n">
        <v>0.183766</v>
      </c>
      <c r="S208" t="n">
        <v>0.8864677480000001</v>
      </c>
      <c r="T208" t="n">
        <v>0.763003935</v>
      </c>
      <c r="U208" t="n">
        <v>0.973496</v>
      </c>
      <c r="V208" t="n">
        <v>0.7300946149999999</v>
      </c>
      <c r="W208" t="n">
        <v>0.787992764</v>
      </c>
      <c r="X208" t="n">
        <v>0.08304442099999999</v>
      </c>
      <c r="Y208" t="n">
        <v>1.31071</v>
      </c>
      <c r="Z208" t="n">
        <v>-3.177542053</v>
      </c>
      <c r="AA208" t="n">
        <v>3.351885445</v>
      </c>
      <c r="AB208" t="n">
        <v>0.896840699</v>
      </c>
      <c r="AC208" t="n">
        <v>-0.491645</v>
      </c>
      <c r="AD208" t="n">
        <v>0.807281658</v>
      </c>
      <c r="AE208" t="n">
        <v>2.496049822</v>
      </c>
      <c r="AF208" t="n">
        <v>0.616306338</v>
      </c>
      <c r="AG208" t="n">
        <v>-2.526598875</v>
      </c>
      <c r="AH208" t="n">
        <v>0.133646182</v>
      </c>
      <c r="AI208" t="n">
        <v>0.9151123759999999</v>
      </c>
      <c r="AJ208" t="n">
        <v>0.511439293</v>
      </c>
      <c r="AK208" t="n">
        <v>1.012546623</v>
      </c>
      <c r="AL208" t="n">
        <v>0.849190364</v>
      </c>
      <c r="AM208" t="n">
        <v>0.211827153</v>
      </c>
      <c r="AN208" t="n">
        <v>0.753210152</v>
      </c>
      <c r="AP208" t="n">
        <v>7.524898443</v>
      </c>
      <c r="AQ208" t="n">
        <v>0.764041842</v>
      </c>
      <c r="AR208" t="n">
        <v>1.176019871</v>
      </c>
      <c r="AS208" t="n">
        <v>-0.258688159</v>
      </c>
      <c r="AT208" t="n">
        <v>1.616190702</v>
      </c>
      <c r="AU208" t="n">
        <v>0.096284366</v>
      </c>
    </row>
    <row r="209">
      <c r="A209" t="inlineStr">
        <is>
          <t>1999-Q1</t>
        </is>
      </c>
      <c r="B209" s="87" t="n">
        <v>36251</v>
      </c>
      <c r="C209" t="n">
        <v>-1.245853391</v>
      </c>
      <c r="D209" t="n">
        <v>0.744584271</v>
      </c>
      <c r="E209" t="n">
        <v>0.692026521</v>
      </c>
      <c r="F209" t="n">
        <v>1.04496599</v>
      </c>
      <c r="G209" t="n">
        <v>0.325656119</v>
      </c>
      <c r="H209" t="n">
        <v>1.813816174</v>
      </c>
      <c r="I209" t="n">
        <v>0.195232231</v>
      </c>
      <c r="J209" t="n">
        <v>-0.318760794</v>
      </c>
      <c r="L209" t="n">
        <v>0.089339539</v>
      </c>
      <c r="M209" t="n">
        <v>1.157924524</v>
      </c>
      <c r="N209" t="n">
        <v>0.906036323</v>
      </c>
      <c r="O209" t="n">
        <v>0.9903459999999999</v>
      </c>
      <c r="P209" t="n">
        <v>0.998461242</v>
      </c>
      <c r="Q209" t="n">
        <v>-0.757951036</v>
      </c>
      <c r="R209" t="n">
        <v>0.940779</v>
      </c>
      <c r="S209" t="n">
        <v>1.649363081</v>
      </c>
      <c r="T209" t="n">
        <v>0.504196198</v>
      </c>
      <c r="U209" t="n">
        <v>0.536099</v>
      </c>
      <c r="V209" t="n">
        <v>0.599685003</v>
      </c>
      <c r="W209" t="n">
        <v>0.762331324</v>
      </c>
      <c r="X209" t="n">
        <v>0.097280486</v>
      </c>
      <c r="Y209" t="n">
        <v>1.62415</v>
      </c>
      <c r="Z209" t="n">
        <v>6.865943858</v>
      </c>
      <c r="AA209" t="n">
        <v>-0.248516558</v>
      </c>
      <c r="AB209" t="n">
        <v>-0.912097793</v>
      </c>
      <c r="AC209" t="n">
        <v>0.609564323</v>
      </c>
      <c r="AD209" t="n">
        <v>-1.37713315</v>
      </c>
      <c r="AE209" t="n">
        <v>3.03463255</v>
      </c>
      <c r="AF209" t="n">
        <v>2.745075645</v>
      </c>
      <c r="AG209" t="n">
        <v>3.355990804</v>
      </c>
      <c r="AH209" t="n">
        <v>1.013832758</v>
      </c>
      <c r="AI209" t="n">
        <v>1.666753831</v>
      </c>
      <c r="AJ209" t="n">
        <v>0.723084018</v>
      </c>
      <c r="AK209" t="n">
        <v>1.186880586</v>
      </c>
      <c r="AL209" t="n">
        <v>0.632098505</v>
      </c>
      <c r="AM209" t="n">
        <v>0.589141986</v>
      </c>
      <c r="AN209" t="n">
        <v>1.32919639</v>
      </c>
      <c r="AP209" t="n">
        <v>-3.336699414</v>
      </c>
      <c r="AQ209" t="n">
        <v>1.641921732</v>
      </c>
      <c r="AR209" t="n">
        <v>1.114387194</v>
      </c>
      <c r="AS209" t="n">
        <v>-1.685820218</v>
      </c>
      <c r="AT209" t="n">
        <v>0.943826615</v>
      </c>
      <c r="AU209" t="n">
        <v>0.961068944</v>
      </c>
    </row>
    <row r="210">
      <c r="A210" t="inlineStr">
        <is>
          <t>1999-Q2</t>
        </is>
      </c>
      <c r="B210" s="87" t="n">
        <v>36342</v>
      </c>
      <c r="C210" t="n">
        <v>-1.129907359</v>
      </c>
      <c r="D210" t="n">
        <v>0.322702437</v>
      </c>
      <c r="E210" t="n">
        <v>1.286765712</v>
      </c>
      <c r="F210" t="n">
        <v>1.368173585</v>
      </c>
      <c r="G210" t="n">
        <v>0.237722371</v>
      </c>
      <c r="H210" t="n">
        <v>0.836544698</v>
      </c>
      <c r="I210" t="n">
        <v>0.6589044120000001</v>
      </c>
      <c r="J210" t="n">
        <v>0.273996438</v>
      </c>
      <c r="L210" t="n">
        <v>0.346458231</v>
      </c>
      <c r="M210" t="n">
        <v>8.134e-06</v>
      </c>
      <c r="N210" t="n">
        <v>0.516383093</v>
      </c>
      <c r="O210" t="n">
        <v>0.576804</v>
      </c>
      <c r="P210" t="n">
        <v>1.186014726</v>
      </c>
      <c r="Q210" t="n">
        <v>0.87740796</v>
      </c>
      <c r="R210" t="n">
        <v>0.608716</v>
      </c>
      <c r="S210" t="n">
        <v>0.531208499</v>
      </c>
      <c r="T210" t="n">
        <v>0.826915676</v>
      </c>
      <c r="U210" t="n">
        <v>0.598672</v>
      </c>
      <c r="V210" t="n">
        <v>0.300501351</v>
      </c>
      <c r="W210" t="n">
        <v>0.93320509</v>
      </c>
      <c r="X210" t="n">
        <v>1.029073739</v>
      </c>
      <c r="Y210" t="n">
        <v>2.58223</v>
      </c>
      <c r="Z210" t="n">
        <v>1.644811705</v>
      </c>
      <c r="AA210" t="n">
        <v>-2.494298133</v>
      </c>
      <c r="AB210" t="n">
        <v>4.244571729</v>
      </c>
      <c r="AC210" t="n">
        <v>0.357736336</v>
      </c>
      <c r="AD210" t="n">
        <v>0.377224231</v>
      </c>
      <c r="AE210" t="n">
        <v>4.383164849</v>
      </c>
      <c r="AF210" t="n">
        <v>2.159141889</v>
      </c>
      <c r="AG210" t="n">
        <v>-1.47316025</v>
      </c>
      <c r="AH210" t="n">
        <v>0.591025231</v>
      </c>
      <c r="AI210" t="n">
        <v>1.112901909</v>
      </c>
      <c r="AJ210" t="n">
        <v>0.045625462</v>
      </c>
      <c r="AK210" t="n">
        <v>0.827126481</v>
      </c>
      <c r="AL210" t="n">
        <v>0.74043004</v>
      </c>
      <c r="AM210" t="n">
        <v>2.32123686</v>
      </c>
      <c r="AN210" t="n">
        <v>0.52210511</v>
      </c>
      <c r="AP210" t="n">
        <v>-1.697182763</v>
      </c>
      <c r="AQ210" t="n">
        <v>4.264112324</v>
      </c>
      <c r="AR210" t="n">
        <v>0.664084394</v>
      </c>
      <c r="AS210" t="n">
        <v>-0.563715666</v>
      </c>
      <c r="AT210" t="n">
        <v>0.83500003</v>
      </c>
      <c r="AU210" t="n">
        <v>0.795890222</v>
      </c>
    </row>
    <row r="211">
      <c r="A211" t="inlineStr">
        <is>
          <t>1999-Q3</t>
        </is>
      </c>
      <c r="B211" s="87" t="n">
        <v>36434</v>
      </c>
      <c r="C211" t="n">
        <v>-0.288150498</v>
      </c>
      <c r="D211" t="n">
        <v>1.154938578</v>
      </c>
      <c r="E211" t="n">
        <v>1.30652955</v>
      </c>
      <c r="F211" t="n">
        <v>1.452361037</v>
      </c>
      <c r="G211" t="n">
        <v>0.168849113</v>
      </c>
      <c r="H211" t="n">
        <v>1.56467609</v>
      </c>
      <c r="I211" t="n">
        <v>0.565188671</v>
      </c>
      <c r="J211" t="n">
        <v>2.503274545</v>
      </c>
      <c r="L211" t="n">
        <v>0.987795514</v>
      </c>
      <c r="M211" t="n">
        <v>1.15692041</v>
      </c>
      <c r="N211" t="n">
        <v>0.618053367</v>
      </c>
      <c r="O211" t="n">
        <v>1.15392</v>
      </c>
      <c r="P211" t="n">
        <v>1.329460179</v>
      </c>
      <c r="Q211" t="n">
        <v>1.031388083</v>
      </c>
      <c r="R211" t="n">
        <v>1.144568</v>
      </c>
      <c r="S211" t="n">
        <v>0.533205236</v>
      </c>
      <c r="T211" t="n">
        <v>1.225717301</v>
      </c>
      <c r="U211" t="n">
        <v>1.168577</v>
      </c>
      <c r="V211" t="n">
        <v>1.596845332</v>
      </c>
      <c r="W211" t="n">
        <v>0.382797756</v>
      </c>
      <c r="X211" t="n">
        <v>1.808230899</v>
      </c>
      <c r="Y211" t="n">
        <v>1.24533</v>
      </c>
      <c r="Z211" t="n">
        <v>3.230654784</v>
      </c>
      <c r="AA211" t="n">
        <v>0.719855959</v>
      </c>
      <c r="AB211" t="n">
        <v>0.36045064</v>
      </c>
      <c r="AC211" t="n">
        <v>0.887281301</v>
      </c>
      <c r="AD211" t="n">
        <v>0.53297526</v>
      </c>
      <c r="AE211" t="n">
        <v>2.781170984</v>
      </c>
      <c r="AF211" t="n">
        <v>2.875859911</v>
      </c>
      <c r="AG211" t="n">
        <v>3.53047938</v>
      </c>
      <c r="AH211" t="n">
        <v>0.976089556</v>
      </c>
      <c r="AI211" t="n">
        <v>1.37722889</v>
      </c>
      <c r="AJ211" t="n">
        <v>2.054725586</v>
      </c>
      <c r="AK211" t="n">
        <v>2.80337605</v>
      </c>
      <c r="AL211" t="n">
        <v>1.165489024</v>
      </c>
      <c r="AM211" t="n">
        <v>2.212682812</v>
      </c>
      <c r="AN211" t="n">
        <v>0.9803988729999999</v>
      </c>
      <c r="AP211" t="n">
        <v>-0.623582755</v>
      </c>
      <c r="AQ211" t="n">
        <v>-2.581356091</v>
      </c>
      <c r="AR211" t="n">
        <v>0.766719203</v>
      </c>
      <c r="AS211" t="n">
        <v>-1.686618055</v>
      </c>
      <c r="AT211" t="n">
        <v>1.323027026</v>
      </c>
      <c r="AU211" t="n">
        <v>1.091897244</v>
      </c>
    </row>
    <row r="212">
      <c r="A212" t="inlineStr">
        <is>
          <t>1999-Q4</t>
        </is>
      </c>
      <c r="B212" s="87" t="n">
        <v>36526</v>
      </c>
      <c r="C212" t="n">
        <v>1.672821014</v>
      </c>
      <c r="D212" t="n">
        <v>1.706134855</v>
      </c>
      <c r="E212" t="n">
        <v>0.573167183</v>
      </c>
      <c r="F212" t="n">
        <v>1.18423025</v>
      </c>
      <c r="G212" t="n">
        <v>1.401893752</v>
      </c>
      <c r="H212" t="n">
        <v>1.40669634</v>
      </c>
      <c r="I212" t="n">
        <v>2.461727073</v>
      </c>
      <c r="J212" t="n">
        <v>2.235365843</v>
      </c>
      <c r="L212" t="n">
        <v>1.045600273</v>
      </c>
      <c r="M212" t="n">
        <v>0.766508856</v>
      </c>
      <c r="N212" t="n">
        <v>1.398796059</v>
      </c>
      <c r="O212" t="n">
        <v>1.149953</v>
      </c>
      <c r="P212" t="n">
        <v>1.134278725</v>
      </c>
      <c r="Q212" t="n">
        <v>2.589981789</v>
      </c>
      <c r="R212" t="n">
        <v>1.198253</v>
      </c>
      <c r="S212" t="n">
        <v>0.8529039349999999</v>
      </c>
      <c r="T212" t="n">
        <v>1.397810385</v>
      </c>
      <c r="U212" t="n">
        <v>1.238636</v>
      </c>
      <c r="V212" t="n">
        <v>1.368329551</v>
      </c>
      <c r="W212" t="n">
        <v>1.598924514</v>
      </c>
      <c r="X212" t="n">
        <v>1.155136807</v>
      </c>
      <c r="Y212" t="n">
        <v>1.65076</v>
      </c>
      <c r="Z212" t="n">
        <v>1.726048413</v>
      </c>
      <c r="AA212" t="n">
        <v>4.623918318</v>
      </c>
      <c r="AB212" t="n">
        <v>1.967801426</v>
      </c>
      <c r="AC212" t="n">
        <v>1.561980076</v>
      </c>
      <c r="AD212" t="n">
        <v>0.036211136</v>
      </c>
      <c r="AE212" t="n">
        <v>2.886255375</v>
      </c>
      <c r="AF212" t="n">
        <v>-0.408235262</v>
      </c>
      <c r="AG212" t="n">
        <v>3.363867408</v>
      </c>
      <c r="AH212" t="n">
        <v>0.91738841</v>
      </c>
      <c r="AI212" t="n">
        <v>1.406875109</v>
      </c>
      <c r="AJ212" t="n">
        <v>1.720275022</v>
      </c>
      <c r="AK212" t="n">
        <v>1.222504869</v>
      </c>
      <c r="AL212" t="n">
        <v>1.33009281</v>
      </c>
      <c r="AM212" t="n">
        <v>1.953620888</v>
      </c>
      <c r="AN212" t="n">
        <v>0.57433716</v>
      </c>
      <c r="AP212" t="n">
        <v>-0.452630729</v>
      </c>
      <c r="AQ212" t="n">
        <v>1.756916327</v>
      </c>
      <c r="AR212" t="n">
        <v>1.892553095</v>
      </c>
      <c r="AS212" t="n">
        <v>2.987420294</v>
      </c>
      <c r="AT212" t="n">
        <v>1.642779005</v>
      </c>
      <c r="AU212" t="n">
        <v>1.099982162</v>
      </c>
    </row>
    <row r="213">
      <c r="A213" t="inlineStr">
        <is>
          <t>2000-Q1</t>
        </is>
      </c>
      <c r="B213" s="87" t="n">
        <v>36617</v>
      </c>
      <c r="C213" t="n">
        <v>-0.340002407</v>
      </c>
      <c r="D213" t="n">
        <v>0.403417836</v>
      </c>
      <c r="E213" t="n">
        <v>1.128929189</v>
      </c>
      <c r="F213" t="n">
        <v>0.711111111</v>
      </c>
      <c r="G213" t="n">
        <v>1.050074887</v>
      </c>
      <c r="H213" t="n">
        <v>1.59973568</v>
      </c>
      <c r="I213" t="n">
        <v>0.775610709</v>
      </c>
      <c r="J213" t="n">
        <v>0.370176255</v>
      </c>
      <c r="L213" t="n">
        <v>1.357098004</v>
      </c>
      <c r="M213" t="n">
        <v>1.430876974</v>
      </c>
      <c r="N213" t="n">
        <v>0.975099668</v>
      </c>
      <c r="O213" t="n">
        <v>1.212351</v>
      </c>
      <c r="P213" t="n">
        <v>1.599659848</v>
      </c>
      <c r="Q213" t="n">
        <v>3.798031698</v>
      </c>
      <c r="R213" t="n">
        <v>1.152489</v>
      </c>
      <c r="S213" t="n">
        <v>2.982422893</v>
      </c>
      <c r="T213" t="n">
        <v>0.907453619</v>
      </c>
      <c r="U213" t="n">
        <v>0.871546</v>
      </c>
      <c r="V213" t="n">
        <v>0.986406683</v>
      </c>
      <c r="W213" t="n">
        <v>0.37966256</v>
      </c>
      <c r="X213" t="n">
        <v>0.854972775</v>
      </c>
      <c r="Y213" t="n">
        <v>2.09953</v>
      </c>
      <c r="Z213" t="n">
        <v>1.658957248</v>
      </c>
      <c r="AA213" t="n">
        <v>-0.290464965</v>
      </c>
      <c r="AB213" t="n">
        <v>2.207206336</v>
      </c>
      <c r="AC213" t="n">
        <v>1.021350086</v>
      </c>
      <c r="AD213" t="n">
        <v>1.697874044</v>
      </c>
      <c r="AE213" t="n">
        <v>1.895051738</v>
      </c>
      <c r="AF213" t="n">
        <v>5.175644811</v>
      </c>
      <c r="AG213" t="n">
        <v>0.755275294</v>
      </c>
      <c r="AH213" t="n">
        <v>1.878067224</v>
      </c>
      <c r="AI213" t="n">
        <v>0.62271011</v>
      </c>
      <c r="AJ213" t="n">
        <v>1.478193689</v>
      </c>
      <c r="AK213" t="n">
        <v>1.455458848</v>
      </c>
      <c r="AL213" t="n">
        <v>0.992709659</v>
      </c>
      <c r="AM213" t="n">
        <v>-0.341017105</v>
      </c>
      <c r="AN213" t="n">
        <v>2.225468585</v>
      </c>
      <c r="AP213" t="n">
        <v>1.064260957</v>
      </c>
      <c r="AQ213" t="n">
        <v>1.046926722</v>
      </c>
      <c r="AR213" t="n">
        <v>0.659311461</v>
      </c>
      <c r="AS213" t="n">
        <v>1.574851379</v>
      </c>
      <c r="AT213" t="n">
        <v>0.364447361</v>
      </c>
      <c r="AU213" t="n">
        <v>1.168839972</v>
      </c>
    </row>
    <row r="214">
      <c r="A214" t="inlineStr">
        <is>
          <t>2000-Q2</t>
        </is>
      </c>
      <c r="B214" s="87" t="n">
        <v>36708</v>
      </c>
      <c r="C214" t="n">
        <v>-1.60889246</v>
      </c>
      <c r="D214" t="n">
        <v>0.9369532860000001</v>
      </c>
      <c r="E214" t="n">
        <v>0.632128429</v>
      </c>
      <c r="F214" t="n">
        <v>0.719574385</v>
      </c>
      <c r="G214" t="n">
        <v>1.41107736</v>
      </c>
      <c r="H214" t="n">
        <v>1.188584709</v>
      </c>
      <c r="I214" t="n">
        <v>0.404782217</v>
      </c>
      <c r="J214" t="n">
        <v>-0.018166162</v>
      </c>
      <c r="L214" t="n">
        <v>1.043014547</v>
      </c>
      <c r="M214" t="n">
        <v>0.821432516</v>
      </c>
      <c r="N214" t="n">
        <v>1.138417342</v>
      </c>
      <c r="O214" t="n">
        <v>0.917156</v>
      </c>
      <c r="P214" t="n">
        <v>1.252231977</v>
      </c>
      <c r="Q214" t="n">
        <v>2.504252108</v>
      </c>
      <c r="R214" t="n">
        <v>0.978984</v>
      </c>
      <c r="S214" t="n">
        <v>0.770593242</v>
      </c>
      <c r="T214" t="n">
        <v>0.989866027</v>
      </c>
      <c r="U214" t="n">
        <v>1.255251</v>
      </c>
      <c r="V214" t="n">
        <v>0.64698477</v>
      </c>
      <c r="W214" t="n">
        <v>0.921994078</v>
      </c>
      <c r="X214" t="n">
        <v>1.075929261</v>
      </c>
      <c r="Y214" t="n">
        <v>0.13491</v>
      </c>
      <c r="Z214" t="n">
        <v>3.381506401</v>
      </c>
      <c r="AA214" t="n">
        <v>1.042824234</v>
      </c>
      <c r="AB214" t="n">
        <v>3.135810053</v>
      </c>
      <c r="AC214" t="n">
        <v>0.813409884</v>
      </c>
      <c r="AD214" t="n">
        <v>0.473742045</v>
      </c>
      <c r="AE214" t="n">
        <v>1.332510215</v>
      </c>
      <c r="AF214" t="n">
        <v>-1.308913481</v>
      </c>
      <c r="AG214" t="n">
        <v>-0.208620754</v>
      </c>
      <c r="AH214" t="n">
        <v>1.511846563</v>
      </c>
      <c r="AI214" t="n">
        <v>1.116802889</v>
      </c>
      <c r="AJ214" t="n">
        <v>-1.444122002</v>
      </c>
      <c r="AK214" t="n">
        <v>0.048513165</v>
      </c>
      <c r="AL214" t="n">
        <v>1.260420054</v>
      </c>
      <c r="AM214" t="n">
        <v>1.204583059</v>
      </c>
      <c r="AN214" t="n">
        <v>-0.528487831</v>
      </c>
      <c r="AP214" t="n">
        <v>0.990647992</v>
      </c>
      <c r="AQ214" t="n">
        <v>1.415358143</v>
      </c>
      <c r="AR214" t="n">
        <v>2.517145723</v>
      </c>
      <c r="AS214" t="n">
        <v>3.893370357</v>
      </c>
      <c r="AT214" t="n">
        <v>1.820583008</v>
      </c>
      <c r="AU214" t="n">
        <v>0.9199907859999999</v>
      </c>
    </row>
    <row r="215">
      <c r="A215" t="inlineStr">
        <is>
          <t>2000-Q3</t>
        </is>
      </c>
      <c r="B215" s="87" t="n">
        <v>36800</v>
      </c>
      <c r="C215" t="n">
        <v>-0.255185082</v>
      </c>
      <c r="D215" t="n">
        <v>0.246876586</v>
      </c>
      <c r="E215" t="n">
        <v>0.451733077</v>
      </c>
      <c r="F215" t="n">
        <v>0.463712377</v>
      </c>
      <c r="G215" t="n">
        <v>1.179862953</v>
      </c>
      <c r="H215" t="n">
        <v>1.016981788</v>
      </c>
      <c r="I215" t="n">
        <v>0.767230538</v>
      </c>
      <c r="J215" t="n">
        <v>1.503206778</v>
      </c>
      <c r="L215" t="n">
        <v>1.360161434</v>
      </c>
      <c r="M215" t="n">
        <v>-0.023611874</v>
      </c>
      <c r="N215" t="n">
        <v>0.276238214</v>
      </c>
      <c r="O215" t="n">
        <v>0.539986</v>
      </c>
      <c r="P215" t="n">
        <v>1.079224244</v>
      </c>
      <c r="Q215" t="n">
        <v>1.233841448</v>
      </c>
      <c r="R215" t="n">
        <v>0.540975</v>
      </c>
      <c r="S215" t="n">
        <v>1.565924032</v>
      </c>
      <c r="T215" t="n">
        <v>0.6242801</v>
      </c>
      <c r="U215" t="n">
        <v>0.208464</v>
      </c>
      <c r="V215" t="n">
        <v>0.382359938</v>
      </c>
      <c r="W215" t="n">
        <v>1.868409667</v>
      </c>
      <c r="X215" t="n">
        <v>0.869658732</v>
      </c>
      <c r="Y215" t="n">
        <v>1.32769</v>
      </c>
      <c r="Z215" t="n">
        <v>1.596829058</v>
      </c>
      <c r="AA215" t="n">
        <v>2.967164183</v>
      </c>
      <c r="AB215" t="n">
        <v>2.978890285</v>
      </c>
      <c r="AC215" t="n">
        <v>0.6135343</v>
      </c>
      <c r="AD215" t="n">
        <v>0.025553083</v>
      </c>
      <c r="AE215" t="n">
        <v>2.754591172</v>
      </c>
      <c r="AF215" t="n">
        <v>1.742455567</v>
      </c>
      <c r="AG215" t="n">
        <v>3.170747971</v>
      </c>
      <c r="AH215" t="n">
        <v>1.020215334</v>
      </c>
      <c r="AI215" t="n">
        <v>0.825163363</v>
      </c>
      <c r="AJ215" t="n">
        <v>0.970594383</v>
      </c>
      <c r="AK215" t="n">
        <v>0.391176923</v>
      </c>
      <c r="AL215" t="n">
        <v>0.470585966</v>
      </c>
      <c r="AM215" t="n">
        <v>0.387226759</v>
      </c>
      <c r="AN215" t="n">
        <v>1.464864525</v>
      </c>
      <c r="AP215" t="n">
        <v>0.608602889</v>
      </c>
      <c r="AQ215" t="n">
        <v>1.166126863</v>
      </c>
      <c r="AR215" t="n">
        <v>0.789538671</v>
      </c>
      <c r="AS215" t="n">
        <v>1.489316422</v>
      </c>
      <c r="AT215" t="n">
        <v>0.099774128</v>
      </c>
      <c r="AU215" t="n">
        <v>0.990394283</v>
      </c>
    </row>
    <row r="216">
      <c r="A216" t="inlineStr">
        <is>
          <t>2000-Q4</t>
        </is>
      </c>
      <c r="B216" s="87" t="n">
        <v>36892</v>
      </c>
      <c r="C216" t="n">
        <v>0.306858135</v>
      </c>
      <c r="D216" t="n">
        <v>-0.354287112</v>
      </c>
      <c r="E216" t="n">
        <v>1.57765397</v>
      </c>
      <c r="F216" t="n">
        <v>0.977660399</v>
      </c>
      <c r="G216" t="n">
        <v>1.227003215</v>
      </c>
      <c r="H216" t="n">
        <v>0.1712074</v>
      </c>
      <c r="I216" t="n">
        <v>1.086996684</v>
      </c>
      <c r="J216" t="n">
        <v>1.249744518</v>
      </c>
      <c r="L216" t="n">
        <v>0.405188971</v>
      </c>
      <c r="M216" t="n">
        <v>-0.307079935</v>
      </c>
      <c r="N216" t="n">
        <v>0.9778001670000001</v>
      </c>
      <c r="O216" t="n">
        <v>0.6674949999999999</v>
      </c>
      <c r="P216" t="n">
        <v>1.03044539</v>
      </c>
      <c r="Q216" t="n">
        <v>2.249921356</v>
      </c>
      <c r="R216" t="n">
        <v>0.693813</v>
      </c>
      <c r="S216" t="n">
        <v>1.063064683</v>
      </c>
      <c r="T216" t="n">
        <v>0.8154857089999999</v>
      </c>
      <c r="U216" t="n">
        <v>0.59644</v>
      </c>
      <c r="V216" t="n">
        <v>0.285860881</v>
      </c>
      <c r="W216" t="n">
        <v>1.418925598</v>
      </c>
      <c r="X216" t="n">
        <v>1.841036819</v>
      </c>
      <c r="Y216" t="n">
        <v>0.04189</v>
      </c>
      <c r="Z216" t="n">
        <v>0.373384583</v>
      </c>
      <c r="AA216" t="n">
        <v>-0.772665789</v>
      </c>
      <c r="AB216" t="n">
        <v>-0.09067312299999999</v>
      </c>
      <c r="AC216" t="n">
        <v>1.444006377</v>
      </c>
      <c r="AD216" t="n">
        <v>0.971888836</v>
      </c>
      <c r="AE216" t="n">
        <v>-0.324457972</v>
      </c>
      <c r="AF216" t="n">
        <v>0.587565665</v>
      </c>
      <c r="AG216" t="n">
        <v>-1.248874419</v>
      </c>
      <c r="AH216" t="n">
        <v>-0.86520579</v>
      </c>
      <c r="AI216" t="n">
        <v>1.299729479</v>
      </c>
      <c r="AJ216" t="n">
        <v>0.039302633</v>
      </c>
      <c r="AK216" t="n">
        <v>0.196758546</v>
      </c>
      <c r="AL216" t="n">
        <v>0.584249637</v>
      </c>
      <c r="AM216" t="n">
        <v>2.932086152</v>
      </c>
      <c r="AN216" t="n">
        <v>0.669401591</v>
      </c>
      <c r="AP216" t="n">
        <v>0.568828935</v>
      </c>
      <c r="AQ216" t="n">
        <v>0.682837051</v>
      </c>
      <c r="AR216" t="n">
        <v>-0.298315429</v>
      </c>
      <c r="AS216" t="n">
        <v>1.436633405</v>
      </c>
      <c r="AT216" t="n">
        <v>0.594361755</v>
      </c>
      <c r="AU216" t="n">
        <v>0.850954686</v>
      </c>
    </row>
    <row r="217">
      <c r="A217" t="inlineStr">
        <is>
          <t>2001-Q1</t>
        </is>
      </c>
      <c r="B217" s="87" t="n">
        <v>36982</v>
      </c>
      <c r="C217" t="n">
        <v>0.163646159</v>
      </c>
      <c r="D217" t="n">
        <v>1.035278557</v>
      </c>
      <c r="E217" t="n">
        <v>-0.351158494</v>
      </c>
      <c r="F217" t="n">
        <v>0.056388046</v>
      </c>
      <c r="G217" t="n">
        <v>0.372809122</v>
      </c>
      <c r="H217" t="n">
        <v>0.529651011</v>
      </c>
      <c r="I217" t="n">
        <v>0.05327005</v>
      </c>
      <c r="J217" t="n">
        <v>1.125861501</v>
      </c>
      <c r="L217" t="n">
        <v>1.152829325</v>
      </c>
      <c r="M217" t="n">
        <v>2.010957903</v>
      </c>
      <c r="N217" t="n">
        <v>-1.085721803</v>
      </c>
      <c r="O217" t="n">
        <v>1.022949</v>
      </c>
      <c r="P217" t="n">
        <v>1.061758264</v>
      </c>
      <c r="Q217" t="n">
        <v>1.44279995</v>
      </c>
      <c r="R217" t="n">
        <v>0.904631</v>
      </c>
      <c r="S217" t="n">
        <v>0.489247671</v>
      </c>
      <c r="T217" t="n">
        <v>0.541715331</v>
      </c>
      <c r="U217" t="n">
        <v>0.344961</v>
      </c>
      <c r="V217" t="n">
        <v>0.855138138</v>
      </c>
      <c r="W217" t="n">
        <v>1.237878102</v>
      </c>
      <c r="X217" t="n">
        <v>0.7194350309999999</v>
      </c>
      <c r="Y217" t="n">
        <v>0.54066</v>
      </c>
      <c r="Z217" t="n">
        <v>2.466676466</v>
      </c>
      <c r="AA217" t="n">
        <v>-0.0008180420000000001</v>
      </c>
      <c r="AB217" t="n">
        <v>-1.196496166</v>
      </c>
      <c r="AC217" t="n">
        <v>0.665264133</v>
      </c>
      <c r="AD217" t="n">
        <v>0.74252922</v>
      </c>
      <c r="AE217" t="n">
        <v>1.225554801</v>
      </c>
      <c r="AF217" t="n">
        <v>1.631256881</v>
      </c>
      <c r="AG217" t="n">
        <v>2.264849913</v>
      </c>
      <c r="AH217" t="n">
        <v>0.033449972</v>
      </c>
      <c r="AI217" t="n">
        <v>0.108520684</v>
      </c>
      <c r="AJ217" t="n">
        <v>1.169918607</v>
      </c>
      <c r="AK217" t="n">
        <v>0.349581118</v>
      </c>
      <c r="AL217" t="n">
        <v>0.258543986</v>
      </c>
      <c r="AM217" t="n">
        <v>-1.348296185</v>
      </c>
      <c r="AN217" t="n">
        <v>-0.312683656</v>
      </c>
      <c r="AP217" t="n">
        <v>0.7095832</v>
      </c>
      <c r="AQ217" t="n">
        <v>1.262127672</v>
      </c>
      <c r="AR217" t="n">
        <v>0.365595155</v>
      </c>
      <c r="AS217" t="n">
        <v>-5.125129608</v>
      </c>
      <c r="AT217" t="n">
        <v>-0.324221003</v>
      </c>
      <c r="AU217" t="n">
        <v>0.614511833</v>
      </c>
    </row>
    <row r="218">
      <c r="A218" t="inlineStr">
        <is>
          <t>2001-Q2</t>
        </is>
      </c>
      <c r="B218" s="87" t="n">
        <v>37073</v>
      </c>
      <c r="C218" t="n">
        <v>-0.829817774</v>
      </c>
      <c r="D218" t="n">
        <v>0.8121111519999999</v>
      </c>
      <c r="E218" t="n">
        <v>-0.24617582</v>
      </c>
      <c r="F218" t="n">
        <v>0.017986043</v>
      </c>
      <c r="G218" t="n">
        <v>-0.495293062</v>
      </c>
      <c r="H218" t="n">
        <v>0.269490025</v>
      </c>
      <c r="I218" t="n">
        <v>0.536983228</v>
      </c>
      <c r="J218" t="n">
        <v>0.789490825</v>
      </c>
      <c r="L218" t="n">
        <v>0.277069223</v>
      </c>
      <c r="M218" t="n">
        <v>-0.058069487</v>
      </c>
      <c r="N218" t="n">
        <v>0.488181251</v>
      </c>
      <c r="O218" t="n">
        <v>0.095263</v>
      </c>
      <c r="P218" t="n">
        <v>0.7391157310000001</v>
      </c>
      <c r="Q218" t="n">
        <v>0.124261573</v>
      </c>
      <c r="R218" t="n">
        <v>0.101611</v>
      </c>
      <c r="S218" t="n">
        <v>0.119503397</v>
      </c>
      <c r="T218" t="n">
        <v>0.188794324</v>
      </c>
      <c r="U218" t="n">
        <v>0.196832</v>
      </c>
      <c r="V218" t="n">
        <v>0.45993671</v>
      </c>
      <c r="W218" t="n">
        <v>-0.263573867</v>
      </c>
      <c r="X218" t="n">
        <v>0.832231128</v>
      </c>
      <c r="Y218" t="n">
        <v>2.08137</v>
      </c>
      <c r="Z218" t="n">
        <v>1.717628974</v>
      </c>
      <c r="AA218" t="n">
        <v>3.457801719</v>
      </c>
      <c r="AB218" t="n">
        <v>-0.513712407</v>
      </c>
      <c r="AC218" t="n">
        <v>-0.394784479</v>
      </c>
      <c r="AD218" t="n">
        <v>-0.750612311</v>
      </c>
      <c r="AE218" t="n">
        <v>1.298881026</v>
      </c>
      <c r="AF218" t="n">
        <v>-1.245687013</v>
      </c>
      <c r="AG218" t="n">
        <v>4.502248534</v>
      </c>
      <c r="AH218" t="n">
        <v>-0.541184381</v>
      </c>
      <c r="AI218" t="n">
        <v>0.505669035</v>
      </c>
      <c r="AJ218" t="n">
        <v>-0.177712299</v>
      </c>
      <c r="AK218" t="n">
        <v>1.423450698</v>
      </c>
      <c r="AL218" t="n">
        <v>0.144797239</v>
      </c>
      <c r="AM218" t="n">
        <v>-0.453090304</v>
      </c>
      <c r="AN218" t="n">
        <v>0.967446145</v>
      </c>
      <c r="AP218" t="n">
        <v>1.053496946</v>
      </c>
      <c r="AQ218" t="n">
        <v>0.268400157</v>
      </c>
      <c r="AR218" t="n">
        <v>0.009515642</v>
      </c>
      <c r="AS218" t="n">
        <v>-4.844038717</v>
      </c>
      <c r="AT218" t="n">
        <v>0.621389215</v>
      </c>
      <c r="AU218" t="n">
        <v>0.499704416</v>
      </c>
    </row>
    <row r="219">
      <c r="A219" t="inlineStr">
        <is>
          <t>2001-Q3</t>
        </is>
      </c>
      <c r="B219" s="87" t="n">
        <v>37165</v>
      </c>
      <c r="C219" t="n">
        <v>-4.645878876</v>
      </c>
      <c r="D219" t="n">
        <v>1.195133787</v>
      </c>
      <c r="E219" t="n">
        <v>0.057537908</v>
      </c>
      <c r="F219" t="n">
        <v>-0.190617769</v>
      </c>
      <c r="G219" t="n">
        <v>-0.5181256440000001</v>
      </c>
      <c r="H219" t="n">
        <v>-0.066614244</v>
      </c>
      <c r="I219" t="n">
        <v>-0.170241803</v>
      </c>
      <c r="J219" t="n">
        <v>-0.629860669</v>
      </c>
      <c r="L219" t="n">
        <v>0.496594761</v>
      </c>
      <c r="M219" t="n">
        <v>-0.162669071</v>
      </c>
      <c r="N219" t="n">
        <v>0.897826274</v>
      </c>
      <c r="O219" t="n">
        <v>0.099605</v>
      </c>
      <c r="P219" t="n">
        <v>0.932024082</v>
      </c>
      <c r="Q219" t="n">
        <v>2.065119881</v>
      </c>
      <c r="R219" t="n">
        <v>0.167106</v>
      </c>
      <c r="S219" t="n">
        <v>0.632169934</v>
      </c>
      <c r="T219" t="n">
        <v>0.274913794</v>
      </c>
      <c r="U219" t="n">
        <v>-0.350153</v>
      </c>
      <c r="V219" t="n">
        <v>0.468170648</v>
      </c>
      <c r="W219" t="n">
        <v>1.621616296</v>
      </c>
      <c r="X219" t="n">
        <v>0.909259287</v>
      </c>
      <c r="Y219" t="n">
        <v>1.23686</v>
      </c>
      <c r="Z219" t="n">
        <v>-0.854132231</v>
      </c>
      <c r="AA219" t="n">
        <v>-2.580921955</v>
      </c>
      <c r="AB219" t="n">
        <v>-1.126977785</v>
      </c>
      <c r="AC219" t="n">
        <v>-0.284756427</v>
      </c>
      <c r="AD219" t="n">
        <v>-1.089555829</v>
      </c>
      <c r="AE219" t="n">
        <v>1.350193624</v>
      </c>
      <c r="AF219" t="n">
        <v>1.438634796</v>
      </c>
      <c r="AG219" t="n">
        <v>-2.036468343</v>
      </c>
      <c r="AH219" t="n">
        <v>0.218740889</v>
      </c>
      <c r="AI219" t="n">
        <v>0.173787806</v>
      </c>
      <c r="AJ219" t="n">
        <v>1.231055685</v>
      </c>
      <c r="AK219" t="n">
        <v>0.759938589</v>
      </c>
      <c r="AL219" t="n">
        <v>-0.0847885</v>
      </c>
      <c r="AM219" t="n">
        <v>0.782919295</v>
      </c>
      <c r="AN219" t="n">
        <v>0.146341395</v>
      </c>
      <c r="AP219" t="n">
        <v>0.388533175</v>
      </c>
      <c r="AQ219" t="n">
        <v>0.594822009</v>
      </c>
      <c r="AR219" t="n">
        <v>0.384882708</v>
      </c>
      <c r="AS219" t="n">
        <v>1.251785772</v>
      </c>
      <c r="AT219" t="n">
        <v>-0.400349016</v>
      </c>
      <c r="AU219" t="n">
        <v>0.265747943</v>
      </c>
    </row>
    <row r="220">
      <c r="A220" t="inlineStr">
        <is>
          <t>2001-Q4</t>
        </is>
      </c>
      <c r="B220" s="87" t="n">
        <v>37257</v>
      </c>
      <c r="C220" t="n">
        <v>-5.694872931</v>
      </c>
      <c r="D220" t="n">
        <v>1.213760806</v>
      </c>
      <c r="E220" t="n">
        <v>0.56853562</v>
      </c>
      <c r="F220" t="n">
        <v>-0.09969491</v>
      </c>
      <c r="G220" t="n">
        <v>-0.27944447</v>
      </c>
      <c r="H220" t="n">
        <v>0.608829247</v>
      </c>
      <c r="I220" t="n">
        <v>-0.120988653</v>
      </c>
      <c r="J220" t="n">
        <v>0.9341774349999999</v>
      </c>
      <c r="L220" t="n">
        <v>0.602744645</v>
      </c>
      <c r="M220" t="n">
        <v>-0.116388103</v>
      </c>
      <c r="N220" t="n">
        <v>-0.197216541</v>
      </c>
      <c r="O220" t="n">
        <v>0.118312</v>
      </c>
      <c r="P220" t="n">
        <v>0.691906748</v>
      </c>
      <c r="Q220" t="n">
        <v>1.467102391</v>
      </c>
      <c r="R220" t="n">
        <v>0.158151</v>
      </c>
      <c r="S220" t="n">
        <v>-0.281151844</v>
      </c>
      <c r="T220" t="n">
        <v>0.021023231</v>
      </c>
      <c r="U220" t="n">
        <v>0.096347</v>
      </c>
      <c r="V220" t="n">
        <v>0.225694735</v>
      </c>
      <c r="W220" t="n">
        <v>0.264898641</v>
      </c>
      <c r="X220" t="n">
        <v>0.733873021</v>
      </c>
      <c r="Y220" t="n">
        <v>2.29588</v>
      </c>
      <c r="Z220" t="n">
        <v>1.63181621</v>
      </c>
      <c r="AA220" t="n">
        <v>6.312388002</v>
      </c>
      <c r="AB220" t="n">
        <v>-0.506576298</v>
      </c>
      <c r="AC220" t="n">
        <v>-0.177660911</v>
      </c>
      <c r="AD220" t="n">
        <v>-0.341007844</v>
      </c>
      <c r="AE220" t="n">
        <v>1.762585517</v>
      </c>
      <c r="AF220" t="n">
        <v>2.616537596</v>
      </c>
      <c r="AG220" t="n">
        <v>3.295260629</v>
      </c>
      <c r="AH220" t="n">
        <v>-0.637549669</v>
      </c>
      <c r="AI220" t="n">
        <v>0.322515301</v>
      </c>
      <c r="AJ220" t="n">
        <v>0.869051216</v>
      </c>
      <c r="AK220" t="n">
        <v>1.485937252</v>
      </c>
      <c r="AL220" t="n">
        <v>0.185284646</v>
      </c>
      <c r="AM220" t="n">
        <v>0.295692165</v>
      </c>
      <c r="AN220" t="n">
        <v>1.399039679</v>
      </c>
      <c r="AP220" t="n">
        <v>2.16104045</v>
      </c>
      <c r="AQ220" t="n">
        <v>0.976382815</v>
      </c>
      <c r="AR220" t="n">
        <v>0.850153386</v>
      </c>
      <c r="AS220" t="n">
        <v>-1.682896271</v>
      </c>
      <c r="AT220" t="n">
        <v>0.277314358</v>
      </c>
      <c r="AU220" t="n">
        <v>0.769322925</v>
      </c>
    </row>
    <row r="221">
      <c r="A221" t="inlineStr">
        <is>
          <t>2002-Q1</t>
        </is>
      </c>
      <c r="B221" s="87" t="n">
        <v>37347</v>
      </c>
      <c r="C221" t="n">
        <v>-4.931018536</v>
      </c>
      <c r="D221" t="n">
        <v>0.764615928</v>
      </c>
      <c r="E221" t="n">
        <v>0.852335042</v>
      </c>
      <c r="F221" t="n">
        <v>0.859674646</v>
      </c>
      <c r="G221" t="n">
        <v>2.308552095</v>
      </c>
      <c r="H221" t="n">
        <v>1.484226046</v>
      </c>
      <c r="I221" t="n">
        <v>-0.07699075700000001</v>
      </c>
      <c r="J221" t="n">
        <v>0.915960738</v>
      </c>
      <c r="L221" t="n">
        <v>-0.125180955</v>
      </c>
      <c r="M221" t="n">
        <v>-0.5243559840000001</v>
      </c>
      <c r="N221" t="n">
        <v>-0.033566445</v>
      </c>
      <c r="O221" t="n">
        <v>0.094414</v>
      </c>
      <c r="P221" t="n">
        <v>0.425504172</v>
      </c>
      <c r="Q221" t="n">
        <v>0.696996693</v>
      </c>
      <c r="R221" t="n">
        <v>0.12252</v>
      </c>
      <c r="S221" t="n">
        <v>0.654199432</v>
      </c>
      <c r="T221" t="n">
        <v>0.371689805</v>
      </c>
      <c r="U221" t="n">
        <v>0.503703</v>
      </c>
      <c r="V221" t="n">
        <v>0.52893754</v>
      </c>
      <c r="W221" t="n">
        <v>0.8170476679999999</v>
      </c>
      <c r="X221" t="n">
        <v>2.238152085</v>
      </c>
      <c r="Y221" t="n">
        <v>0.8071</v>
      </c>
      <c r="Z221" t="n">
        <v>2.77134609</v>
      </c>
      <c r="AA221" t="n">
        <v>-6.424860032</v>
      </c>
      <c r="AB221" t="n">
        <v>0.389669655</v>
      </c>
      <c r="AC221" t="n">
        <v>0.110900546</v>
      </c>
      <c r="AD221" t="n">
        <v>0.16881618</v>
      </c>
      <c r="AE221" t="n">
        <v>2.544481592</v>
      </c>
      <c r="AF221" t="n">
        <v>0.418170158</v>
      </c>
      <c r="AG221" t="n">
        <v>0.016412546</v>
      </c>
      <c r="AH221" t="n">
        <v>-0.67097744</v>
      </c>
      <c r="AI221" t="n">
        <v>-0.610179989</v>
      </c>
      <c r="AJ221" t="n">
        <v>-1.027914667</v>
      </c>
      <c r="AK221" t="n">
        <v>0.889933687</v>
      </c>
      <c r="AL221" t="n">
        <v>0.5514219809999999</v>
      </c>
      <c r="AM221" t="n">
        <v>0.211495959</v>
      </c>
      <c r="AN221" t="n">
        <v>0.177808538</v>
      </c>
      <c r="AP221" t="n">
        <v>0.322354662</v>
      </c>
      <c r="AQ221" t="n">
        <v>1.343626615</v>
      </c>
      <c r="AR221" t="n">
        <v>-0.153812122</v>
      </c>
      <c r="AS221" t="n">
        <v>3.777582554</v>
      </c>
      <c r="AT221" t="n">
        <v>0.828227216</v>
      </c>
      <c r="AU221" t="n">
        <v>1.08600902</v>
      </c>
    </row>
    <row r="222">
      <c r="A222" t="inlineStr">
        <is>
          <t>2002-Q2</t>
        </is>
      </c>
      <c r="B222" s="87" t="n">
        <v>37438</v>
      </c>
      <c r="C222" t="n">
        <v>0.423986148</v>
      </c>
      <c r="D222" t="n">
        <v>1.70733131</v>
      </c>
      <c r="E222" t="n">
        <v>0.5097768110000001</v>
      </c>
      <c r="F222" t="n">
        <v>0.855923515</v>
      </c>
      <c r="G222" t="n">
        <v>0.555925026</v>
      </c>
      <c r="H222" t="n">
        <v>0.589373312</v>
      </c>
      <c r="I222" t="n">
        <v>0.203533984</v>
      </c>
      <c r="J222" t="n">
        <v>-0.245208565</v>
      </c>
      <c r="L222" t="n">
        <v>0.513016522</v>
      </c>
      <c r="M222" t="n">
        <v>0.445116442</v>
      </c>
      <c r="N222" t="n">
        <v>-0.009920152999999999</v>
      </c>
      <c r="O222" t="n">
        <v>0.542615</v>
      </c>
      <c r="P222" t="n">
        <v>0.814943369</v>
      </c>
      <c r="Q222" t="n">
        <v>3.497038095</v>
      </c>
      <c r="R222" t="n">
        <v>0.581688</v>
      </c>
      <c r="S222" t="n">
        <v>0.989145658</v>
      </c>
      <c r="T222" t="n">
        <v>0.462624631</v>
      </c>
      <c r="U222" t="n">
        <v>0.603624</v>
      </c>
      <c r="V222" t="n">
        <v>0.648963487</v>
      </c>
      <c r="W222" t="n">
        <v>2.238306787</v>
      </c>
      <c r="X222" t="n">
        <v>0.57661406</v>
      </c>
      <c r="Y222" t="n">
        <v>0.62376</v>
      </c>
      <c r="Z222" t="n">
        <v>0.7579142210000001</v>
      </c>
      <c r="AA222" t="n">
        <v>4.165762745</v>
      </c>
      <c r="AB222" t="n">
        <v>0.439794812</v>
      </c>
      <c r="AC222" t="n">
        <v>0.409076376</v>
      </c>
      <c r="AD222" t="n">
        <v>0.810312424</v>
      </c>
      <c r="AE222" t="n">
        <v>1.812135416</v>
      </c>
      <c r="AF222" t="n">
        <v>1.758029925</v>
      </c>
      <c r="AG222" t="n">
        <v>3.665525156</v>
      </c>
      <c r="AH222" t="n">
        <v>0.91383819</v>
      </c>
      <c r="AI222" t="n">
        <v>0.348263578</v>
      </c>
      <c r="AJ222" t="n">
        <v>2.077768669</v>
      </c>
      <c r="AK222" t="n">
        <v>1.31775746</v>
      </c>
      <c r="AL222" t="n">
        <v>0.8025765969999999</v>
      </c>
      <c r="AM222" t="n">
        <v>0.904434924</v>
      </c>
      <c r="AN222" t="n">
        <v>-0.463985813</v>
      </c>
      <c r="AP222" t="n">
        <v>1.006510923</v>
      </c>
      <c r="AQ222" t="n">
        <v>-0.095101198</v>
      </c>
      <c r="AR222" t="n">
        <v>1.588128809</v>
      </c>
      <c r="AS222" t="n">
        <v>4.316415446</v>
      </c>
      <c r="AT222" t="n">
        <v>0.615502456</v>
      </c>
      <c r="AU222" t="n">
        <v>1.268859181</v>
      </c>
    </row>
    <row r="223">
      <c r="A223" t="inlineStr">
        <is>
          <t>2002-Q3</t>
        </is>
      </c>
      <c r="B223" s="87" t="n">
        <v>37530</v>
      </c>
      <c r="C223" t="n">
        <v>0.074497309</v>
      </c>
      <c r="D223" t="n">
        <v>0.300981058</v>
      </c>
      <c r="E223" t="n">
        <v>0.354199979</v>
      </c>
      <c r="F223" t="n">
        <v>0.5354356770000001</v>
      </c>
      <c r="G223" t="n">
        <v>1.238309316</v>
      </c>
      <c r="H223" t="n">
        <v>0.86544944</v>
      </c>
      <c r="I223" t="n">
        <v>0.230205218</v>
      </c>
      <c r="J223" t="n">
        <v>0.6469699799999999</v>
      </c>
      <c r="L223" t="n">
        <v>0.521880201</v>
      </c>
      <c r="M223" t="n">
        <v>0.489797642</v>
      </c>
      <c r="N223" t="n">
        <v>0.340052292</v>
      </c>
      <c r="O223" t="n">
        <v>0.415112</v>
      </c>
      <c r="P223" t="n">
        <v>0.616462467</v>
      </c>
      <c r="Q223" t="n">
        <v>2.004469336</v>
      </c>
      <c r="R223" t="n">
        <v>0.45305</v>
      </c>
      <c r="S223" t="n">
        <v>-0.234029644</v>
      </c>
      <c r="T223" t="n">
        <v>0.419230581</v>
      </c>
      <c r="U223" t="n">
        <v>0.428912</v>
      </c>
      <c r="V223" t="n">
        <v>0.701421488</v>
      </c>
      <c r="W223" t="n">
        <v>0.577044906</v>
      </c>
      <c r="X223" t="n">
        <v>0.943609234</v>
      </c>
      <c r="Y223" t="n">
        <v>0.59356</v>
      </c>
      <c r="Z223" t="n">
        <v>1.89786165</v>
      </c>
      <c r="AA223" t="n">
        <v>-0.991773424</v>
      </c>
      <c r="AB223" t="n">
        <v>0.050339631</v>
      </c>
      <c r="AC223" t="n">
        <v>0.228678201</v>
      </c>
      <c r="AD223" t="n">
        <v>0.314112035</v>
      </c>
      <c r="AE223" t="n">
        <v>2.021812956</v>
      </c>
      <c r="AF223" t="n">
        <v>-1.554092716</v>
      </c>
      <c r="AG223" t="n">
        <v>1.346605475</v>
      </c>
      <c r="AH223" t="n">
        <v>0.780170408</v>
      </c>
      <c r="AI223" t="n">
        <v>0.155263883</v>
      </c>
      <c r="AJ223" t="n">
        <v>-1.484075443</v>
      </c>
      <c r="AK223" t="n">
        <v>1.172141624</v>
      </c>
      <c r="AL223" t="n">
        <v>0.513575266</v>
      </c>
      <c r="AM223" t="n">
        <v>1.232643575</v>
      </c>
      <c r="AN223" t="n">
        <v>-0.453600128</v>
      </c>
      <c r="AP223" t="n">
        <v>2.240056321</v>
      </c>
      <c r="AQ223" t="n">
        <v>1.157995313</v>
      </c>
      <c r="AR223" t="n">
        <v>0.595715638</v>
      </c>
      <c r="AS223" t="n">
        <v>1.366468032</v>
      </c>
      <c r="AT223" t="n">
        <v>0.403528704</v>
      </c>
      <c r="AU223" t="n">
        <v>1.131829481</v>
      </c>
    </row>
    <row r="224">
      <c r="A224" t="inlineStr">
        <is>
          <t>2002-Q4</t>
        </is>
      </c>
      <c r="B224" s="87" t="n">
        <v>37622</v>
      </c>
      <c r="C224" t="n">
        <v>1.019056942</v>
      </c>
      <c r="D224" t="n">
        <v>0.820128105</v>
      </c>
      <c r="E224" t="n">
        <v>-0.450656719</v>
      </c>
      <c r="F224" t="n">
        <v>0.373866936</v>
      </c>
      <c r="G224" t="n">
        <v>1.009189913</v>
      </c>
      <c r="H224" t="n">
        <v>0.548620905</v>
      </c>
      <c r="I224" t="n">
        <v>-0.468790999</v>
      </c>
      <c r="J224" t="n">
        <v>2.06484308</v>
      </c>
      <c r="L224" t="n">
        <v>0.753393279</v>
      </c>
      <c r="M224" t="n">
        <v>-0.139252859</v>
      </c>
      <c r="N224" t="n">
        <v>-0.330022229</v>
      </c>
      <c r="O224" t="n">
        <v>0.157597</v>
      </c>
      <c r="P224" t="n">
        <v>0.760736929</v>
      </c>
      <c r="Q224" t="n">
        <v>0.732022344</v>
      </c>
      <c r="R224" t="n">
        <v>0.172825</v>
      </c>
      <c r="S224" t="n">
        <v>1.138140747</v>
      </c>
      <c r="T224" t="n">
        <v>-0.050622937</v>
      </c>
      <c r="U224" t="n">
        <v>0.202784</v>
      </c>
      <c r="V224" t="n">
        <v>0.880044436</v>
      </c>
      <c r="W224" t="n">
        <v>0.771020466</v>
      </c>
      <c r="X224" t="n">
        <v>1.221298311</v>
      </c>
      <c r="Y224" t="n">
        <v>0.07824</v>
      </c>
      <c r="Z224" t="n">
        <v>1.030579122</v>
      </c>
      <c r="AA224" t="n">
        <v>2.104430912</v>
      </c>
      <c r="AB224" t="n">
        <v>-0.169399613</v>
      </c>
      <c r="AC224" t="n">
        <v>0.371460755</v>
      </c>
      <c r="AD224" t="n">
        <v>0.27803701</v>
      </c>
      <c r="AE224" t="n">
        <v>1.097353992</v>
      </c>
      <c r="AF224" t="n">
        <v>-0.350453465</v>
      </c>
      <c r="AG224" t="n">
        <v>3.978817322</v>
      </c>
      <c r="AH224" t="n">
        <v>0.234789583</v>
      </c>
      <c r="AI224" t="n">
        <v>0.149651197</v>
      </c>
      <c r="AJ224" t="n">
        <v>1.1292031</v>
      </c>
      <c r="AK224" t="n">
        <v>1.331676579</v>
      </c>
      <c r="AL224" t="n">
        <v>0.326364018</v>
      </c>
      <c r="AM224" t="n">
        <v>0.09431539</v>
      </c>
      <c r="AN224" t="n">
        <v>-0.746441208</v>
      </c>
      <c r="AP224" t="n">
        <v>0.668846888</v>
      </c>
      <c r="AQ224" t="n">
        <v>1.67829881</v>
      </c>
      <c r="AR224" t="n">
        <v>0.140745716</v>
      </c>
      <c r="AS224" t="n">
        <v>2.13363529</v>
      </c>
      <c r="AT224" t="n">
        <v>0.130655767</v>
      </c>
      <c r="AU224" t="n">
        <v>0.831988659</v>
      </c>
    </row>
    <row r="225">
      <c r="A225" t="inlineStr">
        <is>
          <t>2003-Q1</t>
        </is>
      </c>
      <c r="B225" s="87" t="n">
        <v>37712</v>
      </c>
      <c r="C225" t="n">
        <v>3.695017177</v>
      </c>
      <c r="D225" t="n">
        <v>0.204625353</v>
      </c>
      <c r="E225" t="n">
        <v>0.7100487599999999</v>
      </c>
      <c r="F225" t="n">
        <v>-0.263543192</v>
      </c>
      <c r="G225" t="n">
        <v>-0.420802862</v>
      </c>
      <c r="H225" t="n">
        <v>0.553325235</v>
      </c>
      <c r="I225" t="n">
        <v>-0.740575563</v>
      </c>
      <c r="J225" t="n">
        <v>0.945707504</v>
      </c>
      <c r="L225" t="n">
        <v>1.077754088</v>
      </c>
      <c r="M225" t="n">
        <v>-1.490397208</v>
      </c>
      <c r="N225" t="n">
        <v>0.5359057820000001</v>
      </c>
      <c r="O225" t="n">
        <v>-0.306649</v>
      </c>
      <c r="P225" t="n">
        <v>0.9307209910000001</v>
      </c>
      <c r="Q225" t="n">
        <v>2.29380683</v>
      </c>
      <c r="R225" t="n">
        <v>-0.196957</v>
      </c>
      <c r="S225" t="n">
        <v>-0.70655442</v>
      </c>
      <c r="T225" t="n">
        <v>0.196872503</v>
      </c>
      <c r="U225" t="n">
        <v>0.155102</v>
      </c>
      <c r="V225" t="n">
        <v>0.561056412</v>
      </c>
      <c r="W225" t="n">
        <v>2.081952583</v>
      </c>
      <c r="X225" t="n">
        <v>0.7487447189999999</v>
      </c>
      <c r="Y225" t="n">
        <v>2.25109</v>
      </c>
      <c r="Z225" t="n">
        <v>-0.564826595</v>
      </c>
      <c r="AA225" t="n">
        <v>1.177886743</v>
      </c>
      <c r="AB225" t="n">
        <v>1.213859036</v>
      </c>
      <c r="AC225" t="n">
        <v>-0.345801554</v>
      </c>
      <c r="AD225" t="n">
        <v>0.06258333200000001</v>
      </c>
      <c r="AE225" t="n">
        <v>-0.659159835</v>
      </c>
      <c r="AF225" t="n">
        <v>-0.127873515</v>
      </c>
      <c r="AG225" t="n">
        <v>0.698926965</v>
      </c>
      <c r="AH225" t="n">
        <v>0.241219977</v>
      </c>
      <c r="AI225" t="n">
        <v>0.017344153</v>
      </c>
      <c r="AJ225" t="n">
        <v>0.023837248</v>
      </c>
      <c r="AK225" t="n">
        <v>0.552202803</v>
      </c>
      <c r="AL225" t="n">
        <v>0.199660985</v>
      </c>
      <c r="AM225" t="n">
        <v>0.349509187</v>
      </c>
      <c r="AN225" t="n">
        <v>0.105061371</v>
      </c>
      <c r="AP225" t="n">
        <v>1.775973192</v>
      </c>
      <c r="AQ225" t="n">
        <v>-0.018000073</v>
      </c>
      <c r="AR225" t="n">
        <v>1.184954532</v>
      </c>
      <c r="AS225" t="n">
        <v>0.083600699</v>
      </c>
      <c r="AT225" t="n">
        <v>0.516723187</v>
      </c>
      <c r="AU225" t="n">
        <v>0.63476228</v>
      </c>
    </row>
    <row r="226">
      <c r="A226" t="inlineStr">
        <is>
          <t>2003-Q2</t>
        </is>
      </c>
      <c r="B226" s="87" t="n">
        <v>37803</v>
      </c>
      <c r="C226" t="n">
        <v>3.164325049</v>
      </c>
      <c r="D226" t="n">
        <v>0.411876129</v>
      </c>
      <c r="E226" t="n">
        <v>0.137756233</v>
      </c>
      <c r="F226" t="n">
        <v>0.213740458</v>
      </c>
      <c r="G226" t="n">
        <v>-0.869468485</v>
      </c>
      <c r="H226" t="n">
        <v>-0.147463728</v>
      </c>
      <c r="I226" t="n">
        <v>0.071934928</v>
      </c>
      <c r="J226" t="n">
        <v>0.838950581</v>
      </c>
      <c r="L226" t="n">
        <v>1.041659129</v>
      </c>
      <c r="M226" t="n">
        <v>0.117964262</v>
      </c>
      <c r="N226" t="n">
        <v>-0.930017583</v>
      </c>
      <c r="O226" t="n">
        <v>0.086481</v>
      </c>
      <c r="P226" t="n">
        <v>0.521062767</v>
      </c>
      <c r="Q226" t="n">
        <v>2.315752691</v>
      </c>
      <c r="R226" t="n">
        <v>0.123537</v>
      </c>
      <c r="S226" t="n">
        <v>1.438304315</v>
      </c>
      <c r="T226" t="n">
        <v>-0.213405865</v>
      </c>
      <c r="U226" t="n">
        <v>0.568682</v>
      </c>
      <c r="V226" t="n">
        <v>0.763307636</v>
      </c>
      <c r="W226" t="n">
        <v>1.771173645</v>
      </c>
      <c r="X226" t="n">
        <v>1.038723917</v>
      </c>
      <c r="Y226" t="n">
        <v>2.5332</v>
      </c>
      <c r="Z226" t="n">
        <v>0.605966707</v>
      </c>
      <c r="AA226" t="n">
        <v>-2.60179329</v>
      </c>
      <c r="AB226" t="n">
        <v>-0.371221762</v>
      </c>
      <c r="AC226" t="n">
        <v>-0.159797742</v>
      </c>
      <c r="AD226" t="n">
        <v>0.687555592</v>
      </c>
      <c r="AE226" t="n">
        <v>-0.154146863</v>
      </c>
      <c r="AF226" t="n">
        <v>2.509913073</v>
      </c>
      <c r="AG226" t="n">
        <v>2.317199064</v>
      </c>
      <c r="AH226" t="n">
        <v>0.228940741</v>
      </c>
      <c r="AI226" t="n">
        <v>-0.345329821</v>
      </c>
      <c r="AJ226" t="n">
        <v>-0.476198042</v>
      </c>
      <c r="AK226" t="n">
        <v>0.437469638</v>
      </c>
      <c r="AL226" t="n">
        <v>0.518024315</v>
      </c>
      <c r="AM226" t="n">
        <v>2.096738699</v>
      </c>
      <c r="AN226" t="n">
        <v>-0.888761522</v>
      </c>
      <c r="AO226" t="n">
        <v>1.115436542</v>
      </c>
      <c r="AP226" t="n">
        <v>1.508209968</v>
      </c>
      <c r="AQ226" t="n">
        <v>0.199417343</v>
      </c>
      <c r="AR226" t="n">
        <v>-0.603497492</v>
      </c>
      <c r="AS226" t="n">
        <v>0.336326982</v>
      </c>
      <c r="AT226" t="n">
        <v>0.893377801</v>
      </c>
      <c r="AU226" t="n">
        <v>0.488369504</v>
      </c>
    </row>
    <row r="227">
      <c r="A227" t="inlineStr">
        <is>
          <t>2003-Q3</t>
        </is>
      </c>
      <c r="B227" s="87" t="n">
        <v>37895</v>
      </c>
      <c r="C227" t="n">
        <v>2.443638131</v>
      </c>
      <c r="D227" t="n">
        <v>1.730994005</v>
      </c>
      <c r="E227" t="n">
        <v>0.348187951</v>
      </c>
      <c r="F227" t="n">
        <v>0.408990765</v>
      </c>
      <c r="G227" t="n">
        <v>0.9494370600000001</v>
      </c>
      <c r="H227" t="n">
        <v>0.373654347</v>
      </c>
      <c r="I227" t="n">
        <v>0.992839391</v>
      </c>
      <c r="J227" t="n">
        <v>0.655179761</v>
      </c>
      <c r="L227" t="n">
        <v>0.927434516</v>
      </c>
      <c r="M227" t="n">
        <v>0.765875935</v>
      </c>
      <c r="N227" t="n">
        <v>0.343466356</v>
      </c>
      <c r="O227" t="n">
        <v>0.5404060000000001</v>
      </c>
      <c r="P227" t="n">
        <v>0.659429635</v>
      </c>
      <c r="Q227" t="n">
        <v>0.983636967</v>
      </c>
      <c r="R227" t="n">
        <v>0.604673</v>
      </c>
      <c r="S227" t="n">
        <v>1.196162047</v>
      </c>
      <c r="T227" t="n">
        <v>0.672744113</v>
      </c>
      <c r="U227" t="n">
        <v>1.054569</v>
      </c>
      <c r="V227" t="n">
        <v>0.981985845</v>
      </c>
      <c r="W227" t="n">
        <v>0.627318594</v>
      </c>
      <c r="X227" t="n">
        <v>1.211483301</v>
      </c>
      <c r="Y227" t="n">
        <v>2.63211</v>
      </c>
      <c r="Z227" t="n">
        <v>0.813466605</v>
      </c>
      <c r="AA227" t="n">
        <v>0.034536046</v>
      </c>
      <c r="AB227" t="n">
        <v>0.797685738</v>
      </c>
      <c r="AC227" t="n">
        <v>-0.07213845100000001</v>
      </c>
      <c r="AD227" t="n">
        <v>0.2947661</v>
      </c>
      <c r="AE227" t="n">
        <v>1.932669509</v>
      </c>
      <c r="AF227" t="n">
        <v>1.059318182</v>
      </c>
      <c r="AG227" t="n">
        <v>2.242099959</v>
      </c>
      <c r="AH227" t="n">
        <v>-0.040907632</v>
      </c>
      <c r="AI227" t="n">
        <v>0.088712714</v>
      </c>
      <c r="AJ227" t="n">
        <v>1.405098525</v>
      </c>
      <c r="AK227" t="n">
        <v>2.106475225</v>
      </c>
      <c r="AL227" t="n">
        <v>1.047845661</v>
      </c>
      <c r="AM227" t="n">
        <v>1.113623303</v>
      </c>
      <c r="AN227" t="n">
        <v>0.887370155</v>
      </c>
      <c r="AO227" t="n">
        <v>1.688167184</v>
      </c>
      <c r="AP227" t="n">
        <v>0.400210028</v>
      </c>
      <c r="AQ227" t="n">
        <v>1.433994148</v>
      </c>
      <c r="AR227" t="n">
        <v>1.476638662</v>
      </c>
      <c r="AS227" t="n">
        <v>2.851212403</v>
      </c>
      <c r="AT227" t="n">
        <v>1.66689627</v>
      </c>
      <c r="AU227" t="n">
        <v>0.542690582</v>
      </c>
    </row>
    <row r="228">
      <c r="A228" t="inlineStr">
        <is>
          <t>2003-Q4</t>
        </is>
      </c>
      <c r="B228" s="87" t="n">
        <v>37987</v>
      </c>
      <c r="C228" t="n">
        <v>1.87649889</v>
      </c>
      <c r="D228" t="n">
        <v>1.649791928</v>
      </c>
      <c r="E228" t="n">
        <v>0.143951015</v>
      </c>
      <c r="F228" t="n">
        <v>0.695603459</v>
      </c>
      <c r="G228" t="n">
        <v>1.034544091</v>
      </c>
      <c r="H228" t="n">
        <v>0.689959181</v>
      </c>
      <c r="I228" t="n">
        <v>1.205372245</v>
      </c>
      <c r="J228" t="n">
        <v>0.780432571</v>
      </c>
      <c r="L228" t="n">
        <v>1.011394748</v>
      </c>
      <c r="M228" t="n">
        <v>0.26894256</v>
      </c>
      <c r="N228" t="n">
        <v>1.86298281</v>
      </c>
      <c r="O228" t="n">
        <v>0.735189</v>
      </c>
      <c r="P228" t="n">
        <v>0.864495959</v>
      </c>
      <c r="Q228" t="n">
        <v>2.61111956</v>
      </c>
      <c r="R228" t="n">
        <v>0.751194</v>
      </c>
      <c r="S228" t="n">
        <v>0.183308401</v>
      </c>
      <c r="T228" t="n">
        <v>0.724041156</v>
      </c>
      <c r="U228" t="n">
        <v>0.959242</v>
      </c>
      <c r="V228" t="n">
        <v>0.791027155</v>
      </c>
      <c r="W228" t="n">
        <v>2.137179548</v>
      </c>
      <c r="X228" t="n">
        <v>1.054322126</v>
      </c>
      <c r="Y228" t="n">
        <v>3.28321</v>
      </c>
      <c r="Z228" t="n">
        <v>5.218779364</v>
      </c>
      <c r="AA228" t="n">
        <v>3.384300439</v>
      </c>
      <c r="AB228" t="n">
        <v>0.352771027</v>
      </c>
      <c r="AC228" t="n">
        <v>0.935432546</v>
      </c>
      <c r="AD228" t="n">
        <v>1.08796511</v>
      </c>
      <c r="AE228" t="n">
        <v>2.639479586</v>
      </c>
      <c r="AF228" t="n">
        <v>3.762226134</v>
      </c>
      <c r="AG228" t="n">
        <v>1.190558418</v>
      </c>
      <c r="AH228" t="n">
        <v>1.100091283</v>
      </c>
      <c r="AI228" t="n">
        <v>0.535395784</v>
      </c>
      <c r="AJ228" t="n">
        <v>0.03205752</v>
      </c>
      <c r="AK228" t="n">
        <v>1.303449575</v>
      </c>
      <c r="AL228" t="n">
        <v>1.070483625</v>
      </c>
      <c r="AM228" t="n">
        <v>0.280058391</v>
      </c>
      <c r="AN228" t="n">
        <v>0.377797496</v>
      </c>
      <c r="AO228" t="n">
        <v>1.823818769</v>
      </c>
      <c r="AP228" t="n">
        <v>1.681472309</v>
      </c>
      <c r="AQ228" t="n">
        <v>0.634303894</v>
      </c>
      <c r="AR228" t="n">
        <v>0.607448748</v>
      </c>
      <c r="AS228" t="n">
        <v>3.023013077</v>
      </c>
      <c r="AT228" t="n">
        <v>1.154045728</v>
      </c>
      <c r="AU228" t="n">
        <v>0.5769312720000001</v>
      </c>
    </row>
    <row r="229">
      <c r="A229" t="inlineStr">
        <is>
          <t>2004-Q1</t>
        </is>
      </c>
      <c r="B229" s="87" t="n">
        <v>38078</v>
      </c>
      <c r="C229" t="n">
        <v>3.261180964</v>
      </c>
      <c r="D229" t="n">
        <v>0.789992818</v>
      </c>
      <c r="E229" t="n">
        <v>0.928661131</v>
      </c>
      <c r="F229" t="n">
        <v>1.498661289</v>
      </c>
      <c r="G229" t="n">
        <v>1.410589958</v>
      </c>
      <c r="H229" t="n">
        <v>0.720267587</v>
      </c>
      <c r="I229" t="n">
        <v>0.5755018</v>
      </c>
      <c r="J229" t="n">
        <v>2.462144957</v>
      </c>
      <c r="L229" t="n">
        <v>0.973754181</v>
      </c>
      <c r="M229" t="n">
        <v>-0.171994531</v>
      </c>
      <c r="N229" t="n">
        <v>0.481617502</v>
      </c>
      <c r="O229" t="n">
        <v>0.492944</v>
      </c>
      <c r="P229" t="n">
        <v>0.603043582</v>
      </c>
      <c r="Q229" t="n">
        <v>2.319078268</v>
      </c>
      <c r="R229" t="n">
        <v>0.638338</v>
      </c>
      <c r="S229" t="n">
        <v>1.276604694</v>
      </c>
      <c r="T229" t="n">
        <v>0.930787689</v>
      </c>
      <c r="U229" t="n">
        <v>0.519867</v>
      </c>
      <c r="V229" t="n">
        <v>0.446923347</v>
      </c>
      <c r="W229" t="n">
        <v>1.828564537</v>
      </c>
      <c r="X229" t="n">
        <v>1.526891578</v>
      </c>
      <c r="Y229" t="n">
        <v>0.36449</v>
      </c>
      <c r="Z229" t="n">
        <v>-0.169968671</v>
      </c>
      <c r="AA229" t="n">
        <v>3.546260695</v>
      </c>
      <c r="AB229" t="n">
        <v>2.500824744</v>
      </c>
      <c r="AC229" t="n">
        <v>0.212927831</v>
      </c>
      <c r="AD229" t="n">
        <v>0.73419142</v>
      </c>
      <c r="AE229" t="n">
        <v>1.254800591</v>
      </c>
      <c r="AF229" t="n">
        <v>-0.642237043</v>
      </c>
      <c r="AG229" t="n">
        <v>3.472029558</v>
      </c>
      <c r="AH229" t="n">
        <v>1.402489589</v>
      </c>
      <c r="AI229" t="n">
        <v>0.905236953</v>
      </c>
      <c r="AJ229" t="n">
        <v>3.542651452</v>
      </c>
      <c r="AK229" t="n">
        <v>1.707529282</v>
      </c>
      <c r="AL229" t="n">
        <v>0.772078597</v>
      </c>
      <c r="AM229" t="n">
        <v>2.987180848</v>
      </c>
      <c r="AN229" t="n">
        <v>0.902894616</v>
      </c>
      <c r="AO229" t="n">
        <v>1.878666931</v>
      </c>
      <c r="AP229" t="n">
        <v>1.29797606</v>
      </c>
      <c r="AQ229" t="n">
        <v>1.001536391</v>
      </c>
      <c r="AR229" t="n">
        <v>1.868695365</v>
      </c>
      <c r="AS229" t="n">
        <v>2.754282995</v>
      </c>
      <c r="AT229" t="n">
        <v>0.572916486</v>
      </c>
      <c r="AU229" t="n">
        <v>1.513781636</v>
      </c>
    </row>
    <row r="230">
      <c r="A230" t="inlineStr">
        <is>
          <t>2004-Q2</t>
        </is>
      </c>
      <c r="B230" s="87" t="n">
        <v>38169</v>
      </c>
      <c r="C230" t="n">
        <v>-1.148837666</v>
      </c>
      <c r="D230" t="n">
        <v>0.653017047</v>
      </c>
      <c r="E230" t="n">
        <v>0.848174769</v>
      </c>
      <c r="F230" t="n">
        <v>0.961516501</v>
      </c>
      <c r="G230" t="n">
        <v>2.739004139</v>
      </c>
      <c r="H230" t="n">
        <v>1.187819015</v>
      </c>
      <c r="I230" t="n">
        <v>0.739732075</v>
      </c>
      <c r="J230" t="n">
        <v>2.179740016</v>
      </c>
      <c r="L230" t="n">
        <v>1.16878509</v>
      </c>
      <c r="M230" t="n">
        <v>0.502329716</v>
      </c>
      <c r="N230" t="n">
        <v>0.595381652</v>
      </c>
      <c r="O230" t="n">
        <v>0.634112</v>
      </c>
      <c r="P230" t="n">
        <v>0.97698308</v>
      </c>
      <c r="Q230" t="n">
        <v>-0.679634162</v>
      </c>
      <c r="R230" t="n">
        <v>0.6491710000000001</v>
      </c>
      <c r="S230" t="n">
        <v>0.859723809</v>
      </c>
      <c r="T230" t="n">
        <v>0.649871082</v>
      </c>
      <c r="U230" t="n">
        <v>0.5968329999999999</v>
      </c>
      <c r="V230" t="n">
        <v>0.54316137</v>
      </c>
      <c r="W230" t="n">
        <v>-0.018592188</v>
      </c>
      <c r="X230" t="n">
        <v>1.13768463</v>
      </c>
      <c r="Y230" t="n">
        <v>2.37817</v>
      </c>
      <c r="Z230" t="n">
        <v>2.313470678</v>
      </c>
      <c r="AA230" t="n">
        <v>-0.638238132</v>
      </c>
      <c r="AB230" t="n">
        <v>0.844120286</v>
      </c>
      <c r="AC230" t="n">
        <v>0.424250894</v>
      </c>
      <c r="AD230" t="n">
        <v>0.016825066</v>
      </c>
      <c r="AE230" t="n">
        <v>0.763499369</v>
      </c>
      <c r="AF230" t="n">
        <v>0.117532252</v>
      </c>
      <c r="AG230" t="n">
        <v>1.253621577</v>
      </c>
      <c r="AH230" t="n">
        <v>1.552057312</v>
      </c>
      <c r="AI230" t="n">
        <v>0.476796103</v>
      </c>
      <c r="AJ230" t="n">
        <v>0.205877883</v>
      </c>
      <c r="AK230" t="n">
        <v>0.862680852</v>
      </c>
      <c r="AL230" t="n">
        <v>0.702346059</v>
      </c>
      <c r="AM230" t="n">
        <v>0.809338148</v>
      </c>
      <c r="AN230" t="n">
        <v>0.57209479</v>
      </c>
      <c r="AO230" t="n">
        <v>1.927184041</v>
      </c>
      <c r="AP230" t="n">
        <v>0.666760546</v>
      </c>
      <c r="AQ230" t="n">
        <v>1.246010179</v>
      </c>
      <c r="AR230" t="n">
        <v>0.385306658</v>
      </c>
      <c r="AS230" t="n">
        <v>2.328300885</v>
      </c>
      <c r="AT230" t="n">
        <v>0.778738758</v>
      </c>
      <c r="AU230" t="n">
        <v>1.397449924</v>
      </c>
    </row>
    <row r="231">
      <c r="A231" t="inlineStr">
        <is>
          <t>2004-Q3</t>
        </is>
      </c>
      <c r="B231" s="87" t="n">
        <v>38261</v>
      </c>
      <c r="C231" t="n">
        <v>5.013896916</v>
      </c>
      <c r="D231" t="n">
        <v>0.765572821</v>
      </c>
      <c r="E231" t="n">
        <v>0.996638287</v>
      </c>
      <c r="F231" t="n">
        <v>0.872053567</v>
      </c>
      <c r="G231" t="n">
        <v>1.254194764</v>
      </c>
      <c r="H231" t="n">
        <v>1.180435577</v>
      </c>
      <c r="I231" t="n">
        <v>0.044870353</v>
      </c>
      <c r="J231" t="n">
        <v>2.819638427</v>
      </c>
      <c r="L231" t="n">
        <v>1.570060767</v>
      </c>
      <c r="M231" t="n">
        <v>-0.185975188</v>
      </c>
      <c r="N231" t="n">
        <v>0.235625688</v>
      </c>
      <c r="O231" t="n">
        <v>0.241684</v>
      </c>
      <c r="P231" t="n">
        <v>0.940418575</v>
      </c>
      <c r="Q231" t="n">
        <v>2.261348872</v>
      </c>
      <c r="R231" t="n">
        <v>0.292705</v>
      </c>
      <c r="S231" t="n">
        <v>1.085054253</v>
      </c>
      <c r="T231" t="n">
        <v>0.258640379</v>
      </c>
      <c r="U231" t="n">
        <v>0.617406</v>
      </c>
      <c r="V231" t="n">
        <v>0.246693284</v>
      </c>
      <c r="W231" t="n">
        <v>1.334459386</v>
      </c>
      <c r="X231" t="n">
        <v>1.218219465</v>
      </c>
      <c r="Y231" t="n">
        <v>2.39764</v>
      </c>
      <c r="Z231" t="n">
        <v>-0.549704701</v>
      </c>
      <c r="AA231" t="n">
        <v>4.752433723</v>
      </c>
      <c r="AB231" t="n">
        <v>1.201040365</v>
      </c>
      <c r="AC231" t="n">
        <v>-0.010942477</v>
      </c>
      <c r="AD231" t="n">
        <v>0.611579957</v>
      </c>
      <c r="AE231" t="n">
        <v>0.405586129</v>
      </c>
      <c r="AF231" t="n">
        <v>2.337739124</v>
      </c>
      <c r="AG231" t="n">
        <v>0.516983819</v>
      </c>
      <c r="AH231" t="n">
        <v>-0.217012908</v>
      </c>
      <c r="AI231" t="n">
        <v>0.149388239</v>
      </c>
      <c r="AJ231" t="n">
        <v>-1.154684096</v>
      </c>
      <c r="AK231" t="n">
        <v>0.28698229</v>
      </c>
      <c r="AL231" t="n">
        <v>0.604365064</v>
      </c>
      <c r="AM231" t="n">
        <v>-0.503647752</v>
      </c>
      <c r="AN231" t="n">
        <v>0.039396612</v>
      </c>
      <c r="AO231" t="n">
        <v>1.514535194</v>
      </c>
      <c r="AP231" t="n">
        <v>2.312438003</v>
      </c>
      <c r="AQ231" t="n">
        <v>0.983474315</v>
      </c>
      <c r="AR231" t="n">
        <v>0.803442378</v>
      </c>
      <c r="AS231" t="n">
        <v>1.127730536</v>
      </c>
      <c r="AT231" t="n">
        <v>0.941247225</v>
      </c>
      <c r="AU231" t="n">
        <v>1.635117939</v>
      </c>
    </row>
    <row r="232">
      <c r="A232" t="inlineStr">
        <is>
          <t>2004-Q4</t>
        </is>
      </c>
      <c r="B232" s="87" t="n">
        <v>38353</v>
      </c>
      <c r="C232" t="n">
        <v>1.496200863</v>
      </c>
      <c r="D232" t="n">
        <v>0.766574279</v>
      </c>
      <c r="E232" t="n">
        <v>0.343985798</v>
      </c>
      <c r="F232" t="n">
        <v>0.356570198</v>
      </c>
      <c r="G232" t="n">
        <v>0.767335214</v>
      </c>
      <c r="H232" t="n">
        <v>0.7184265439999999</v>
      </c>
      <c r="I232" t="n">
        <v>0.160727491</v>
      </c>
      <c r="J232" t="n">
        <v>1.407967843</v>
      </c>
      <c r="L232" t="n">
        <v>1.786929327</v>
      </c>
      <c r="M232" t="n">
        <v>-0.104814134</v>
      </c>
      <c r="N232" t="n">
        <v>1.08087338</v>
      </c>
      <c r="O232" t="n">
        <v>0.363801</v>
      </c>
      <c r="P232" t="n">
        <v>0.6843109590000001</v>
      </c>
      <c r="Q232" t="n">
        <v>2.078501213</v>
      </c>
      <c r="R232" t="n">
        <v>0.443054</v>
      </c>
      <c r="S232" t="n">
        <v>1.505214274</v>
      </c>
      <c r="T232" t="n">
        <v>0.752986085</v>
      </c>
      <c r="U232" t="n">
        <v>0.583263</v>
      </c>
      <c r="V232" t="n">
        <v>0.348659208</v>
      </c>
      <c r="W232" t="n">
        <v>-0.381337288</v>
      </c>
      <c r="X232" t="n">
        <v>0.458855153</v>
      </c>
      <c r="Y232" t="n">
        <v>1.93661</v>
      </c>
      <c r="Z232" t="n">
        <v>2.386226204</v>
      </c>
      <c r="AA232" t="n">
        <v>1.256097974</v>
      </c>
      <c r="AB232" t="n">
        <v>1.230708594</v>
      </c>
      <c r="AC232" t="n">
        <v>0.26025499</v>
      </c>
      <c r="AD232" t="n">
        <v>-0.194280618</v>
      </c>
      <c r="AE232" t="n">
        <v>0.7579337739999999</v>
      </c>
      <c r="AF232" t="n">
        <v>-1.079093839</v>
      </c>
      <c r="AG232" t="n">
        <v>2.234476847</v>
      </c>
      <c r="AH232" t="n">
        <v>1.326993602</v>
      </c>
      <c r="AI232" t="n">
        <v>0.218014009</v>
      </c>
      <c r="AJ232" t="n">
        <v>0.982498333</v>
      </c>
      <c r="AK232" t="n">
        <v>0.351976296</v>
      </c>
      <c r="AL232" t="n">
        <v>0.686123144</v>
      </c>
      <c r="AM232" t="n">
        <v>1.060120896</v>
      </c>
      <c r="AN232" t="n">
        <v>-0.295723234</v>
      </c>
      <c r="AO232" t="n">
        <v>1.118170784</v>
      </c>
      <c r="AP232" t="n">
        <v>1.534217874</v>
      </c>
      <c r="AQ232" t="n">
        <v>0.406655496</v>
      </c>
      <c r="AR232" t="n">
        <v>0.840912318</v>
      </c>
      <c r="AS232" t="n">
        <v>1.622484668</v>
      </c>
      <c r="AT232" t="n">
        <v>1.022027369</v>
      </c>
      <c r="AU232" t="n">
        <v>1.067930101</v>
      </c>
    </row>
    <row r="233">
      <c r="A233" t="inlineStr">
        <is>
          <t>2005-Q1</t>
        </is>
      </c>
      <c r="B233" s="87" t="n">
        <v>38443</v>
      </c>
      <c r="C233" t="n">
        <v>2.872204407</v>
      </c>
      <c r="D233" t="n">
        <v>0.769862119</v>
      </c>
      <c r="E233" t="n">
        <v>-0.066373457</v>
      </c>
      <c r="F233" t="n">
        <v>0.526251103</v>
      </c>
      <c r="G233" t="n">
        <v>0.748019081</v>
      </c>
      <c r="H233" t="n">
        <v>0.346066595</v>
      </c>
      <c r="I233" t="n">
        <v>0.775657292</v>
      </c>
      <c r="J233" t="n">
        <v>-0.038142698</v>
      </c>
      <c r="L233" t="n">
        <v>1.787486046</v>
      </c>
      <c r="M233" t="n">
        <v>0.002889219</v>
      </c>
      <c r="N233" t="n">
        <v>-0.362985061</v>
      </c>
      <c r="O233" t="n">
        <v>0.237321</v>
      </c>
      <c r="P233" t="n">
        <v>0.976289542</v>
      </c>
      <c r="Q233" t="n">
        <v>1.75625878</v>
      </c>
      <c r="R233" t="n">
        <v>0.272598</v>
      </c>
      <c r="S233" t="n">
        <v>0.989264573</v>
      </c>
      <c r="T233" t="n">
        <v>0.269489071</v>
      </c>
      <c r="U233" t="n">
        <v>0.686925</v>
      </c>
      <c r="V233" t="n">
        <v>0.607756489</v>
      </c>
      <c r="W233" t="n">
        <v>-0.588090483</v>
      </c>
      <c r="X233" t="n">
        <v>0.9797991069999999</v>
      </c>
      <c r="Y233" t="n">
        <v>1.75097</v>
      </c>
      <c r="Z233" t="n">
        <v>1.929255946</v>
      </c>
      <c r="AA233" t="n">
        <v>-3.219866878</v>
      </c>
      <c r="AB233" t="n">
        <v>0.67872996</v>
      </c>
      <c r="AC233" t="n">
        <v>-0.202871017</v>
      </c>
      <c r="AD233" t="n">
        <v>0.515140195</v>
      </c>
      <c r="AE233" t="n">
        <v>0.850903369</v>
      </c>
      <c r="AF233" t="n">
        <v>-0.8277917970000001</v>
      </c>
      <c r="AG233" t="n">
        <v>2.811124325</v>
      </c>
      <c r="AH233" t="n">
        <v>0.163939776</v>
      </c>
      <c r="AI233" t="n">
        <v>0.322858268</v>
      </c>
      <c r="AJ233" t="n">
        <v>1.63008417</v>
      </c>
      <c r="AK233" t="n">
        <v>1.165023929</v>
      </c>
      <c r="AL233" t="n">
        <v>0.753789908</v>
      </c>
      <c r="AM233" t="n">
        <v>1.101891833</v>
      </c>
      <c r="AN233" t="n">
        <v>0.769012778</v>
      </c>
      <c r="AO233" t="n">
        <v>1.748082059</v>
      </c>
      <c r="AP233" t="n">
        <v>1.239651469</v>
      </c>
      <c r="AQ233" t="n">
        <v>0.918616348</v>
      </c>
      <c r="AR233" t="n">
        <v>0.410486857</v>
      </c>
      <c r="AS233" t="n">
        <v>4.609951611</v>
      </c>
      <c r="AT233" t="n">
        <v>1.110882508</v>
      </c>
      <c r="AU233" t="n">
        <v>1.016599753</v>
      </c>
    </row>
    <row r="234">
      <c r="A234" t="inlineStr">
        <is>
          <t>2005-Q2</t>
        </is>
      </c>
      <c r="B234" s="87" t="n">
        <v>38534</v>
      </c>
      <c r="C234" t="n">
        <v>2.099229504</v>
      </c>
      <c r="D234" t="n">
        <v>0.423590271</v>
      </c>
      <c r="E234" t="n">
        <v>1.143137812</v>
      </c>
      <c r="F234" t="n">
        <v>0.599075268</v>
      </c>
      <c r="G234" t="n">
        <v>1.374869448</v>
      </c>
      <c r="H234" t="n">
        <v>0.725522707</v>
      </c>
      <c r="I234" t="n">
        <v>1.213189158</v>
      </c>
      <c r="J234" t="n">
        <v>1.622082911</v>
      </c>
      <c r="L234" t="n">
        <v>1.359003151</v>
      </c>
      <c r="M234" t="n">
        <v>0.524597684</v>
      </c>
      <c r="N234" t="n">
        <v>1.968906957</v>
      </c>
      <c r="O234" t="n">
        <v>0.568119</v>
      </c>
      <c r="P234" t="n">
        <v>0.882073444</v>
      </c>
      <c r="Q234" t="n">
        <v>3.959929225</v>
      </c>
      <c r="R234" t="n">
        <v>0.620613</v>
      </c>
      <c r="S234" t="n">
        <v>-1.196153235</v>
      </c>
      <c r="T234" t="n">
        <v>0.185880403</v>
      </c>
      <c r="U234" t="n">
        <v>0.577902</v>
      </c>
      <c r="V234" t="n">
        <v>0.963318523</v>
      </c>
      <c r="W234" t="n">
        <v>0.237815218</v>
      </c>
      <c r="X234" t="n">
        <v>1.870846242</v>
      </c>
      <c r="Y234" t="n">
        <v>3.1669</v>
      </c>
      <c r="Z234" t="n">
        <v>1.938297601</v>
      </c>
      <c r="AA234" t="n">
        <v>7.624501604</v>
      </c>
      <c r="AB234" t="n">
        <v>1.029346213</v>
      </c>
      <c r="AC234" t="n">
        <v>0.744629442</v>
      </c>
      <c r="AD234" t="n">
        <v>0.78110205</v>
      </c>
      <c r="AE234" t="n">
        <v>1.887062862</v>
      </c>
      <c r="AF234" t="n">
        <v>0.814255761</v>
      </c>
      <c r="AG234" t="n">
        <v>2.156770734</v>
      </c>
      <c r="AH234" t="n">
        <v>0.288413555</v>
      </c>
      <c r="AI234" t="n">
        <v>0.703469864</v>
      </c>
      <c r="AJ234" t="n">
        <v>0.524406373</v>
      </c>
      <c r="AK234" t="n">
        <v>1.59964777</v>
      </c>
      <c r="AL234" t="n">
        <v>0.666324649</v>
      </c>
      <c r="AM234" t="n">
        <v>0.147352695</v>
      </c>
      <c r="AN234" t="n">
        <v>0.368647118</v>
      </c>
      <c r="AO234" t="n">
        <v>1.522295172</v>
      </c>
      <c r="AP234" t="n">
        <v>2.093798921</v>
      </c>
      <c r="AQ234" t="n">
        <v>1.728007794</v>
      </c>
      <c r="AR234" t="n">
        <v>0.692756047</v>
      </c>
      <c r="AS234" t="n">
        <v>0.422159476</v>
      </c>
      <c r="AT234" t="n">
        <v>0.486604478</v>
      </c>
      <c r="AU234" t="n">
        <v>1.794553973</v>
      </c>
    </row>
    <row r="235">
      <c r="A235" t="inlineStr">
        <is>
          <t>2005-Q3</t>
        </is>
      </c>
      <c r="B235" s="87" t="n">
        <v>38626</v>
      </c>
      <c r="C235" t="n">
        <v>0.6875195120000001</v>
      </c>
      <c r="D235" t="n">
        <v>1.114247425</v>
      </c>
      <c r="E235" t="n">
        <v>0.735518946</v>
      </c>
      <c r="F235" t="n">
        <v>0.395532035</v>
      </c>
      <c r="G235" t="n">
        <v>-0.7623013910000001</v>
      </c>
      <c r="H235" t="n">
        <v>1.211374835</v>
      </c>
      <c r="I235" t="n">
        <v>1.139719043</v>
      </c>
      <c r="J235" t="n">
        <v>2.32627958</v>
      </c>
      <c r="L235" t="n">
        <v>1.672700078</v>
      </c>
      <c r="M235" t="n">
        <v>0.858172363</v>
      </c>
      <c r="N235" t="n">
        <v>0.111335017</v>
      </c>
      <c r="O235" t="n">
        <v>0.7447589999999999</v>
      </c>
      <c r="P235" t="n">
        <v>0.966995513</v>
      </c>
      <c r="Q235" t="n">
        <v>2.394842446</v>
      </c>
      <c r="R235" t="n">
        <v>0.792655</v>
      </c>
      <c r="S235" t="n">
        <v>1.447934682</v>
      </c>
      <c r="T235" t="n">
        <v>0.49861406</v>
      </c>
      <c r="U235" t="n">
        <v>0.822766</v>
      </c>
      <c r="V235" t="n">
        <v>0.8820929239999999</v>
      </c>
      <c r="W235" t="n">
        <v>1.390843165</v>
      </c>
      <c r="X235" t="n">
        <v>0.757448135</v>
      </c>
      <c r="Y235" t="n">
        <v>1.39142</v>
      </c>
      <c r="Z235" t="n">
        <v>-0.964292096</v>
      </c>
      <c r="AA235" t="n">
        <v>0.29295166</v>
      </c>
      <c r="AB235" t="n">
        <v>1.267830346</v>
      </c>
      <c r="AC235" t="n">
        <v>0.624589563</v>
      </c>
      <c r="AD235" t="n">
        <v>1.014253988</v>
      </c>
      <c r="AE235" t="n">
        <v>1.505330894</v>
      </c>
      <c r="AF235" t="n">
        <v>2.017206476</v>
      </c>
      <c r="AG235" t="n">
        <v>4.974294726</v>
      </c>
      <c r="AH235" t="n">
        <v>0.839096115</v>
      </c>
      <c r="AI235" t="n">
        <v>1.342952261</v>
      </c>
      <c r="AJ235" t="n">
        <v>0.82956188</v>
      </c>
      <c r="AK235" t="n">
        <v>0.486983982</v>
      </c>
      <c r="AL235" t="n">
        <v>0.901148948</v>
      </c>
      <c r="AM235" t="n">
        <v>1.932615056</v>
      </c>
      <c r="AN235" t="n">
        <v>-0.471937283</v>
      </c>
      <c r="AO235" t="n">
        <v>1.762204946</v>
      </c>
      <c r="AP235" t="n">
        <v>1.635385831</v>
      </c>
      <c r="AQ235" t="n">
        <v>0.825993663</v>
      </c>
      <c r="AR235" t="n">
        <v>1.187117884</v>
      </c>
      <c r="AS235" t="n">
        <v>1.41197126</v>
      </c>
      <c r="AT235" t="n">
        <v>0.7856219800000001</v>
      </c>
      <c r="AU235" t="n">
        <v>1.363618551</v>
      </c>
    </row>
    <row r="236">
      <c r="A236" t="inlineStr">
        <is>
          <t>2005-Q4</t>
        </is>
      </c>
      <c r="B236" s="87" t="n">
        <v>38718</v>
      </c>
      <c r="C236" t="n">
        <v>2.011272923</v>
      </c>
      <c r="D236" t="n">
        <v>0.785436648</v>
      </c>
      <c r="E236" t="n">
        <v>0.909524716</v>
      </c>
      <c r="F236" t="n">
        <v>0.767038264</v>
      </c>
      <c r="G236" t="n">
        <v>1.258276617</v>
      </c>
      <c r="H236" t="n">
        <v>0.988734322</v>
      </c>
      <c r="I236" t="n">
        <v>0.941064732</v>
      </c>
      <c r="J236" t="n">
        <v>1.389589059</v>
      </c>
      <c r="L236" t="n">
        <v>1.827485844</v>
      </c>
      <c r="M236" t="n">
        <v>0.47142782</v>
      </c>
      <c r="N236" t="n">
        <v>0.324723372</v>
      </c>
      <c r="O236" t="n">
        <v>0.651345</v>
      </c>
      <c r="P236" t="n">
        <v>1.01386663</v>
      </c>
      <c r="Q236" t="n">
        <v>2.309237081</v>
      </c>
      <c r="R236" t="n">
        <v>0.705236</v>
      </c>
      <c r="S236" t="n">
        <v>0.28743607</v>
      </c>
      <c r="T236" t="n">
        <v>0.782041297</v>
      </c>
      <c r="U236" t="n">
        <v>0.542574</v>
      </c>
      <c r="V236" t="n">
        <v>1.092055496</v>
      </c>
      <c r="W236" t="n">
        <v>0.501015516</v>
      </c>
      <c r="X236" t="n">
        <v>1.124330905</v>
      </c>
      <c r="Y236" t="n">
        <v>2.52791</v>
      </c>
      <c r="Z236" t="n">
        <v>3.169626454</v>
      </c>
      <c r="AA236" t="n">
        <v>1.735756408</v>
      </c>
      <c r="AB236" t="n">
        <v>1.76861461</v>
      </c>
      <c r="AC236" t="n">
        <v>0.15086591</v>
      </c>
      <c r="AD236" t="n">
        <v>0.172831273</v>
      </c>
      <c r="AE236" t="n">
        <v>1.012464666</v>
      </c>
      <c r="AF236" t="n">
        <v>5.18345186</v>
      </c>
      <c r="AG236" t="n">
        <v>3.713203801</v>
      </c>
      <c r="AH236" t="n">
        <v>1.67173543</v>
      </c>
      <c r="AI236" t="n">
        <v>0.630550925</v>
      </c>
      <c r="AJ236" t="n">
        <v>0.2250289</v>
      </c>
      <c r="AK236" t="n">
        <v>-0.402597888</v>
      </c>
      <c r="AL236" t="n">
        <v>0.7609237599999999</v>
      </c>
      <c r="AM236" t="n">
        <v>1.83939722</v>
      </c>
      <c r="AN236" t="n">
        <v>0.13303494</v>
      </c>
      <c r="AO236" t="n">
        <v>2.062840474</v>
      </c>
      <c r="AP236" t="n">
        <v>1.461432614</v>
      </c>
      <c r="AQ236" t="n">
        <v>1.756742936</v>
      </c>
      <c r="AR236" t="n">
        <v>0.678172243</v>
      </c>
      <c r="AS236" t="n">
        <v>3.306804141</v>
      </c>
      <c r="AT236" t="n">
        <v>0.567928238</v>
      </c>
      <c r="AU236" t="n">
        <v>0.669356074</v>
      </c>
    </row>
    <row r="237">
      <c r="A237" t="inlineStr">
        <is>
          <t>2006-Q1</t>
        </is>
      </c>
      <c r="B237" s="87" t="n">
        <v>38808</v>
      </c>
      <c r="C237" t="n">
        <v>2.589388595</v>
      </c>
      <c r="D237" t="n">
        <v>0.118665921</v>
      </c>
      <c r="E237" t="n">
        <v>1.097198655</v>
      </c>
      <c r="F237" t="n">
        <v>0.614857043</v>
      </c>
      <c r="G237" t="n">
        <v>1.705368624</v>
      </c>
      <c r="H237" t="n">
        <v>0.8109954110000001</v>
      </c>
      <c r="I237" t="n">
        <v>1.11056701</v>
      </c>
      <c r="J237" t="n">
        <v>0.852661662</v>
      </c>
      <c r="L237" t="n">
        <v>1.757843717</v>
      </c>
      <c r="M237" t="n">
        <v>0.967042019</v>
      </c>
      <c r="N237" t="n">
        <v>1.256661041</v>
      </c>
      <c r="O237" t="n">
        <v>0.876109</v>
      </c>
      <c r="P237" t="n">
        <v>1.145103991</v>
      </c>
      <c r="Q237" t="n">
        <v>2.297257648</v>
      </c>
      <c r="R237" t="n">
        <v>0.945913</v>
      </c>
      <c r="S237" t="n">
        <v>2.494514835</v>
      </c>
      <c r="T237" t="n">
        <v>0.765962899</v>
      </c>
      <c r="U237" t="n">
        <v>0.92537</v>
      </c>
      <c r="V237" t="n">
        <v>0.52996235</v>
      </c>
      <c r="W237" t="n">
        <v>3.258220871</v>
      </c>
      <c r="X237" t="n">
        <v>0.893845934</v>
      </c>
      <c r="Y237" t="n">
        <v>2.50557</v>
      </c>
      <c r="Z237" t="n">
        <v>1.755901189</v>
      </c>
      <c r="AA237" t="n">
        <v>-0.571565753</v>
      </c>
      <c r="AB237" t="n">
        <v>1.791819533</v>
      </c>
      <c r="AC237" t="n">
        <v>0.219302058</v>
      </c>
      <c r="AD237" t="n">
        <v>0.153788747</v>
      </c>
      <c r="AE237" t="n">
        <v>1.639117138</v>
      </c>
      <c r="AF237" t="n">
        <v>0.084699513</v>
      </c>
      <c r="AG237" t="n">
        <v>-0.67771316</v>
      </c>
      <c r="AH237" t="n">
        <v>1.758189944</v>
      </c>
      <c r="AI237" t="n">
        <v>0.623937875</v>
      </c>
      <c r="AJ237" t="n">
        <v>0.639986084</v>
      </c>
      <c r="AK237" t="n">
        <v>1.644190253</v>
      </c>
      <c r="AL237" t="n">
        <v>1.032055409</v>
      </c>
      <c r="AM237" t="n">
        <v>1.503322149</v>
      </c>
      <c r="AN237" t="n">
        <v>0.817392645</v>
      </c>
      <c r="AO237" t="n">
        <v>1.930605205</v>
      </c>
      <c r="AP237" t="n">
        <v>2.375659268</v>
      </c>
      <c r="AQ237" t="n">
        <v>0.762002056</v>
      </c>
      <c r="AR237" t="n">
        <v>1.550044332</v>
      </c>
      <c r="AS237" t="n">
        <v>1.14513327</v>
      </c>
      <c r="AT237" t="n">
        <v>1.34866612</v>
      </c>
      <c r="AU237" t="n">
        <v>1.757168426</v>
      </c>
    </row>
    <row r="238">
      <c r="A238" t="inlineStr">
        <is>
          <t>2006-Q2</t>
        </is>
      </c>
      <c r="B238" s="87" t="n">
        <v>38899</v>
      </c>
      <c r="C238" t="n">
        <v>1.191720282</v>
      </c>
      <c r="D238" t="n">
        <v>0.18747507</v>
      </c>
      <c r="E238" t="n">
        <v>0.367833728</v>
      </c>
      <c r="F238" t="n">
        <v>0.354937099</v>
      </c>
      <c r="G238" t="n">
        <v>0.250768951</v>
      </c>
      <c r="H238" t="n">
        <v>0.051646385</v>
      </c>
      <c r="I238" t="n">
        <v>0.855379568</v>
      </c>
      <c r="J238" t="n">
        <v>2.076144644</v>
      </c>
      <c r="L238" t="n">
        <v>2.035602128</v>
      </c>
      <c r="M238" t="n">
        <v>1.722767803</v>
      </c>
      <c r="N238" t="n">
        <v>2.982414581</v>
      </c>
      <c r="O238" t="n">
        <v>1.098619</v>
      </c>
      <c r="P238" t="n">
        <v>0.969214739</v>
      </c>
      <c r="Q238" t="n">
        <v>2.094784894</v>
      </c>
      <c r="R238" t="n">
        <v>1.224865</v>
      </c>
      <c r="S238" t="n">
        <v>0.244923148</v>
      </c>
      <c r="T238" t="n">
        <v>1.000540403</v>
      </c>
      <c r="U238" t="n">
        <v>0.459784</v>
      </c>
      <c r="V238" t="n">
        <v>0.345980978</v>
      </c>
      <c r="W238" t="n">
        <v>0.307050511</v>
      </c>
      <c r="X238" t="n">
        <v>1.290770501</v>
      </c>
      <c r="Y238" t="n">
        <v>1.43638</v>
      </c>
      <c r="Z238" t="n">
        <v>0.27969038</v>
      </c>
      <c r="AA238" t="n">
        <v>4.101872731</v>
      </c>
      <c r="AB238" t="n">
        <v>1.833348016</v>
      </c>
      <c r="AC238" t="n">
        <v>0.674176792</v>
      </c>
      <c r="AD238" t="n">
        <v>0.163993095</v>
      </c>
      <c r="AE238" t="n">
        <v>0.730602028</v>
      </c>
      <c r="AF238" t="n">
        <v>0.283221508</v>
      </c>
      <c r="AG238" t="n">
        <v>5.015770905</v>
      </c>
      <c r="AH238" t="n">
        <v>0.972617771</v>
      </c>
      <c r="AI238" t="n">
        <v>1.497031303</v>
      </c>
      <c r="AJ238" t="n">
        <v>0.124976235</v>
      </c>
      <c r="AK238" t="n">
        <v>0.456446458</v>
      </c>
      <c r="AL238" t="n">
        <v>0.679827651</v>
      </c>
      <c r="AM238" t="n">
        <v>2.299746462</v>
      </c>
      <c r="AN238" t="n">
        <v>0.96512188</v>
      </c>
      <c r="AO238" t="n">
        <v>1.925103954</v>
      </c>
      <c r="AP238" t="n">
        <v>2.335655575</v>
      </c>
      <c r="AQ238" t="n">
        <v>2.112981272</v>
      </c>
      <c r="AR238" t="n">
        <v>1.619121204</v>
      </c>
      <c r="AS238" t="n">
        <v>3.046122099</v>
      </c>
      <c r="AT238" t="n">
        <v>0.245583731</v>
      </c>
      <c r="AU238" t="n">
        <v>1.420243604</v>
      </c>
    </row>
    <row r="239">
      <c r="A239" t="inlineStr">
        <is>
          <t>2006-Q3</t>
        </is>
      </c>
      <c r="B239" s="87" t="n">
        <v>38991</v>
      </c>
      <c r="C239" t="n">
        <v>2.802470818</v>
      </c>
      <c r="D239" t="n">
        <v>1.489031333</v>
      </c>
      <c r="E239" t="n">
        <v>1.145486884</v>
      </c>
      <c r="F239" t="n">
        <v>0.880418794</v>
      </c>
      <c r="G239" t="n">
        <v>1.629846101</v>
      </c>
      <c r="H239" t="n">
        <v>0.279245485</v>
      </c>
      <c r="I239" t="n">
        <v>0.855399401</v>
      </c>
      <c r="J239" t="n">
        <v>1.306408175</v>
      </c>
      <c r="L239" t="n">
        <v>1.269985656</v>
      </c>
      <c r="M239" t="n">
        <v>0.768805833</v>
      </c>
      <c r="N239" t="n">
        <v>-0.666822567</v>
      </c>
      <c r="O239" t="n">
        <v>0.578587</v>
      </c>
      <c r="P239" t="n">
        <v>0.929139945</v>
      </c>
      <c r="Q239" t="n">
        <v>2.290223504</v>
      </c>
      <c r="R239" t="n">
        <v>0.615612</v>
      </c>
      <c r="S239" t="n">
        <v>0.950365525</v>
      </c>
      <c r="T239" t="n">
        <v>0.011802567</v>
      </c>
      <c r="U239" t="n">
        <v>0.178429</v>
      </c>
      <c r="V239" t="n">
        <v>0.232546297</v>
      </c>
      <c r="W239" t="n">
        <v>0.477438963</v>
      </c>
      <c r="X239" t="n">
        <v>0.559177611</v>
      </c>
      <c r="Y239" t="n">
        <v>3.303</v>
      </c>
      <c r="Z239" t="n">
        <v>1.181479108</v>
      </c>
      <c r="AA239" t="n">
        <v>0.374118865</v>
      </c>
      <c r="AB239" t="n">
        <v>-0.701297006</v>
      </c>
      <c r="AC239" t="n">
        <v>0.428252758</v>
      </c>
      <c r="AD239" t="n">
        <v>-0.199530908</v>
      </c>
      <c r="AE239" t="n">
        <v>1.613954951</v>
      </c>
      <c r="AF239" t="n">
        <v>0.49382694</v>
      </c>
      <c r="AG239" t="n">
        <v>3.277151166</v>
      </c>
      <c r="AH239" t="n">
        <v>0.276871016</v>
      </c>
      <c r="AI239" t="n">
        <v>0.598152747</v>
      </c>
      <c r="AJ239" t="n">
        <v>1.026181709</v>
      </c>
      <c r="AK239" t="n">
        <v>0.6417002040000001</v>
      </c>
      <c r="AL239" t="n">
        <v>0.37079375</v>
      </c>
      <c r="AM239" t="n">
        <v>1.651047467</v>
      </c>
      <c r="AN239" t="n">
        <v>-0.112732238</v>
      </c>
      <c r="AO239" t="n">
        <v>2.296129166</v>
      </c>
      <c r="AP239" t="n">
        <v>1.913968108</v>
      </c>
      <c r="AQ239" t="n">
        <v>1.684098872</v>
      </c>
      <c r="AR239" t="n">
        <v>1.187750146</v>
      </c>
      <c r="AS239" t="n">
        <v>-0.753486109</v>
      </c>
      <c r="AT239" t="n">
        <v>0.150456188</v>
      </c>
      <c r="AU239" t="n">
        <v>1.381152984</v>
      </c>
    </row>
    <row r="240">
      <c r="A240" t="inlineStr">
        <is>
          <t>2006-Q4</t>
        </is>
      </c>
      <c r="B240" s="87" t="n">
        <v>39083</v>
      </c>
      <c r="C240" t="n">
        <v>2.196916435</v>
      </c>
      <c r="D240" t="n">
        <v>1.310266369</v>
      </c>
      <c r="E240" t="n">
        <v>1.052167156</v>
      </c>
      <c r="F240" t="n">
        <v>1.135413316</v>
      </c>
      <c r="G240" t="n">
        <v>1.186842045</v>
      </c>
      <c r="H240" t="n">
        <v>0.398598242</v>
      </c>
      <c r="I240" t="n">
        <v>1.295481642</v>
      </c>
      <c r="J240" t="n">
        <v>2.038671021</v>
      </c>
      <c r="L240" t="n">
        <v>1.279920246</v>
      </c>
      <c r="M240" t="n">
        <v>1.514812212</v>
      </c>
      <c r="N240" t="n">
        <v>-0.271021311</v>
      </c>
      <c r="O240" t="n">
        <v>1.176763</v>
      </c>
      <c r="P240" t="n">
        <v>0.961484836</v>
      </c>
      <c r="Q240" t="n">
        <v>2.480964469</v>
      </c>
      <c r="R240" t="n">
        <v>1.056934</v>
      </c>
      <c r="S240" t="n">
        <v>0.785150741</v>
      </c>
      <c r="T240" t="n">
        <v>0.797562664</v>
      </c>
      <c r="U240" t="n">
        <v>0.97603</v>
      </c>
      <c r="V240" t="n">
        <v>0.638018628</v>
      </c>
      <c r="W240" t="n">
        <v>2.542940426</v>
      </c>
      <c r="X240" t="n">
        <v>0.898889756</v>
      </c>
      <c r="Y240" t="n">
        <v>1.71129</v>
      </c>
      <c r="Z240" t="n">
        <v>0.322914942</v>
      </c>
      <c r="AA240" t="n">
        <v>1.06885349</v>
      </c>
      <c r="AB240" t="n">
        <v>1.488757682</v>
      </c>
      <c r="AC240" t="n">
        <v>1.271537183</v>
      </c>
      <c r="AD240" t="n">
        <v>1.338816172</v>
      </c>
      <c r="AE240" t="n">
        <v>0.779357615</v>
      </c>
      <c r="AF240" t="n">
        <v>1.458742893</v>
      </c>
      <c r="AG240" t="n">
        <v>4.417989945</v>
      </c>
      <c r="AH240" t="n">
        <v>0.249623193</v>
      </c>
      <c r="AI240" t="n">
        <v>0.824500468</v>
      </c>
      <c r="AJ240" t="n">
        <v>1.830283737</v>
      </c>
      <c r="AK240" t="n">
        <v>0.881997355</v>
      </c>
      <c r="AL240" t="n">
        <v>0.976572014</v>
      </c>
      <c r="AM240" t="n">
        <v>-1.498658967</v>
      </c>
      <c r="AN240" t="n">
        <v>0.711999077</v>
      </c>
      <c r="AO240" t="n">
        <v>1.899240513</v>
      </c>
      <c r="AP240" t="n">
        <v>2.808979534</v>
      </c>
      <c r="AQ240" t="n">
        <v>2.181729147</v>
      </c>
      <c r="AR240" t="n">
        <v>0.662874809</v>
      </c>
      <c r="AS240" t="n">
        <v>2.258713045</v>
      </c>
      <c r="AT240" t="n">
        <v>0.843711696</v>
      </c>
      <c r="AU240" t="n">
        <v>1.382817924</v>
      </c>
    </row>
    <row r="241">
      <c r="A241" t="inlineStr">
        <is>
          <t>2007-Q1</t>
        </is>
      </c>
      <c r="B241" s="87" t="n">
        <v>39173</v>
      </c>
      <c r="C241" t="n">
        <v>2.314156519</v>
      </c>
      <c r="D241" t="n">
        <v>1.390955608</v>
      </c>
      <c r="E241" t="n">
        <v>0.928838845</v>
      </c>
      <c r="F241" t="n">
        <v>1.417379597</v>
      </c>
      <c r="G241" t="n">
        <v>1.988596275</v>
      </c>
      <c r="H241" t="n">
        <v>0.639626644</v>
      </c>
      <c r="I241" t="n">
        <v>0.564536065</v>
      </c>
      <c r="J241" t="n">
        <v>0.9524869969999999</v>
      </c>
      <c r="L241" t="n">
        <v>1.683401928</v>
      </c>
      <c r="M241" t="n">
        <v>0.076329825</v>
      </c>
      <c r="N241" t="n">
        <v>0.33129799</v>
      </c>
      <c r="O241" t="n">
        <v>0.62618</v>
      </c>
      <c r="P241" t="n">
        <v>0.914765508</v>
      </c>
      <c r="Q241" t="n">
        <v>3.315681577</v>
      </c>
      <c r="R241" t="n">
        <v>0.755319</v>
      </c>
      <c r="S241" t="n">
        <v>1.932458496</v>
      </c>
      <c r="T241" t="n">
        <v>0.743640227</v>
      </c>
      <c r="U241" t="n">
        <v>0.383428</v>
      </c>
      <c r="V241" t="n">
        <v>0.783737963</v>
      </c>
      <c r="W241" t="n">
        <v>-0.7852856620000001</v>
      </c>
      <c r="X241" t="n">
        <v>-1.139827903</v>
      </c>
      <c r="Y241" t="n">
        <v>2.7934</v>
      </c>
      <c r="Z241" t="n">
        <v>5.848409119</v>
      </c>
      <c r="AA241" t="n">
        <v>1.740620192</v>
      </c>
      <c r="AB241" t="n">
        <v>2.104688718</v>
      </c>
      <c r="AC241" t="n">
        <v>-0.154555957</v>
      </c>
      <c r="AD241" t="n">
        <v>0.662348853</v>
      </c>
      <c r="AE241" t="n">
        <v>1.674043596</v>
      </c>
      <c r="AF241" t="n">
        <v>5.019353865</v>
      </c>
      <c r="AG241" t="n">
        <v>1.758734122</v>
      </c>
      <c r="AH241" t="n">
        <v>0.703481229</v>
      </c>
      <c r="AI241" t="n">
        <v>1.145697378</v>
      </c>
      <c r="AJ241" t="n">
        <v>0.07525144</v>
      </c>
      <c r="AK241" t="n">
        <v>1.230220189</v>
      </c>
      <c r="AL241" t="n">
        <v>0.680524982</v>
      </c>
      <c r="AM241" t="n">
        <v>4.589999844</v>
      </c>
      <c r="AN241" t="n">
        <v>1.052270567</v>
      </c>
      <c r="AO241" t="n">
        <v>1.813650933</v>
      </c>
      <c r="AP241" t="n">
        <v>2.107459686</v>
      </c>
      <c r="AQ241" t="n">
        <v>1.898070725</v>
      </c>
      <c r="AR241" t="n">
        <v>0.971845409</v>
      </c>
      <c r="AS241" t="n">
        <v>1.823080444</v>
      </c>
      <c r="AT241" t="n">
        <v>0.293598861</v>
      </c>
      <c r="AU241" t="n">
        <v>1.623672013</v>
      </c>
    </row>
    <row r="242">
      <c r="A242" t="inlineStr">
        <is>
          <t>2007-Q2</t>
        </is>
      </c>
      <c r="B242" s="87" t="n">
        <v>39264</v>
      </c>
      <c r="C242" t="n">
        <v>2.15458373</v>
      </c>
      <c r="D242" t="n">
        <v>0.607781679</v>
      </c>
      <c r="E242" t="n">
        <v>1.181642347</v>
      </c>
      <c r="F242" t="n">
        <v>0.456797608</v>
      </c>
      <c r="G242" t="n">
        <v>1.561620969</v>
      </c>
      <c r="H242" t="n">
        <v>0.968907263</v>
      </c>
      <c r="I242" t="n">
        <v>1.447048433</v>
      </c>
      <c r="J242" t="n">
        <v>0.933992464</v>
      </c>
      <c r="L242" t="n">
        <v>0.8488043320000001</v>
      </c>
      <c r="M242" t="n">
        <v>0.838052558</v>
      </c>
      <c r="N242" t="n">
        <v>-0.447886765</v>
      </c>
      <c r="O242" t="n">
        <v>0.718757</v>
      </c>
      <c r="P242" t="n">
        <v>0.896255506</v>
      </c>
      <c r="Q242" t="n">
        <v>0.390307976</v>
      </c>
      <c r="R242" t="n">
        <v>0.708304</v>
      </c>
      <c r="S242" t="n">
        <v>1.797506864</v>
      </c>
      <c r="T242" t="n">
        <v>0.756357861</v>
      </c>
      <c r="U242" t="n">
        <v>0.547496</v>
      </c>
      <c r="V242" t="n">
        <v>0.463747548</v>
      </c>
      <c r="W242" t="n">
        <v>2.911721824</v>
      </c>
      <c r="X242" t="n">
        <v>-0.179761896</v>
      </c>
      <c r="Y242" t="n">
        <v>2.52015</v>
      </c>
      <c r="Z242" t="n">
        <v>-1.497064923</v>
      </c>
      <c r="AA242" t="n">
        <v>4.732771849</v>
      </c>
      <c r="AB242" t="n">
        <v>1.767719207</v>
      </c>
      <c r="AC242" t="n">
        <v>0.179574936</v>
      </c>
      <c r="AD242" t="n">
        <v>0.046793481</v>
      </c>
      <c r="AE242" t="n">
        <v>1.730290857</v>
      </c>
      <c r="AF242" t="n">
        <v>2.209702452</v>
      </c>
      <c r="AG242" t="n">
        <v>2.013416736</v>
      </c>
      <c r="AH242" t="n">
        <v>0.769159311</v>
      </c>
      <c r="AI242" t="n">
        <v>0.5116467730000001</v>
      </c>
      <c r="AJ242" t="n">
        <v>-0.001676729</v>
      </c>
      <c r="AK242" t="n">
        <v>0.910063975</v>
      </c>
      <c r="AL242" t="n">
        <v>0.650786729</v>
      </c>
      <c r="AM242" t="n">
        <v>1.139736221</v>
      </c>
      <c r="AN242" t="n">
        <v>0.443121174</v>
      </c>
      <c r="AO242" t="n">
        <v>2.52379819</v>
      </c>
      <c r="AP242" t="n">
        <v>2.476313867</v>
      </c>
      <c r="AQ242" t="n">
        <v>1.236232477</v>
      </c>
      <c r="AR242" t="n">
        <v>0.49191659</v>
      </c>
      <c r="AS242" t="n">
        <v>0.030535506</v>
      </c>
      <c r="AT242" t="n">
        <v>0.6384345299999999</v>
      </c>
      <c r="AU242" t="n">
        <v>0.819557991</v>
      </c>
    </row>
    <row r="243">
      <c r="A243" t="inlineStr">
        <is>
          <t>2007-Q3</t>
        </is>
      </c>
      <c r="B243" s="87" t="n">
        <v>39356</v>
      </c>
      <c r="C243" t="n">
        <v>1.357201525</v>
      </c>
      <c r="D243" t="n">
        <v>1.141247319</v>
      </c>
      <c r="E243" t="n">
        <v>0.307780559</v>
      </c>
      <c r="F243" t="n">
        <v>0.77208828</v>
      </c>
      <c r="G243" t="n">
        <v>1.030095501</v>
      </c>
      <c r="H243" t="n">
        <v>0.419854575</v>
      </c>
      <c r="I243" t="n">
        <v>0.9429421529999999</v>
      </c>
      <c r="J243" t="n">
        <v>0.146846209</v>
      </c>
      <c r="L243" t="n">
        <v>1.461881039</v>
      </c>
      <c r="M243" t="n">
        <v>0.49649169</v>
      </c>
      <c r="N243" t="n">
        <v>0.939515371</v>
      </c>
      <c r="O243" t="n">
        <v>0.42925</v>
      </c>
      <c r="P243" t="n">
        <v>0.766768541</v>
      </c>
      <c r="Q243" t="n">
        <v>0.201066983</v>
      </c>
      <c r="R243" t="n">
        <v>0.510059</v>
      </c>
      <c r="S243" t="n">
        <v>0.918417552</v>
      </c>
      <c r="T243" t="n">
        <v>0.357750459</v>
      </c>
      <c r="U243" t="n">
        <v>0.372807</v>
      </c>
      <c r="V243" t="n">
        <v>0.682438581</v>
      </c>
      <c r="W243" t="n">
        <v>-0.623113458</v>
      </c>
      <c r="X243" t="n">
        <v>0.516328558</v>
      </c>
      <c r="Y243" t="n">
        <v>1.79448</v>
      </c>
      <c r="Z243" t="n">
        <v>-2.577335196</v>
      </c>
      <c r="AA243" t="n">
        <v>-0.351696165</v>
      </c>
      <c r="AB243" t="n">
        <v>1.888443851</v>
      </c>
      <c r="AC243" t="n">
        <v>0.225514768</v>
      </c>
      <c r="AD243" t="n">
        <v>-0.541568823</v>
      </c>
      <c r="AE243" t="n">
        <v>1.173831453</v>
      </c>
      <c r="AF243" t="n">
        <v>-0.734537985</v>
      </c>
      <c r="AG243" t="n">
        <v>1.862197421</v>
      </c>
      <c r="AH243" t="n">
        <v>0.6284328890000001</v>
      </c>
      <c r="AI243" t="n">
        <v>1.117501908</v>
      </c>
      <c r="AJ243" t="n">
        <v>1.283235265</v>
      </c>
      <c r="AK243" t="n">
        <v>0.743516366</v>
      </c>
      <c r="AL243" t="n">
        <v>0.519119877</v>
      </c>
      <c r="AM243" t="n">
        <v>1.697143068</v>
      </c>
      <c r="AN243" t="n">
        <v>0.205999342</v>
      </c>
      <c r="AO243" t="n">
        <v>2.20511038</v>
      </c>
      <c r="AP243" t="n">
        <v>2.368547666</v>
      </c>
      <c r="AQ243" t="n">
        <v>2.033591998</v>
      </c>
      <c r="AR243" t="n">
        <v>0.785299244</v>
      </c>
      <c r="AS243" t="n">
        <v>0.586394599</v>
      </c>
      <c r="AT243" t="n">
        <v>0.602306657</v>
      </c>
      <c r="AU243" t="n">
        <v>1.171935193</v>
      </c>
    </row>
    <row r="244">
      <c r="A244" t="inlineStr">
        <is>
          <t>2007-Q4</t>
        </is>
      </c>
      <c r="B244" s="87" t="n">
        <v>39448</v>
      </c>
      <c r="C244" t="n">
        <v>3.073699301</v>
      </c>
      <c r="D244" t="n">
        <v>0.43885517</v>
      </c>
      <c r="E244" t="n">
        <v>0.867301892</v>
      </c>
      <c r="F244" t="n">
        <v>0.405803087</v>
      </c>
      <c r="G244" t="n">
        <v>1.549056439</v>
      </c>
      <c r="H244" t="n">
        <v>0.113617046</v>
      </c>
      <c r="I244" t="n">
        <v>1.062714002</v>
      </c>
      <c r="J244" t="n">
        <v>1.682407434</v>
      </c>
      <c r="L244" t="n">
        <v>1.186412736</v>
      </c>
      <c r="M244" t="n">
        <v>0.665882926</v>
      </c>
      <c r="N244" t="n">
        <v>1.005988508</v>
      </c>
      <c r="O244" t="n">
        <v>0.537608</v>
      </c>
      <c r="P244" t="n">
        <v>0.642845606</v>
      </c>
      <c r="Q244" t="n">
        <v>-0.600339009</v>
      </c>
      <c r="R244" t="n">
        <v>0.627676</v>
      </c>
      <c r="S244" t="n">
        <v>1.319947274</v>
      </c>
      <c r="T244" t="n">
        <v>0.23675621</v>
      </c>
      <c r="U244" t="n">
        <v>0.45776</v>
      </c>
      <c r="V244" t="n">
        <v>0.385228837</v>
      </c>
      <c r="W244" t="n">
        <v>-0.495876772</v>
      </c>
      <c r="X244" t="n">
        <v>0.293660047</v>
      </c>
      <c r="Y244" t="n">
        <v>3.37688</v>
      </c>
      <c r="Z244" t="n">
        <v>4.162954804</v>
      </c>
      <c r="AA244" t="n">
        <v>4.433705772</v>
      </c>
      <c r="AB244" t="n">
        <v>1.468856085</v>
      </c>
      <c r="AC244" t="n">
        <v>-0.341557589</v>
      </c>
      <c r="AD244" t="n">
        <v>0.422474291</v>
      </c>
      <c r="AE244" t="n">
        <v>2.156948555</v>
      </c>
      <c r="AF244" t="n">
        <v>0.793246783</v>
      </c>
      <c r="AG244" t="n">
        <v>-1.174248046</v>
      </c>
      <c r="AH244" t="n">
        <v>0.393539647</v>
      </c>
      <c r="AI244" t="n">
        <v>1.353023647</v>
      </c>
      <c r="AJ244" t="n">
        <v>1.088181546</v>
      </c>
      <c r="AK244" t="n">
        <v>0.164283674</v>
      </c>
      <c r="AL244" t="n">
        <v>0.700712141</v>
      </c>
      <c r="AM244" t="n">
        <v>1.343504923</v>
      </c>
      <c r="AN244" t="n">
        <v>1.118249303</v>
      </c>
      <c r="AO244" t="n">
        <v>3.193832161</v>
      </c>
      <c r="AP244" t="n">
        <v>6.355912095</v>
      </c>
      <c r="AQ244" t="n">
        <v>0.208902496</v>
      </c>
      <c r="AR244" t="n">
        <v>1.148505566</v>
      </c>
      <c r="AS244" t="n">
        <v>3.432599138</v>
      </c>
      <c r="AT244" t="n">
        <v>0.609644003</v>
      </c>
      <c r="AU244" t="n">
        <v>1.417079709</v>
      </c>
    </row>
    <row r="245">
      <c r="A245" t="inlineStr">
        <is>
          <t>2008-Q1</t>
        </is>
      </c>
      <c r="B245" s="87" t="n">
        <v>39539</v>
      </c>
      <c r="C245" t="n">
        <v>0.900495798</v>
      </c>
      <c r="D245" t="n">
        <v>1.035091138</v>
      </c>
      <c r="E245" t="n">
        <v>0.668826669</v>
      </c>
      <c r="F245" t="n">
        <v>0.431929904</v>
      </c>
      <c r="G245" t="n">
        <v>1.133942088</v>
      </c>
      <c r="H245" t="n">
        <v>0.07664056700000001</v>
      </c>
      <c r="I245" t="n">
        <v>0.855826194</v>
      </c>
      <c r="J245" t="n">
        <v>2.562235415</v>
      </c>
      <c r="L245" t="n">
        <v>0.530801089</v>
      </c>
      <c r="M245" t="n">
        <v>0.6294767020000001</v>
      </c>
      <c r="N245" t="n">
        <v>-0.041561001</v>
      </c>
      <c r="O245" t="n">
        <v>0.474136</v>
      </c>
      <c r="P245" t="n">
        <v>0.215766273</v>
      </c>
      <c r="Q245" t="n">
        <v>-2.220162076</v>
      </c>
      <c r="R245" t="n">
        <v>0.539524</v>
      </c>
      <c r="S245" t="n">
        <v>-0.122968349</v>
      </c>
      <c r="T245" t="n">
        <v>0.393852763</v>
      </c>
      <c r="U245" t="n">
        <v>0.068132</v>
      </c>
      <c r="V245" t="n">
        <v>0.603271437</v>
      </c>
      <c r="W245" t="n">
        <v>0.611597606</v>
      </c>
      <c r="X245" t="n">
        <v>0.948371092</v>
      </c>
      <c r="Y245" t="n">
        <v>0.6059</v>
      </c>
      <c r="Z245" t="n">
        <v>-2.686497399</v>
      </c>
      <c r="AA245" t="n">
        <v>-2.677116417</v>
      </c>
      <c r="AB245" t="n">
        <v>0.815336045</v>
      </c>
      <c r="AC245" t="n">
        <v>1.115394904</v>
      </c>
      <c r="AD245" t="n">
        <v>0.353736845</v>
      </c>
      <c r="AE245" t="n">
        <v>0.402394858</v>
      </c>
      <c r="AF245" t="n">
        <v>1.072631667</v>
      </c>
      <c r="AG245" t="n">
        <v>2.085041666</v>
      </c>
      <c r="AH245" t="n">
        <v>-0.201721816</v>
      </c>
      <c r="AI245" t="n">
        <v>0.327531403</v>
      </c>
      <c r="AJ245" t="n">
        <v>-1.256361804</v>
      </c>
      <c r="AK245" t="n">
        <v>-0.313618677</v>
      </c>
      <c r="AL245" t="n">
        <v>0.191033749</v>
      </c>
      <c r="AM245" t="n">
        <v>1.917710731</v>
      </c>
      <c r="AN245" t="n">
        <v>0.007673184</v>
      </c>
      <c r="AO245" t="n">
        <v>2.653171822</v>
      </c>
      <c r="AP245" t="n">
        <v>-2.801505106</v>
      </c>
      <c r="AQ245" t="n">
        <v>1.576732254</v>
      </c>
      <c r="AR245" t="n">
        <v>-0.80477233</v>
      </c>
      <c r="AS245" t="n">
        <v>2.106492108</v>
      </c>
      <c r="AT245" t="n">
        <v>-0.407429474</v>
      </c>
      <c r="AU245" t="n">
        <v>0.420005275</v>
      </c>
    </row>
    <row r="246">
      <c r="A246" t="inlineStr">
        <is>
          <t>2008-Q2</t>
        </is>
      </c>
      <c r="B246" s="87" t="n">
        <v>39630</v>
      </c>
      <c r="C246" t="n">
        <v>0.579047359</v>
      </c>
      <c r="D246" t="n">
        <v>0.285841847</v>
      </c>
      <c r="E246" t="n">
        <v>0.832212557</v>
      </c>
      <c r="F246" t="n">
        <v>0.06348686200000001</v>
      </c>
      <c r="G246" t="n">
        <v>2.322126207</v>
      </c>
      <c r="H246" t="n">
        <v>0.361671897</v>
      </c>
      <c r="I246" t="n">
        <v>0.898160891</v>
      </c>
      <c r="J246" t="n">
        <v>0.059955903</v>
      </c>
      <c r="L246" t="n">
        <v>0.681591325</v>
      </c>
      <c r="M246" t="n">
        <v>-0.233242288</v>
      </c>
      <c r="N246" t="n">
        <v>-0.922683985</v>
      </c>
      <c r="O246" t="n">
        <v>-0.325912</v>
      </c>
      <c r="P246" t="n">
        <v>0.10925228</v>
      </c>
      <c r="Q246" t="n">
        <v>1.015879716</v>
      </c>
      <c r="R246" t="n">
        <v>-0.255055</v>
      </c>
      <c r="S246" t="n">
        <v>-0.802954874</v>
      </c>
      <c r="T246" t="n">
        <v>-0.42714137</v>
      </c>
      <c r="U246" t="n">
        <v>0.056587</v>
      </c>
      <c r="V246" t="n">
        <v>-0.45050659</v>
      </c>
      <c r="W246" t="n">
        <v>-0.639736483</v>
      </c>
      <c r="X246" t="n">
        <v>0.598319193</v>
      </c>
      <c r="Y246" t="n">
        <v>1.04386</v>
      </c>
      <c r="Z246" t="n">
        <v>-2.475645349</v>
      </c>
      <c r="AA246" t="n">
        <v>2.755552584</v>
      </c>
      <c r="AB246" t="n">
        <v>0.185667845</v>
      </c>
      <c r="AC246" t="n">
        <v>-0.946149651</v>
      </c>
      <c r="AD246" t="n">
        <v>-0.567485576</v>
      </c>
      <c r="AE246" t="n">
        <v>0.523473003</v>
      </c>
      <c r="AF246" t="n">
        <v>-1.102387232</v>
      </c>
      <c r="AG246" t="n">
        <v>-3.665652454</v>
      </c>
      <c r="AH246" t="n">
        <v>0.765901209</v>
      </c>
      <c r="AI246" t="n">
        <v>0.492586831</v>
      </c>
      <c r="AJ246" t="n">
        <v>0.049883456</v>
      </c>
      <c r="AK246" t="n">
        <v>-0.301261335</v>
      </c>
      <c r="AL246" t="n">
        <v>0.018268543</v>
      </c>
      <c r="AM246" t="n">
        <v>0.243077399</v>
      </c>
      <c r="AN246" t="n">
        <v>-0.492606075</v>
      </c>
      <c r="AO246" t="n">
        <v>0.6216023939999999</v>
      </c>
      <c r="AP246" t="n">
        <v>1.251130192</v>
      </c>
      <c r="AQ246" t="n">
        <v>1.695912028</v>
      </c>
      <c r="AR246" t="n">
        <v>-0.022136724</v>
      </c>
      <c r="AS246" t="n">
        <v>-3.548598571</v>
      </c>
      <c r="AT246" t="n">
        <v>0.572295345</v>
      </c>
      <c r="AU246" t="n">
        <v>1.220887141</v>
      </c>
    </row>
    <row r="247">
      <c r="A247" t="inlineStr">
        <is>
          <t>2008-Q3</t>
        </is>
      </c>
      <c r="B247" s="87" t="n">
        <v>39722</v>
      </c>
      <c r="C247" t="n">
        <v>0.795340515</v>
      </c>
      <c r="D247" t="n">
        <v>0.709143259</v>
      </c>
      <c r="E247" t="n">
        <v>-0.6495619419999999</v>
      </c>
      <c r="F247" t="n">
        <v>-0.584322554</v>
      </c>
      <c r="G247" t="n">
        <v>1.461927783</v>
      </c>
      <c r="H247" t="n">
        <v>0.820044012</v>
      </c>
      <c r="I247" t="n">
        <v>0.382527889</v>
      </c>
      <c r="J247" t="n">
        <v>-0.846287345</v>
      </c>
      <c r="L247" t="n">
        <v>0.163162275</v>
      </c>
      <c r="M247" t="n">
        <v>-0.648249182</v>
      </c>
      <c r="N247" t="n">
        <v>-0.584136662</v>
      </c>
      <c r="O247" t="n">
        <v>-0.535435</v>
      </c>
      <c r="P247" t="n">
        <v>-0.184139804</v>
      </c>
      <c r="Q247" t="n">
        <v>0.047697592</v>
      </c>
      <c r="R247" t="n">
        <v>-0.5074149999999999</v>
      </c>
      <c r="S247" t="n">
        <v>0.345367222</v>
      </c>
      <c r="T247" t="n">
        <v>-0.276806555</v>
      </c>
      <c r="U247" t="n">
        <v>-0.687601</v>
      </c>
      <c r="V247" t="n">
        <v>-1.490218453</v>
      </c>
      <c r="W247" t="n">
        <v>-0.097483141</v>
      </c>
      <c r="X247" t="n">
        <v>-0.183270637</v>
      </c>
      <c r="Y247" t="n">
        <v>0.87024</v>
      </c>
      <c r="Z247" t="n">
        <v>-0.841920809</v>
      </c>
      <c r="AA247" t="n">
        <v>-5.280688865</v>
      </c>
      <c r="AB247" t="n">
        <v>0.156891957</v>
      </c>
      <c r="AC247" t="n">
        <v>-1.232084951</v>
      </c>
      <c r="AD247" t="n">
        <v>-1.245119968</v>
      </c>
      <c r="AE247" t="n">
        <v>0.815881043</v>
      </c>
      <c r="AF247" t="n">
        <v>-0.8228486270000001</v>
      </c>
      <c r="AG247" t="n">
        <v>-4.075564884</v>
      </c>
      <c r="AH247" t="n">
        <v>0.321272064</v>
      </c>
      <c r="AI247" t="n">
        <v>-0.122148031</v>
      </c>
      <c r="AJ247" t="n">
        <v>-0.182729802</v>
      </c>
      <c r="AK247" t="n">
        <v>-0.339611409</v>
      </c>
      <c r="AL247" t="n">
        <v>-0.503157504</v>
      </c>
      <c r="AM247" t="n">
        <v>-0.336569792</v>
      </c>
      <c r="AN247" t="n">
        <v>-0.082530827</v>
      </c>
      <c r="AO247" t="n">
        <v>-1.490668597</v>
      </c>
      <c r="AP247" t="n">
        <v>1.419436013</v>
      </c>
      <c r="AQ247" t="n">
        <v>-0.567591792</v>
      </c>
      <c r="AR247" t="n">
        <v>-0.521936768</v>
      </c>
      <c r="AS247" t="n">
        <v>-1.816869974</v>
      </c>
      <c r="AT247" t="n">
        <v>-0.5268929020000001</v>
      </c>
      <c r="AU247" t="n">
        <v>0.238933351</v>
      </c>
    </row>
    <row r="248">
      <c r="A248" t="inlineStr">
        <is>
          <t>2008-Q4</t>
        </is>
      </c>
      <c r="B248" s="87" t="n">
        <v>39814</v>
      </c>
      <c r="C248" t="n">
        <v>-4.744838434</v>
      </c>
      <c r="D248" t="n">
        <v>-0.445194282</v>
      </c>
      <c r="E248" t="n">
        <v>-2.232902085</v>
      </c>
      <c r="F248" t="n">
        <v>-2.168833441</v>
      </c>
      <c r="G248" t="n">
        <v>-3.781774675</v>
      </c>
      <c r="H248" t="n">
        <v>-1.159518489</v>
      </c>
      <c r="I248" t="n">
        <v>-2.821142148</v>
      </c>
      <c r="J248" t="n">
        <v>-0.97242042</v>
      </c>
      <c r="L248" t="n">
        <v>-1.814962737</v>
      </c>
      <c r="M248" t="n">
        <v>-1.593756296</v>
      </c>
      <c r="N248" t="n">
        <v>-2.361480698</v>
      </c>
      <c r="O248" t="n">
        <v>-1.781544</v>
      </c>
      <c r="P248" t="n">
        <v>-1.614017593</v>
      </c>
      <c r="Q248" t="n">
        <v>-11.798106461</v>
      </c>
      <c r="R248" t="n">
        <v>-1.797303</v>
      </c>
      <c r="S248" t="n">
        <v>-2.145738102</v>
      </c>
      <c r="T248" t="n">
        <v>-1.451517365</v>
      </c>
      <c r="U248" t="n">
        <v>-2.083159</v>
      </c>
      <c r="V248" t="n">
        <v>-2.005279354</v>
      </c>
      <c r="W248" t="n">
        <v>-1.397015176</v>
      </c>
      <c r="X248" t="n">
        <v>-3.498200349</v>
      </c>
      <c r="Y248" t="n">
        <v>0.12257</v>
      </c>
      <c r="Z248" t="n">
        <v>-4.145980281</v>
      </c>
      <c r="AA248" t="n">
        <v>5.592803119</v>
      </c>
      <c r="AB248" t="n">
        <v>-0.749352185</v>
      </c>
      <c r="AC248" t="n">
        <v>-2.62005395</v>
      </c>
      <c r="AD248" t="n">
        <v>-2.476253266</v>
      </c>
      <c r="AE248" t="n">
        <v>-3.283889347</v>
      </c>
      <c r="AF248" t="n">
        <v>-3.684500269</v>
      </c>
      <c r="AG248" t="n">
        <v>-2.415346417</v>
      </c>
      <c r="AH248" t="n">
        <v>-1.631412171</v>
      </c>
      <c r="AI248" t="n">
        <v>-0.659940783</v>
      </c>
      <c r="AJ248" t="n">
        <v>0.313240545</v>
      </c>
      <c r="AK248" t="n">
        <v>-0.671118444</v>
      </c>
      <c r="AL248" t="n">
        <v>-1.993064657</v>
      </c>
      <c r="AM248" t="n">
        <v>0.404879544</v>
      </c>
      <c r="AN248" t="n">
        <v>-1.291756647</v>
      </c>
      <c r="AO248" t="n">
        <v>-3.252211484</v>
      </c>
      <c r="AP248" t="n">
        <v>1.201281</v>
      </c>
      <c r="AQ248" t="n">
        <v>-3.738170571</v>
      </c>
      <c r="AR248" t="n">
        <v>-3.536706816</v>
      </c>
      <c r="AS248" t="n">
        <v>-2.540031551</v>
      </c>
      <c r="AT248" t="n">
        <v>-2.183097148</v>
      </c>
      <c r="AU248" t="n">
        <v>-0.569248528</v>
      </c>
    </row>
    <row r="249">
      <c r="A249" t="inlineStr">
        <is>
          <t>2009-Q1</t>
        </is>
      </c>
      <c r="B249" s="87" t="n">
        <v>39904</v>
      </c>
      <c r="C249" t="n">
        <v>-3.654868564</v>
      </c>
      <c r="D249" t="n">
        <v>0.9117111530000001</v>
      </c>
      <c r="E249" t="n">
        <v>-1.729885102</v>
      </c>
      <c r="F249" t="n">
        <v>-0.97325393</v>
      </c>
      <c r="G249" t="n">
        <v>-1.383844741</v>
      </c>
      <c r="H249" t="n">
        <v>-2.259686183</v>
      </c>
      <c r="I249" t="n">
        <v>-1.555135326</v>
      </c>
      <c r="J249" t="n">
        <v>-0.815451483</v>
      </c>
      <c r="L249" t="n">
        <v>-3.381670366</v>
      </c>
      <c r="M249" t="n">
        <v>-4.682227055</v>
      </c>
      <c r="N249" t="n">
        <v>-1.423447795</v>
      </c>
      <c r="O249" t="n">
        <v>-3.110198</v>
      </c>
      <c r="P249" t="n">
        <v>-2.605535405</v>
      </c>
      <c r="Q249" t="n">
        <v>-2.651968524</v>
      </c>
      <c r="R249" t="n">
        <v>-2.897143</v>
      </c>
      <c r="S249" t="n">
        <v>-6.477614128</v>
      </c>
      <c r="T249" t="n">
        <v>-1.645240416</v>
      </c>
      <c r="U249" t="n">
        <v>-2.302976</v>
      </c>
      <c r="V249" t="n">
        <v>-1.802244248</v>
      </c>
      <c r="W249" t="n">
        <v>-4.747780617</v>
      </c>
      <c r="X249" t="n">
        <v>-4.118243332</v>
      </c>
      <c r="Y249" t="n">
        <v>-1.84614</v>
      </c>
      <c r="Z249" t="n">
        <v>0.430103886</v>
      </c>
      <c r="AA249" t="n">
        <v>-9.874681056</v>
      </c>
      <c r="AB249" t="n">
        <v>-0.043184211</v>
      </c>
      <c r="AC249" t="n">
        <v>-2.693743756</v>
      </c>
      <c r="AD249" t="n">
        <v>-4.807488793</v>
      </c>
      <c r="AE249" t="n">
        <v>0.08998672200000001</v>
      </c>
      <c r="AF249" t="n">
        <v>-1.888071745</v>
      </c>
      <c r="AG249" t="n">
        <v>-3.588485507</v>
      </c>
      <c r="AH249" t="n">
        <v>-5.118195198</v>
      </c>
      <c r="AI249" t="n">
        <v>-3.593640793</v>
      </c>
      <c r="AJ249" t="n">
        <v>-0.825737962</v>
      </c>
      <c r="AK249" t="n">
        <v>-1.008347403</v>
      </c>
      <c r="AL249" t="n">
        <v>-2.314471496</v>
      </c>
      <c r="AM249" t="n">
        <v>1.578756548</v>
      </c>
      <c r="AN249" t="n">
        <v>-2.516670472</v>
      </c>
      <c r="AO249" t="n">
        <v>-3.526981758</v>
      </c>
      <c r="AP249" t="n">
        <v>-9.600038393</v>
      </c>
      <c r="AQ249" t="n">
        <v>-4.378376183</v>
      </c>
      <c r="AR249" t="n">
        <v>-1.490136915</v>
      </c>
      <c r="AS249" t="n">
        <v>-5.664019566</v>
      </c>
      <c r="AT249" t="n">
        <v>-1.165722531</v>
      </c>
      <c r="AU249" t="n">
        <v>-1.555542595</v>
      </c>
    </row>
    <row r="250">
      <c r="A250" t="inlineStr">
        <is>
          <t>2009-Q2</t>
        </is>
      </c>
      <c r="B250" s="87" t="n">
        <v>39995</v>
      </c>
      <c r="C250" t="n">
        <v>-2.196738264</v>
      </c>
      <c r="D250" t="n">
        <v>0.747253777</v>
      </c>
      <c r="E250" t="n">
        <v>-0.778724972</v>
      </c>
      <c r="F250" t="n">
        <v>0.047812829</v>
      </c>
      <c r="G250" t="n">
        <v>1.804567832</v>
      </c>
      <c r="H250" t="n">
        <v>-1.091258596</v>
      </c>
      <c r="I250" t="n">
        <v>0.600697029</v>
      </c>
      <c r="J250" t="n">
        <v>-0.596197472</v>
      </c>
      <c r="L250" t="n">
        <v>-0.387897595</v>
      </c>
      <c r="M250" t="n">
        <v>0.159652865</v>
      </c>
      <c r="N250" t="n">
        <v>-1.938341181</v>
      </c>
      <c r="O250" t="n">
        <v>-0.020164</v>
      </c>
      <c r="P250" t="n">
        <v>-0.010778265</v>
      </c>
      <c r="Q250" t="n">
        <v>-3.374436672</v>
      </c>
      <c r="R250" t="n">
        <v>-0.068371</v>
      </c>
      <c r="S250" t="n">
        <v>-0.436809528</v>
      </c>
      <c r="T250" t="n">
        <v>-0.100864069</v>
      </c>
      <c r="U250" t="n">
        <v>0.113256</v>
      </c>
      <c r="V250" t="n">
        <v>-0.313933676</v>
      </c>
      <c r="W250" t="n">
        <v>2.776841903</v>
      </c>
      <c r="X250" t="n">
        <v>0.012032567</v>
      </c>
      <c r="Y250" t="n">
        <v>5.80366</v>
      </c>
      <c r="Z250" t="n">
        <v>-0.501108596</v>
      </c>
      <c r="AA250" t="n">
        <v>-0.383362791</v>
      </c>
      <c r="AB250" t="n">
        <v>1.070750698</v>
      </c>
      <c r="AC250" t="n">
        <v>-0.31826115</v>
      </c>
      <c r="AD250" t="n">
        <v>1.963306588</v>
      </c>
      <c r="AE250" t="n">
        <v>1.332777638</v>
      </c>
      <c r="AF250" t="n">
        <v>1.23940271</v>
      </c>
      <c r="AG250" t="n">
        <v>-5.691223058</v>
      </c>
      <c r="AH250" t="n">
        <v>-1.485677808</v>
      </c>
      <c r="AI250" t="n">
        <v>0.002508579</v>
      </c>
      <c r="AJ250" t="n">
        <v>-0.879611379</v>
      </c>
      <c r="AK250" t="n">
        <v>-0.053875932</v>
      </c>
      <c r="AL250" t="n">
        <v>0.196353072</v>
      </c>
      <c r="AM250" t="n">
        <v>0.046117186</v>
      </c>
      <c r="AN250" t="n">
        <v>0.08943820700000001</v>
      </c>
      <c r="AO250" t="n">
        <v>-1.458860781</v>
      </c>
      <c r="AP250" t="n">
        <v>1.651201291</v>
      </c>
      <c r="AQ250" t="n">
        <v>-1.108789315</v>
      </c>
      <c r="AR250" t="n">
        <v>0.07337168400000001</v>
      </c>
      <c r="AS250" t="n">
        <v>4.006998137</v>
      </c>
      <c r="AT250" t="n">
        <v>-0.169238139</v>
      </c>
      <c r="AU250" t="n">
        <v>-0.343211369</v>
      </c>
    </row>
    <row r="251">
      <c r="A251" t="inlineStr">
        <is>
          <t>2009-Q3</t>
        </is>
      </c>
      <c r="B251" s="87" t="n">
        <v>40087</v>
      </c>
      <c r="C251" t="n">
        <v>3.925190013</v>
      </c>
      <c r="D251" t="n">
        <v>0.283762725</v>
      </c>
      <c r="E251" t="n">
        <v>0.445805934</v>
      </c>
      <c r="F251" t="n">
        <v>1.263779444</v>
      </c>
      <c r="G251" t="n">
        <v>2.345837446</v>
      </c>
      <c r="H251" t="n">
        <v>0.44993852</v>
      </c>
      <c r="I251" t="n">
        <v>1.145387645</v>
      </c>
      <c r="J251" t="n">
        <v>1.11519886</v>
      </c>
      <c r="L251" t="n">
        <v>0.441103716</v>
      </c>
      <c r="M251" t="n">
        <v>0.557891323</v>
      </c>
      <c r="N251" t="n">
        <v>0.345762915</v>
      </c>
      <c r="O251" t="n">
        <v>0.389605</v>
      </c>
      <c r="P251" t="n">
        <v>0.211128086</v>
      </c>
      <c r="Q251" t="n">
        <v>-1.96713969</v>
      </c>
      <c r="R251" t="n">
        <v>0.369071</v>
      </c>
      <c r="S251" t="n">
        <v>0.924668988</v>
      </c>
      <c r="T251" t="n">
        <v>0.163525175</v>
      </c>
      <c r="U251" t="n">
        <v>0.303696</v>
      </c>
      <c r="V251" t="n">
        <v>0.063201652</v>
      </c>
      <c r="W251" t="n">
        <v>-0.725436891</v>
      </c>
      <c r="X251" t="n">
        <v>0.00491484</v>
      </c>
      <c r="Y251" t="n">
        <v>2.55388</v>
      </c>
      <c r="Z251" t="n">
        <v>-1.386399123</v>
      </c>
      <c r="AA251" t="n">
        <v>1.542428176</v>
      </c>
      <c r="AB251" t="n">
        <v>1.081334283</v>
      </c>
      <c r="AC251" t="n">
        <v>0.581847754</v>
      </c>
      <c r="AD251" t="n">
        <v>-0.043083685</v>
      </c>
      <c r="AE251" t="n">
        <v>2.992674785</v>
      </c>
      <c r="AF251" t="n">
        <v>2.139786911</v>
      </c>
      <c r="AG251" t="n">
        <v>-5.092196694</v>
      </c>
      <c r="AH251" t="n">
        <v>3.298951621</v>
      </c>
      <c r="AI251" t="n">
        <v>0.400707908</v>
      </c>
      <c r="AJ251" t="n">
        <v>0.06438632800000001</v>
      </c>
      <c r="AK251" t="n">
        <v>0.495202668</v>
      </c>
      <c r="AL251" t="n">
        <v>0.5832737140000001</v>
      </c>
      <c r="AM251" t="n">
        <v>0.57832619</v>
      </c>
      <c r="AN251" t="n">
        <v>0.8822241830000001</v>
      </c>
      <c r="AO251" t="n">
        <v>0.410425161</v>
      </c>
      <c r="AP251" t="n">
        <v>1.722728495</v>
      </c>
      <c r="AQ251" t="n">
        <v>0.262267565</v>
      </c>
      <c r="AR251" t="n">
        <v>-0.050712374</v>
      </c>
      <c r="AS251" t="n">
        <v>2.395761074</v>
      </c>
      <c r="AT251" t="n">
        <v>0.361929991</v>
      </c>
      <c r="AU251" t="n">
        <v>0.231907188</v>
      </c>
    </row>
    <row r="252">
      <c r="A252" t="inlineStr">
        <is>
          <t>2009-Q4</t>
        </is>
      </c>
      <c r="B252" s="87" t="n">
        <v>40179</v>
      </c>
      <c r="C252" t="n">
        <v>1.872533661</v>
      </c>
      <c r="D252" t="n">
        <v>0.787545646</v>
      </c>
      <c r="E252" t="n">
        <v>0.466032491</v>
      </c>
      <c r="F252" t="n">
        <v>0.802290461</v>
      </c>
      <c r="G252" t="n">
        <v>2.531021125</v>
      </c>
      <c r="H252" t="n">
        <v>1.166157024</v>
      </c>
      <c r="I252" t="n">
        <v>0.831658703</v>
      </c>
      <c r="J252" t="n">
        <v>1.23689424</v>
      </c>
      <c r="L252" t="n">
        <v>0.096491574</v>
      </c>
      <c r="M252" t="n">
        <v>0.735962768</v>
      </c>
      <c r="N252" t="n">
        <v>0.09074326200000001</v>
      </c>
      <c r="O252" t="n">
        <v>0.456743</v>
      </c>
      <c r="P252" t="n">
        <v>-0.020400669</v>
      </c>
      <c r="Q252" t="n">
        <v>0.468828182</v>
      </c>
      <c r="R252" t="n">
        <v>0.490169</v>
      </c>
      <c r="S252" t="n">
        <v>-0.7719448719999999</v>
      </c>
      <c r="T252" t="n">
        <v>0.698887433</v>
      </c>
      <c r="U252" t="n">
        <v>0.928393</v>
      </c>
      <c r="V252" t="n">
        <v>0.3103824</v>
      </c>
      <c r="W252" t="n">
        <v>0.128217041</v>
      </c>
      <c r="X252" t="n">
        <v>-0.008792523999999999</v>
      </c>
      <c r="Y252" t="n">
        <v>2.12673</v>
      </c>
      <c r="Z252" t="n">
        <v>-1.278050814</v>
      </c>
      <c r="AA252" t="n">
        <v>-0.314736616</v>
      </c>
      <c r="AB252" t="n">
        <v>1.390406835</v>
      </c>
      <c r="AC252" t="n">
        <v>0.324504377</v>
      </c>
      <c r="AD252" t="n">
        <v>1.231975606</v>
      </c>
      <c r="AE252" t="n">
        <v>0.746867545</v>
      </c>
      <c r="AF252" t="n">
        <v>0.46748152</v>
      </c>
      <c r="AG252" t="n">
        <v>0.300953851</v>
      </c>
      <c r="AH252" t="n">
        <v>1.660506126</v>
      </c>
      <c r="AI252" t="n">
        <v>0.602328461</v>
      </c>
      <c r="AJ252" t="n">
        <v>0.053340238</v>
      </c>
      <c r="AK252" t="n">
        <v>1.269581198</v>
      </c>
      <c r="AL252" t="n">
        <v>0.901200462</v>
      </c>
      <c r="AM252" t="n">
        <v>2.39664428</v>
      </c>
      <c r="AN252" t="n">
        <v>0.047782666</v>
      </c>
      <c r="AO252" t="n">
        <v>1.081708456</v>
      </c>
      <c r="AP252" t="n">
        <v>1.940396418</v>
      </c>
      <c r="AQ252" t="n">
        <v>-0.118584765</v>
      </c>
      <c r="AR252" t="n">
        <v>0.457943916</v>
      </c>
      <c r="AS252" t="n">
        <v>1.952357185</v>
      </c>
      <c r="AT252" t="n">
        <v>1.06796195</v>
      </c>
      <c r="AU252" t="n">
        <v>0.666971689</v>
      </c>
    </row>
    <row r="253">
      <c r="A253" t="inlineStr">
        <is>
          <t>2010-Q1</t>
        </is>
      </c>
      <c r="B253" s="87" t="n">
        <v>40269</v>
      </c>
      <c r="C253" t="n">
        <v>3.037444927</v>
      </c>
      <c r="D253" t="n">
        <v>0.434419083</v>
      </c>
      <c r="E253" t="n">
        <v>-0.427643037</v>
      </c>
      <c r="F253" t="n">
        <v>0.518118543</v>
      </c>
      <c r="G253" t="n">
        <v>2.279979912</v>
      </c>
      <c r="H253" t="n">
        <v>1.206341487</v>
      </c>
      <c r="I253" t="n">
        <v>0.71617919</v>
      </c>
      <c r="J253" t="n">
        <v>0.357802556</v>
      </c>
      <c r="L253" t="n">
        <v>0.699970782</v>
      </c>
      <c r="M253" t="n">
        <v>0.806515425</v>
      </c>
      <c r="N253" t="n">
        <v>0.863569079</v>
      </c>
      <c r="O253" t="n">
        <v>0.400829</v>
      </c>
      <c r="P253" t="n">
        <v>-0.028195768</v>
      </c>
      <c r="Q253" t="n">
        <v>1.378153533</v>
      </c>
      <c r="R253" t="n">
        <v>0.406322</v>
      </c>
      <c r="S253" t="n">
        <v>1.001905585</v>
      </c>
      <c r="T253" t="n">
        <v>0.355262099</v>
      </c>
      <c r="U253" t="n">
        <v>0.629757</v>
      </c>
      <c r="V253" t="n">
        <v>0.6984714990000001</v>
      </c>
      <c r="W253" t="n">
        <v>-5.562886166</v>
      </c>
      <c r="X253" t="n">
        <v>0.012441172</v>
      </c>
      <c r="Y253" t="n">
        <v>2.60018</v>
      </c>
      <c r="Z253" t="n">
        <v>2.963395825</v>
      </c>
      <c r="AA253" t="n">
        <v>-6.001044521</v>
      </c>
      <c r="AB253" t="n">
        <v>1.351786254</v>
      </c>
      <c r="AC253" t="n">
        <v>0.268181138</v>
      </c>
      <c r="AD253" t="n">
        <v>1.053024324</v>
      </c>
      <c r="AE253" t="n">
        <v>1.959076739</v>
      </c>
      <c r="AF253" t="n">
        <v>1.772249364</v>
      </c>
      <c r="AG253" t="n">
        <v>-0.572296554</v>
      </c>
      <c r="AH253" t="n">
        <v>1.051174117</v>
      </c>
      <c r="AI253" t="n">
        <v>-0.188470022</v>
      </c>
      <c r="AJ253" t="n">
        <v>1.951186058</v>
      </c>
      <c r="AK253" t="n">
        <v>0.329015321</v>
      </c>
      <c r="AL253" t="n">
        <v>0.601660396</v>
      </c>
      <c r="AM253" t="n">
        <v>-0.422457627</v>
      </c>
      <c r="AN253" t="n">
        <v>0.8230184270000001</v>
      </c>
      <c r="AO253" t="n">
        <v>2.138462021</v>
      </c>
      <c r="AP253" t="n">
        <v>1.846014475</v>
      </c>
      <c r="AQ253" t="n">
        <v>-0.14290178</v>
      </c>
      <c r="AR253" t="n">
        <v>2.668592633</v>
      </c>
      <c r="AS253" t="n">
        <v>-0.294994982</v>
      </c>
      <c r="AT253" t="n">
        <v>0.500053481</v>
      </c>
      <c r="AU253" t="n">
        <v>1.166724893</v>
      </c>
    </row>
    <row r="254">
      <c r="A254" t="inlineStr">
        <is>
          <t>2010-Q2</t>
        </is>
      </c>
      <c r="B254" s="87" t="n">
        <v>40360</v>
      </c>
      <c r="C254" t="n">
        <v>4.467587694</v>
      </c>
      <c r="D254" t="n">
        <v>0.640536054</v>
      </c>
      <c r="E254" t="n">
        <v>1.354215248</v>
      </c>
      <c r="F254" t="n">
        <v>0.985354241</v>
      </c>
      <c r="G254" t="n">
        <v>0.973766282</v>
      </c>
      <c r="H254" t="n">
        <v>0.523260909</v>
      </c>
      <c r="I254" t="n">
        <v>0.831262919</v>
      </c>
      <c r="J254" t="n">
        <v>3.422238008</v>
      </c>
      <c r="L254" t="n">
        <v>1.123545104</v>
      </c>
      <c r="M254" t="n">
        <v>2.241046536</v>
      </c>
      <c r="N254" t="n">
        <v>0.683517919</v>
      </c>
      <c r="O254" t="n">
        <v>0.970591</v>
      </c>
      <c r="P254" t="n">
        <v>0.149925037</v>
      </c>
      <c r="Q254" t="n">
        <v>1.267530988</v>
      </c>
      <c r="R254" t="n">
        <v>0.994142</v>
      </c>
      <c r="S254" t="n">
        <v>2.761947367</v>
      </c>
      <c r="T254" t="n">
        <v>0.511057261</v>
      </c>
      <c r="U254" t="n">
        <v>1.074766</v>
      </c>
      <c r="V254" t="n">
        <v>1.133482316</v>
      </c>
      <c r="W254" t="n">
        <v>-3.753833606</v>
      </c>
      <c r="X254" t="n">
        <v>0.824841776</v>
      </c>
      <c r="Y254" t="n">
        <v>2.40256</v>
      </c>
      <c r="Z254" t="n">
        <v>0.059786493</v>
      </c>
      <c r="AA254" t="n">
        <v>3.967660907</v>
      </c>
      <c r="AB254" t="n">
        <v>1.404836277</v>
      </c>
      <c r="AC254" t="n">
        <v>0.747525358</v>
      </c>
      <c r="AD254" t="n">
        <v>1.201058483</v>
      </c>
      <c r="AE254" t="n">
        <v>1.899801372</v>
      </c>
      <c r="AF254" t="n">
        <v>1.082868631</v>
      </c>
      <c r="AG254" t="n">
        <v>-0.731588609</v>
      </c>
      <c r="AH254" t="n">
        <v>1.098761831</v>
      </c>
      <c r="AI254" t="n">
        <v>0.438663663</v>
      </c>
      <c r="AJ254" t="n">
        <v>-1.062964293</v>
      </c>
      <c r="AK254" t="n">
        <v>0.707659789</v>
      </c>
      <c r="AL254" t="n">
        <v>1.104716968</v>
      </c>
      <c r="AM254" t="n">
        <v>1.525976413</v>
      </c>
      <c r="AN254" t="n">
        <v>0.552428604</v>
      </c>
      <c r="AO254" t="n">
        <v>0.950099062</v>
      </c>
      <c r="AP254" t="n">
        <v>1.167655274</v>
      </c>
      <c r="AQ254" t="n">
        <v>1.781524831</v>
      </c>
      <c r="AR254" t="n">
        <v>2.079150952</v>
      </c>
      <c r="AS254" t="n">
        <v>3.800709327</v>
      </c>
      <c r="AT254" t="n">
        <v>0.967704639</v>
      </c>
      <c r="AU254" t="n">
        <v>0.839411996</v>
      </c>
    </row>
    <row r="255">
      <c r="A255" t="inlineStr">
        <is>
          <t>2010-Q3</t>
        </is>
      </c>
      <c r="B255" s="87" t="n">
        <v>40452</v>
      </c>
      <c r="C255" t="n">
        <v>0.541693873</v>
      </c>
      <c r="D255" t="n">
        <v>0.700459384</v>
      </c>
      <c r="E255" t="n">
        <v>0.889631876</v>
      </c>
      <c r="F255" t="n">
        <v>0.417149241</v>
      </c>
      <c r="G255" t="n">
        <v>1.024357987</v>
      </c>
      <c r="H255" t="n">
        <v>0.7086949219999999</v>
      </c>
      <c r="I255" t="n">
        <v>0.584384664</v>
      </c>
      <c r="J255" t="n">
        <v>2.332971188</v>
      </c>
      <c r="L255" t="n">
        <v>0.838015454</v>
      </c>
      <c r="M255" t="n">
        <v>0.839699329</v>
      </c>
      <c r="N255" t="n">
        <v>1.585373276</v>
      </c>
      <c r="O255" t="n">
        <v>0.440331</v>
      </c>
      <c r="P255" t="n">
        <v>-0.051135353</v>
      </c>
      <c r="Q255" t="n">
        <v>1.465733355</v>
      </c>
      <c r="R255" t="n">
        <v>0.509836</v>
      </c>
      <c r="S255" t="n">
        <v>-0.410728143</v>
      </c>
      <c r="T255" t="n">
        <v>0.655567361</v>
      </c>
      <c r="U255" t="n">
        <v>0.895803</v>
      </c>
      <c r="V255" t="n">
        <v>0.700938054</v>
      </c>
      <c r="W255" t="n">
        <v>-3.336596347</v>
      </c>
      <c r="X255" t="n">
        <v>0.788848507</v>
      </c>
      <c r="Y255" t="n">
        <v>2.95598</v>
      </c>
      <c r="Z255" t="n">
        <v>0.440455187</v>
      </c>
      <c r="AA255" t="n">
        <v>-1.947419445</v>
      </c>
      <c r="AB255" t="n">
        <v>1.239539874</v>
      </c>
      <c r="AC255" t="n">
        <v>0.478045488</v>
      </c>
      <c r="AD255" t="n">
        <v>1.815127445</v>
      </c>
      <c r="AE255" t="n">
        <v>1.15521508</v>
      </c>
      <c r="AF255" t="n">
        <v>-1.577887671</v>
      </c>
      <c r="AG255" t="n">
        <v>-0.379015662</v>
      </c>
      <c r="AH255" t="n">
        <v>0.940861166</v>
      </c>
      <c r="AI255" t="n">
        <v>0.441623993</v>
      </c>
      <c r="AJ255" t="n">
        <v>-2.481539827</v>
      </c>
      <c r="AK255" t="n">
        <v>-0.248660282</v>
      </c>
      <c r="AL255" t="n">
        <v>0.853779423</v>
      </c>
      <c r="AM255" t="n">
        <v>1.318683763</v>
      </c>
      <c r="AN255" t="n">
        <v>0.083833036</v>
      </c>
      <c r="AO255" t="n">
        <v>0.523512525</v>
      </c>
      <c r="AP255" t="n">
        <v>1.100273322</v>
      </c>
      <c r="AQ255" t="n">
        <v>0.267473144</v>
      </c>
      <c r="AR255" t="n">
        <v>1.211929953</v>
      </c>
      <c r="AS255" t="n">
        <v>2.770701784</v>
      </c>
      <c r="AT255" t="n">
        <v>0.77314415</v>
      </c>
      <c r="AU255" t="n">
        <v>0.890246294</v>
      </c>
    </row>
    <row r="256">
      <c r="A256" t="inlineStr">
        <is>
          <t>2010-Q4</t>
        </is>
      </c>
      <c r="B256" s="87" t="n">
        <v>40544</v>
      </c>
      <c r="C256" t="n">
        <v>1.361616388</v>
      </c>
      <c r="D256" t="n">
        <v>0.918657258</v>
      </c>
      <c r="E256" t="n">
        <v>1.155355749</v>
      </c>
      <c r="F256" t="n">
        <v>0.505236083</v>
      </c>
      <c r="G256" t="n">
        <v>1.355199772</v>
      </c>
      <c r="H256" t="n">
        <v>1.117505154</v>
      </c>
      <c r="I256" t="n">
        <v>0.745948509</v>
      </c>
      <c r="J256" t="n">
        <v>1.236961951</v>
      </c>
      <c r="L256" t="n">
        <v>0.375699874</v>
      </c>
      <c r="M256" t="n">
        <v>0.811076295</v>
      </c>
      <c r="N256" t="n">
        <v>-0.225049653</v>
      </c>
      <c r="O256" t="n">
        <v>0.626051</v>
      </c>
      <c r="P256" t="n">
        <v>0.067103146</v>
      </c>
      <c r="Q256" t="n">
        <v>2.101125282</v>
      </c>
      <c r="R256" t="n">
        <v>0.63768</v>
      </c>
      <c r="S256" t="n">
        <v>2.100121636</v>
      </c>
      <c r="T256" t="n">
        <v>0.709680537</v>
      </c>
      <c r="U256" t="n">
        <v>0.364771</v>
      </c>
      <c r="V256" t="n">
        <v>0.120686818</v>
      </c>
      <c r="W256" t="n">
        <v>-0.794064544</v>
      </c>
      <c r="X256" t="n">
        <v>0.001737961</v>
      </c>
      <c r="Y256" t="n">
        <v>2.32107</v>
      </c>
      <c r="Z256" t="n">
        <v>-0.446663424</v>
      </c>
      <c r="AA256" t="n">
        <v>3.776963254</v>
      </c>
      <c r="AB256" t="n">
        <v>1.566982768</v>
      </c>
      <c r="AC256" t="n">
        <v>0.5487371049999999</v>
      </c>
      <c r="AD256" t="n">
        <v>-0.817892743</v>
      </c>
      <c r="AE256" t="n">
        <v>1.219318711</v>
      </c>
      <c r="AF256" t="n">
        <v>0.744702102</v>
      </c>
      <c r="AG256" t="n">
        <v>0.924409751</v>
      </c>
      <c r="AH256" t="n">
        <v>0.775326596</v>
      </c>
      <c r="AI256" t="n">
        <v>1.12734149</v>
      </c>
      <c r="AJ256" t="n">
        <v>2.80725941</v>
      </c>
      <c r="AK256" t="n">
        <v>-0.519388337</v>
      </c>
      <c r="AL256" t="n">
        <v>0.568559029</v>
      </c>
      <c r="AM256" t="n">
        <v>0.977550789</v>
      </c>
      <c r="AN256" t="n">
        <v>-0.194037196</v>
      </c>
      <c r="AO256" t="n">
        <v>1.25698003</v>
      </c>
      <c r="AP256" t="n">
        <v>0.660050295</v>
      </c>
      <c r="AQ256" t="n">
        <v>0.543568847</v>
      </c>
      <c r="AR256" t="n">
        <v>1.605291555</v>
      </c>
      <c r="AS256" t="n">
        <v>3.023189403</v>
      </c>
      <c r="AT256" t="n">
        <v>0.519595159</v>
      </c>
      <c r="AU256" t="n">
        <v>0.930781355</v>
      </c>
    </row>
    <row r="257">
      <c r="A257" t="inlineStr">
        <is>
          <t>2011-Q1</t>
        </is>
      </c>
      <c r="B257" s="87" t="n">
        <v>40634</v>
      </c>
      <c r="C257" t="n">
        <v>2.395527853</v>
      </c>
      <c r="D257" t="n">
        <v>-0.302186997</v>
      </c>
      <c r="E257" t="n">
        <v>0.885604007</v>
      </c>
      <c r="F257" t="n">
        <v>0.481369771</v>
      </c>
      <c r="G257" t="n">
        <v>1.449350504</v>
      </c>
      <c r="H257" t="n">
        <v>0.755347044</v>
      </c>
      <c r="I257" t="n">
        <v>0.6613607</v>
      </c>
      <c r="J257" t="n">
        <v>1.263041371</v>
      </c>
      <c r="K257" t="n">
        <v>2.5</v>
      </c>
      <c r="L257" t="n">
        <v>0.597806829</v>
      </c>
      <c r="M257" t="n">
        <v>1.931018281</v>
      </c>
      <c r="N257" t="n">
        <v>0.217842912</v>
      </c>
      <c r="O257" t="n">
        <v>0.845548</v>
      </c>
      <c r="P257" t="n">
        <v>-0.155975029</v>
      </c>
      <c r="Q257" t="n">
        <v>2.027468729</v>
      </c>
      <c r="R257" t="n">
        <v>0.825779</v>
      </c>
      <c r="S257" t="n">
        <v>0.558440833</v>
      </c>
      <c r="T257" t="n">
        <v>0.984555021</v>
      </c>
      <c r="U257" t="n">
        <v>0.102203</v>
      </c>
      <c r="V257" t="n">
        <v>0.46235612</v>
      </c>
      <c r="W257" t="n">
        <v>-3.796685412</v>
      </c>
      <c r="X257" t="n">
        <v>0.866887468</v>
      </c>
      <c r="Y257" t="n">
        <v>1.83064</v>
      </c>
      <c r="Z257" t="n">
        <v>0.809251833</v>
      </c>
      <c r="AA257" t="n">
        <v>-4.150870505</v>
      </c>
      <c r="AB257" t="n">
        <v>1.433629167</v>
      </c>
      <c r="AC257" t="n">
        <v>0.476721845</v>
      </c>
      <c r="AD257" t="n">
        <v>-1.059338737</v>
      </c>
      <c r="AE257" t="n">
        <v>0.933130719</v>
      </c>
      <c r="AF257" t="n">
        <v>1.201766691</v>
      </c>
      <c r="AG257" t="n">
        <v>-1.385806891</v>
      </c>
      <c r="AH257" t="n">
        <v>0.76178206</v>
      </c>
      <c r="AI257" t="n">
        <v>0.577859644</v>
      </c>
      <c r="AJ257" t="n">
        <v>0.09353663199999999</v>
      </c>
      <c r="AK257" t="n">
        <v>1.091780073</v>
      </c>
      <c r="AL257" t="n">
        <v>0.279748912</v>
      </c>
      <c r="AM257" t="n">
        <v>1.128087042</v>
      </c>
      <c r="AN257" t="n">
        <v>-0.660768312</v>
      </c>
      <c r="AO257" t="n">
        <v>1.155158313</v>
      </c>
      <c r="AP257" t="n">
        <v>0.338307263</v>
      </c>
      <c r="AQ257" t="n">
        <v>0.631276139</v>
      </c>
      <c r="AR257" t="n">
        <v>0.362423328</v>
      </c>
      <c r="AS257" t="n">
        <v>2.253858177</v>
      </c>
      <c r="AT257" t="n">
        <v>-0.240916068</v>
      </c>
      <c r="AU257" t="n">
        <v>0.98480168</v>
      </c>
    </row>
    <row r="258">
      <c r="A258" t="inlineStr">
        <is>
          <t>2011-Q2</t>
        </is>
      </c>
      <c r="B258" s="87" t="n">
        <v>40725</v>
      </c>
      <c r="C258" t="n">
        <v>0.898664306</v>
      </c>
      <c r="D258" t="n">
        <v>1.270086187</v>
      </c>
      <c r="E258" t="n">
        <v>0.224056764</v>
      </c>
      <c r="F258" t="n">
        <v>0.207189998</v>
      </c>
      <c r="G258" t="n">
        <v>0.966779437</v>
      </c>
      <c r="H258" t="n">
        <v>0.19480651</v>
      </c>
      <c r="I258" t="n">
        <v>0.465617508</v>
      </c>
      <c r="J258" t="n">
        <v>1.400148011</v>
      </c>
      <c r="K258" t="n">
        <v>2.2</v>
      </c>
      <c r="L258" t="n">
        <v>0.261023274</v>
      </c>
      <c r="M258" t="n">
        <v>0.084194173</v>
      </c>
      <c r="N258" t="n">
        <v>1.002326552</v>
      </c>
      <c r="O258" t="n">
        <v>-0.002217</v>
      </c>
      <c r="P258" t="n">
        <v>-0.316890172</v>
      </c>
      <c r="Q258" t="n">
        <v>1.909177314</v>
      </c>
      <c r="R258" t="n">
        <v>0.084423</v>
      </c>
      <c r="S258" t="n">
        <v>-0.174006405</v>
      </c>
      <c r="T258" t="n">
        <v>0.026992349</v>
      </c>
      <c r="U258" t="n">
        <v>0.236235</v>
      </c>
      <c r="V258" t="n">
        <v>0.101107568</v>
      </c>
      <c r="W258" t="n">
        <v>-1.817049481</v>
      </c>
      <c r="X258" t="n">
        <v>-0.02112541</v>
      </c>
      <c r="Y258" t="n">
        <v>1.21165</v>
      </c>
      <c r="Z258" t="n">
        <v>1.379710956</v>
      </c>
      <c r="AA258" t="n">
        <v>2.759960433</v>
      </c>
      <c r="AB258" t="n">
        <v>0.9743104420000001</v>
      </c>
      <c r="AC258" t="n">
        <v>0.044972402</v>
      </c>
      <c r="AD258" t="n">
        <v>-0.8577841859999999</v>
      </c>
      <c r="AE258" t="n">
        <v>0.490791061</v>
      </c>
      <c r="AF258" t="n">
        <v>-0.967848671</v>
      </c>
      <c r="AG258" t="n">
        <v>3.513808394</v>
      </c>
      <c r="AH258" t="n">
        <v>0.531084169</v>
      </c>
      <c r="AI258" t="n">
        <v>-0.089510835</v>
      </c>
      <c r="AJ258" t="n">
        <v>-0.413426518</v>
      </c>
      <c r="AK258" t="n">
        <v>0.5055175750000001</v>
      </c>
      <c r="AL258" t="n">
        <v>0.377330714</v>
      </c>
      <c r="AM258" t="n">
        <v>1.334879658</v>
      </c>
      <c r="AN258" t="n">
        <v>-0.428915528</v>
      </c>
      <c r="AO258" t="n">
        <v>0.947690943</v>
      </c>
      <c r="AP258" t="n">
        <v>0.690547712</v>
      </c>
      <c r="AQ258" t="n">
        <v>-0.514372398</v>
      </c>
      <c r="AR258" t="n">
        <v>0.320039049</v>
      </c>
      <c r="AS258" t="n">
        <v>2.747690817</v>
      </c>
      <c r="AT258" t="n">
        <v>0.678050751</v>
      </c>
      <c r="AU258" t="n">
        <v>0.559671531</v>
      </c>
    </row>
    <row r="259">
      <c r="A259" t="inlineStr">
        <is>
          <t>2011-Q3</t>
        </is>
      </c>
      <c r="B259" s="87" t="n">
        <v>40817</v>
      </c>
      <c r="C259" t="n">
        <v>0.839829645</v>
      </c>
      <c r="D259" t="n">
        <v>1.346117339</v>
      </c>
      <c r="E259" t="n">
        <v>0.691269267</v>
      </c>
      <c r="F259" t="n">
        <v>0.286440473</v>
      </c>
      <c r="G259" t="n">
        <v>-0.210243348</v>
      </c>
      <c r="H259" t="n">
        <v>1.379639562</v>
      </c>
      <c r="I259" t="n">
        <v>-0.370428345</v>
      </c>
      <c r="J259" t="n">
        <v>0.369208298</v>
      </c>
      <c r="K259" t="n">
        <v>1.9</v>
      </c>
      <c r="L259" t="n">
        <v>-0.081080057</v>
      </c>
      <c r="M259" t="n">
        <v>0.893792659</v>
      </c>
      <c r="N259" t="n">
        <v>-1.243706016</v>
      </c>
      <c r="O259" t="n">
        <v>0.124494</v>
      </c>
      <c r="P259" t="n">
        <v>-0.648079214</v>
      </c>
      <c r="Q259" t="n">
        <v>1.670494057</v>
      </c>
      <c r="R259" t="n">
        <v>0.189133</v>
      </c>
      <c r="S259" t="n">
        <v>0.122387672</v>
      </c>
      <c r="T259" t="n">
        <v>0.373420091</v>
      </c>
      <c r="U259" t="n">
        <v>0.501284</v>
      </c>
      <c r="V259" t="n">
        <v>0.319361612</v>
      </c>
      <c r="W259" t="n">
        <v>-2.001483123</v>
      </c>
      <c r="X259" t="n">
        <v>0.207090247</v>
      </c>
      <c r="Y259" t="n">
        <v>-0.00385</v>
      </c>
      <c r="Z259" t="n">
        <v>-1.809263568</v>
      </c>
      <c r="AA259" t="n">
        <v>1.805200958</v>
      </c>
      <c r="AB259" t="n">
        <v>2.195837805</v>
      </c>
      <c r="AC259" t="n">
        <v>-0.522658531</v>
      </c>
      <c r="AD259" t="n">
        <v>2.430867282</v>
      </c>
      <c r="AE259" t="n">
        <v>0.526323638</v>
      </c>
      <c r="AF259" t="n">
        <v>1.226519022</v>
      </c>
      <c r="AG259" t="n">
        <v>1.510167701</v>
      </c>
      <c r="AH259" t="n">
        <v>1.944165023</v>
      </c>
      <c r="AI259" t="n">
        <v>0.000473588</v>
      </c>
      <c r="AJ259" t="n">
        <v>1.611277918</v>
      </c>
      <c r="AK259" t="n">
        <v>1.03074356</v>
      </c>
      <c r="AL259" t="n">
        <v>0.593114735</v>
      </c>
      <c r="AM259" t="n">
        <v>1.288387714</v>
      </c>
      <c r="AN259" t="n">
        <v>-0.780836238</v>
      </c>
      <c r="AO259" t="n">
        <v>1.151337174</v>
      </c>
      <c r="AP259" t="n">
        <v>0.464077902</v>
      </c>
      <c r="AQ259" t="n">
        <v>-0.196196338</v>
      </c>
      <c r="AR259" t="n">
        <v>1.32518728</v>
      </c>
      <c r="AS259" t="n">
        <v>2.658843122</v>
      </c>
      <c r="AT259" t="n">
        <v>-0.038767163</v>
      </c>
      <c r="AU259" t="n">
        <v>0.413771114</v>
      </c>
    </row>
    <row r="260">
      <c r="A260" t="inlineStr">
        <is>
          <t>2011-Q4</t>
        </is>
      </c>
      <c r="B260" s="87" t="n">
        <v>40909</v>
      </c>
      <c r="C260" t="n">
        <v>0.086993615</v>
      </c>
      <c r="D260" t="n">
        <v>1.110027222</v>
      </c>
      <c r="E260" t="n">
        <v>-0.03642109</v>
      </c>
      <c r="F260" t="n">
        <v>0.29165661</v>
      </c>
      <c r="G260" t="n">
        <v>0.820225153</v>
      </c>
      <c r="H260" t="n">
        <v>0.78751324</v>
      </c>
      <c r="I260" t="n">
        <v>0.100225396</v>
      </c>
      <c r="J260" t="n">
        <v>1.911267133</v>
      </c>
      <c r="K260" t="n">
        <v>1.5</v>
      </c>
      <c r="L260" t="n">
        <v>0.08382912200000001</v>
      </c>
      <c r="M260" t="n">
        <v>-0.312652447</v>
      </c>
      <c r="N260" t="n">
        <v>0.817187733</v>
      </c>
      <c r="O260" t="n">
        <v>-0.408961</v>
      </c>
      <c r="P260" t="n">
        <v>-0.648559942</v>
      </c>
      <c r="Q260" t="n">
        <v>-0.032901245</v>
      </c>
      <c r="R260" t="n">
        <v>-0.368652</v>
      </c>
      <c r="S260" t="n">
        <v>0.027781379</v>
      </c>
      <c r="T260" t="n">
        <v>0.175129027</v>
      </c>
      <c r="U260" t="n">
        <v>0.486252</v>
      </c>
      <c r="V260" t="n">
        <v>0.127212644</v>
      </c>
      <c r="W260" t="n">
        <v>-4.424050686</v>
      </c>
      <c r="X260" t="n">
        <v>1.219660071</v>
      </c>
      <c r="Y260" t="n">
        <v>1.62889</v>
      </c>
      <c r="Z260" t="n">
        <v>0.354650267</v>
      </c>
      <c r="AA260" t="n">
        <v>1.449036515</v>
      </c>
      <c r="AB260" t="n">
        <v>0.791610477</v>
      </c>
      <c r="AC260" t="n">
        <v>-0.948213761</v>
      </c>
      <c r="AD260" t="n">
        <v>-0.142842114</v>
      </c>
      <c r="AE260" t="n">
        <v>0.472298068</v>
      </c>
      <c r="AF260" t="n">
        <v>-0.315882152</v>
      </c>
      <c r="AG260" t="n">
        <v>0.171750657</v>
      </c>
      <c r="AH260" t="n">
        <v>0.657098026</v>
      </c>
      <c r="AI260" t="n">
        <v>-0.602987269</v>
      </c>
      <c r="AJ260" t="n">
        <v>0.051543722</v>
      </c>
      <c r="AK260" t="n">
        <v>0.573564926</v>
      </c>
      <c r="AL260" t="n">
        <v>0.427975899</v>
      </c>
      <c r="AM260" t="n">
        <v>0.633576743</v>
      </c>
      <c r="AN260" t="n">
        <v>-1.478454706</v>
      </c>
      <c r="AO260" t="n">
        <v>1.207682223</v>
      </c>
      <c r="AP260" t="n">
        <v>0.766048296</v>
      </c>
      <c r="AQ260" t="n">
        <v>0.0335137</v>
      </c>
      <c r="AR260" t="n">
        <v>-1.422921678</v>
      </c>
      <c r="AS260" t="n">
        <v>1.357311969</v>
      </c>
      <c r="AT260" t="n">
        <v>1.121678183</v>
      </c>
      <c r="AU260" t="n">
        <v>0.68408624</v>
      </c>
    </row>
    <row r="261">
      <c r="A261" t="inlineStr">
        <is>
          <t>2012-Q1</t>
        </is>
      </c>
      <c r="B261" s="87" t="n">
        <v>41000</v>
      </c>
      <c r="C261" t="n">
        <v>-1.076341232</v>
      </c>
      <c r="D261" t="n">
        <v>0.947949398</v>
      </c>
      <c r="E261" t="n">
        <v>0.7709588469999999</v>
      </c>
      <c r="F261" t="n">
        <v>0.214596578</v>
      </c>
      <c r="G261" t="n">
        <v>-1.287669897</v>
      </c>
      <c r="H261" t="n">
        <v>0.064087343</v>
      </c>
      <c r="I261" t="n">
        <v>1.045073085</v>
      </c>
      <c r="J261" t="n">
        <v>1.724996469</v>
      </c>
      <c r="K261" t="n">
        <v>1.7</v>
      </c>
      <c r="L261" t="n">
        <v>-0.235283024</v>
      </c>
      <c r="M261" t="n">
        <v>0.21171715</v>
      </c>
      <c r="N261" t="n">
        <v>-0.06945702400000001</v>
      </c>
      <c r="O261" t="n">
        <v>-0.211088</v>
      </c>
      <c r="P261" t="n">
        <v>-0.937141737</v>
      </c>
      <c r="Q261" t="n">
        <v>0.593755599</v>
      </c>
      <c r="R261" t="n">
        <v>-0.185848</v>
      </c>
      <c r="S261" t="n">
        <v>-0.4369723</v>
      </c>
      <c r="T261" t="n">
        <v>0.085804951</v>
      </c>
      <c r="U261" t="n">
        <v>0.605294</v>
      </c>
      <c r="V261" t="n">
        <v>0.677605433</v>
      </c>
      <c r="W261" t="n">
        <v>-0.428093162</v>
      </c>
      <c r="X261" t="n">
        <v>-1.768108159</v>
      </c>
      <c r="Y261" t="n">
        <v>1.38078</v>
      </c>
      <c r="Z261" t="n">
        <v>-0.672123481</v>
      </c>
      <c r="AA261" t="n">
        <v>-3.303269521</v>
      </c>
      <c r="AB261" t="n">
        <v>0.470332303</v>
      </c>
      <c r="AC261" t="n">
        <v>-1.085703719</v>
      </c>
      <c r="AD261" t="n">
        <v>1.374801863</v>
      </c>
      <c r="AE261" t="n">
        <v>0.865665953</v>
      </c>
      <c r="AF261" t="n">
        <v>0.524357521</v>
      </c>
      <c r="AG261" t="n">
        <v>5.076478578</v>
      </c>
      <c r="AH261" t="n">
        <v>0.644772863</v>
      </c>
      <c r="AI261" t="n">
        <v>-0.209129697</v>
      </c>
      <c r="AJ261" t="n">
        <v>2.16965563</v>
      </c>
      <c r="AK261" t="n">
        <v>0.6175510910000001</v>
      </c>
      <c r="AL261" t="n">
        <v>0.482285381</v>
      </c>
      <c r="AM261" t="n">
        <v>0.06918255</v>
      </c>
      <c r="AN261" t="n">
        <v>-0.545801608</v>
      </c>
      <c r="AO261" t="n">
        <v>1.570296481</v>
      </c>
      <c r="AP261" t="n">
        <v>0.237895554</v>
      </c>
      <c r="AQ261" t="n">
        <v>-0.628912377</v>
      </c>
      <c r="AR261" t="n">
        <v>0.199998162</v>
      </c>
      <c r="AS261" t="n">
        <v>-0.8897737570000001</v>
      </c>
      <c r="AT261" t="n">
        <v>0.817922845</v>
      </c>
      <c r="AU261" t="n">
        <v>0.5668432450000001</v>
      </c>
    </row>
    <row r="262">
      <c r="A262" t="inlineStr">
        <is>
          <t>2012-Q2</t>
        </is>
      </c>
      <c r="B262" s="87" t="n">
        <v>41091</v>
      </c>
      <c r="C262" t="n">
        <v>-3.503768726</v>
      </c>
      <c r="D262" t="n">
        <v>0.717870983</v>
      </c>
      <c r="E262" t="n">
        <v>-0.385964069</v>
      </c>
      <c r="F262" t="n">
        <v>-0.00100064</v>
      </c>
      <c r="G262" t="n">
        <v>1.717889639</v>
      </c>
      <c r="H262" t="n">
        <v>0.326163737</v>
      </c>
      <c r="I262" t="n">
        <v>-0.056199334</v>
      </c>
      <c r="J262" t="n">
        <v>1.525559795</v>
      </c>
      <c r="K262" t="n">
        <v>2.3</v>
      </c>
      <c r="L262" t="n">
        <v>-0.462223771</v>
      </c>
      <c r="M262" t="n">
        <v>0.187789145</v>
      </c>
      <c r="N262" t="n">
        <v>0.075250259</v>
      </c>
      <c r="O262" t="n">
        <v>-0.264916</v>
      </c>
      <c r="P262" t="n">
        <v>-0.961234644</v>
      </c>
      <c r="Q262" t="n">
        <v>1.226167939</v>
      </c>
      <c r="R262" t="n">
        <v>-0.237021</v>
      </c>
      <c r="S262" t="n">
        <v>-1.058171539</v>
      </c>
      <c r="T262" t="n">
        <v>-0.158055446</v>
      </c>
      <c r="U262" t="n">
        <v>0.061948</v>
      </c>
      <c r="V262" t="n">
        <v>-0.05884998</v>
      </c>
      <c r="W262" t="n">
        <v>-1.63061201</v>
      </c>
      <c r="X262" t="n">
        <v>-0.607660823</v>
      </c>
      <c r="Y262" t="n">
        <v>1.15795</v>
      </c>
      <c r="Z262" t="n">
        <v>2.008754846</v>
      </c>
      <c r="AA262" t="n">
        <v>1.436435791</v>
      </c>
      <c r="AB262" t="n">
        <v>-0.091212495</v>
      </c>
      <c r="AC262" t="n">
        <v>-0.738444078</v>
      </c>
      <c r="AD262" t="n">
        <v>-0.896341164</v>
      </c>
      <c r="AE262" t="n">
        <v>0.565974618</v>
      </c>
      <c r="AF262" t="n">
        <v>-0.009263156</v>
      </c>
      <c r="AG262" t="n">
        <v>-0.528141212</v>
      </c>
      <c r="AH262" t="n">
        <v>0.875214716</v>
      </c>
      <c r="AI262" t="n">
        <v>0.051637012</v>
      </c>
      <c r="AJ262" t="n">
        <v>0.23580242</v>
      </c>
      <c r="AK262" t="n">
        <v>0.336825481</v>
      </c>
      <c r="AL262" t="n">
        <v>0.140420387</v>
      </c>
      <c r="AM262" t="n">
        <v>-0.245562465</v>
      </c>
      <c r="AN262" t="n">
        <v>-1.347954513</v>
      </c>
      <c r="AO262" t="n">
        <v>0.387073923</v>
      </c>
      <c r="AP262" t="n">
        <v>0.161969812</v>
      </c>
      <c r="AQ262" t="n">
        <v>-1.773770038</v>
      </c>
      <c r="AR262" t="n">
        <v>0.121080256</v>
      </c>
      <c r="AS262" t="n">
        <v>1.727526866</v>
      </c>
      <c r="AT262" t="n">
        <v>0.455859987</v>
      </c>
      <c r="AU262" t="n">
        <v>0.834733519</v>
      </c>
    </row>
    <row r="263">
      <c r="A263" t="inlineStr">
        <is>
          <t>2012-Q3</t>
        </is>
      </c>
      <c r="B263" s="87" t="n">
        <v>41183</v>
      </c>
      <c r="C263" t="n">
        <v>3.218086474</v>
      </c>
      <c r="D263" t="n">
        <v>0.59112228</v>
      </c>
      <c r="E263" t="n">
        <v>-0.173171336</v>
      </c>
      <c r="F263" t="n">
        <v>0.243158053</v>
      </c>
      <c r="G263" t="n">
        <v>1.743348062</v>
      </c>
      <c r="H263" t="n">
        <v>0.136217106</v>
      </c>
      <c r="I263" t="n">
        <v>0.707224352</v>
      </c>
      <c r="J263" t="n">
        <v>0.636799891</v>
      </c>
      <c r="K263" t="n">
        <v>1.9</v>
      </c>
      <c r="L263" t="n">
        <v>-0.306104494</v>
      </c>
      <c r="M263" t="n">
        <v>0.291571972</v>
      </c>
      <c r="N263" t="n">
        <v>0.093894243</v>
      </c>
      <c r="O263" t="n">
        <v>-0.115701</v>
      </c>
      <c r="P263" t="n">
        <v>-0.509690265</v>
      </c>
      <c r="Q263" t="n">
        <v>0.499928222</v>
      </c>
      <c r="R263" t="n">
        <v>-0.091656</v>
      </c>
      <c r="S263" t="n">
        <v>-0.385316617</v>
      </c>
      <c r="T263" t="n">
        <v>0.200293537</v>
      </c>
      <c r="U263" t="n">
        <v>0.139622</v>
      </c>
      <c r="V263" t="n">
        <v>1.224551575</v>
      </c>
      <c r="W263" t="n">
        <v>-1.42355955</v>
      </c>
      <c r="X263" t="n">
        <v>0.287428143</v>
      </c>
      <c r="Y263" t="n">
        <v>1.794</v>
      </c>
      <c r="Z263" t="n">
        <v>-1.947462112</v>
      </c>
      <c r="AA263" t="n">
        <v>0.647947608</v>
      </c>
      <c r="AB263" t="n">
        <v>0.950260204</v>
      </c>
      <c r="AC263" t="n">
        <v>-0.518145832</v>
      </c>
      <c r="AD263" t="n">
        <v>-0.377305585</v>
      </c>
      <c r="AE263" t="n">
        <v>0.45177694</v>
      </c>
      <c r="AF263" t="n">
        <v>1.057455639</v>
      </c>
      <c r="AG263" t="n">
        <v>1.298707979</v>
      </c>
      <c r="AH263" t="n">
        <v>0.567908539</v>
      </c>
      <c r="AI263" t="n">
        <v>-0.428654716</v>
      </c>
      <c r="AJ263" t="n">
        <v>-1.449584494</v>
      </c>
      <c r="AK263" t="n">
        <v>0.252165585</v>
      </c>
      <c r="AL263" t="n">
        <v>0.179292753</v>
      </c>
      <c r="AM263" t="n">
        <v>0.438252333</v>
      </c>
      <c r="AN263" t="n">
        <v>-1.129418955</v>
      </c>
      <c r="AO263" t="n">
        <v>0.5161475639999999</v>
      </c>
      <c r="AP263" t="n">
        <v>0.091103369</v>
      </c>
      <c r="AQ263" t="n">
        <v>0.199924898</v>
      </c>
      <c r="AR263" t="n">
        <v>-0.118276949</v>
      </c>
      <c r="AS263" t="n">
        <v>1.764793881</v>
      </c>
      <c r="AT263" t="n">
        <v>0.174882978</v>
      </c>
      <c r="AU263" t="n">
        <v>0.406558429</v>
      </c>
    </row>
    <row r="264">
      <c r="A264" t="inlineStr">
        <is>
          <t>2012-Q4</t>
        </is>
      </c>
      <c r="B264" s="87" t="n">
        <v>41275</v>
      </c>
      <c r="C264" t="n">
        <v>1.700404285</v>
      </c>
      <c r="D264" t="n">
        <v>0.515662787</v>
      </c>
      <c r="E264" t="n">
        <v>-0.022318138</v>
      </c>
      <c r="F264" t="n">
        <v>-0.045918265</v>
      </c>
      <c r="G264" t="n">
        <v>-0.026279712</v>
      </c>
      <c r="H264" t="n">
        <v>0.20678147</v>
      </c>
      <c r="I264" t="n">
        <v>-0.109586452</v>
      </c>
      <c r="J264" t="n">
        <v>0.692551959</v>
      </c>
      <c r="K264" t="n">
        <v>1.9</v>
      </c>
      <c r="L264" t="n">
        <v>-0.235886278</v>
      </c>
      <c r="M264" t="n">
        <v>-0.446474462</v>
      </c>
      <c r="N264" t="n">
        <v>-0.16162989</v>
      </c>
      <c r="O264" t="n">
        <v>-0.417195</v>
      </c>
      <c r="P264" t="n">
        <v>-0.762656859</v>
      </c>
      <c r="Q264" t="n">
        <v>0.888183445</v>
      </c>
      <c r="R264" t="n">
        <v>-0.409901</v>
      </c>
      <c r="S264" t="n">
        <v>-0.07736141000000001</v>
      </c>
      <c r="T264" t="n">
        <v>-0.073992559</v>
      </c>
      <c r="U264" t="n">
        <v>-0.06697500000000001</v>
      </c>
      <c r="V264" t="n">
        <v>-0.246822544</v>
      </c>
      <c r="W264" t="n">
        <v>-0.883335476</v>
      </c>
      <c r="X264" t="n">
        <v>-0.123944158</v>
      </c>
      <c r="Y264" t="n">
        <v>1.18687</v>
      </c>
      <c r="Z264" t="n">
        <v>1.301140146</v>
      </c>
      <c r="AA264" t="n">
        <v>1.557806905</v>
      </c>
      <c r="AB264" t="n">
        <v>0.647716614</v>
      </c>
      <c r="AC264" t="n">
        <v>-0.752078082</v>
      </c>
      <c r="AD264" t="n">
        <v>-0.072691915</v>
      </c>
      <c r="AE264" t="n">
        <v>0.502248725</v>
      </c>
      <c r="AF264" t="n">
        <v>1.791211446</v>
      </c>
      <c r="AG264" t="n">
        <v>0.5377438960000001</v>
      </c>
      <c r="AH264" t="n">
        <v>0.854353092</v>
      </c>
      <c r="AI264" t="n">
        <v>-0.700038892</v>
      </c>
      <c r="AJ264" t="n">
        <v>0.817337105</v>
      </c>
      <c r="AK264" t="n">
        <v>1.536866685</v>
      </c>
      <c r="AL264" t="n">
        <v>0.038583821</v>
      </c>
      <c r="AM264" t="n">
        <v>-0.526822882</v>
      </c>
      <c r="AN264" t="n">
        <v>-1.580457377</v>
      </c>
      <c r="AO264" t="n">
        <v>0.067384631</v>
      </c>
      <c r="AP264" t="n">
        <v>-0.115711274</v>
      </c>
      <c r="AQ264" t="n">
        <v>-1.993365585</v>
      </c>
      <c r="AR264" t="n">
        <v>-0.735176089</v>
      </c>
      <c r="AS264" t="n">
        <v>1.602891829</v>
      </c>
      <c r="AT264" t="n">
        <v>0.109838067</v>
      </c>
      <c r="AU264" t="n">
        <v>0.476942783</v>
      </c>
    </row>
    <row r="265">
      <c r="A265" t="inlineStr">
        <is>
          <t>2013-Q1</t>
        </is>
      </c>
      <c r="B265" s="87" t="n">
        <v>41365</v>
      </c>
      <c r="C265" t="n">
        <v>-0.022278414</v>
      </c>
      <c r="D265" t="n">
        <v>0.425018021</v>
      </c>
      <c r="E265" t="n">
        <v>-0.272031996</v>
      </c>
      <c r="F265" t="n">
        <v>-0.274637479</v>
      </c>
      <c r="G265" t="n">
        <v>0.454677675</v>
      </c>
      <c r="H265" t="n">
        <v>0.897004855</v>
      </c>
      <c r="I265" t="n">
        <v>0.442402388</v>
      </c>
      <c r="J265" t="n">
        <v>1.167982925</v>
      </c>
      <c r="K265" t="n">
        <v>1.9</v>
      </c>
      <c r="L265" t="n">
        <v>-0.361779939</v>
      </c>
      <c r="M265" t="n">
        <v>-0.466756989</v>
      </c>
      <c r="N265" t="n">
        <v>0.563835211</v>
      </c>
      <c r="O265" t="n">
        <v>-0.378471</v>
      </c>
      <c r="P265" t="n">
        <v>-0.319631859</v>
      </c>
      <c r="Q265" t="n">
        <v>0.479254096</v>
      </c>
      <c r="R265" t="n">
        <v>-0.24729</v>
      </c>
      <c r="S265" t="n">
        <v>-0.857299318</v>
      </c>
      <c r="T265" t="n">
        <v>-0.014167222</v>
      </c>
      <c r="U265" t="n">
        <v>0.588018</v>
      </c>
      <c r="V265" t="n">
        <v>0.459137577</v>
      </c>
      <c r="W265" t="n">
        <v>-0.9392645509999999</v>
      </c>
      <c r="X265" t="n">
        <v>0.210225008</v>
      </c>
      <c r="Y265" t="n">
        <v>1.59874</v>
      </c>
      <c r="Z265" t="n">
        <v>-1.977205629</v>
      </c>
      <c r="AA265" t="n">
        <v>0.656452572</v>
      </c>
      <c r="AB265" t="n">
        <v>1.398079148</v>
      </c>
      <c r="AC265" t="n">
        <v>-0.9327639680000001</v>
      </c>
      <c r="AD265" t="n">
        <v>1.377379046</v>
      </c>
      <c r="AE265" t="n">
        <v>0.8631208500000001</v>
      </c>
      <c r="AF265" t="n">
        <v>0.000235753</v>
      </c>
      <c r="AG265" t="n">
        <v>0.283753312</v>
      </c>
      <c r="AH265" t="n">
        <v>0.246798767</v>
      </c>
      <c r="AI265" t="n">
        <v>0.32313017</v>
      </c>
      <c r="AJ265" t="n">
        <v>0.150651001</v>
      </c>
      <c r="AK265" t="n">
        <v>-0.313592796</v>
      </c>
      <c r="AL265" t="n">
        <v>0.583228128</v>
      </c>
      <c r="AM265" t="n">
        <v>0.064151401</v>
      </c>
      <c r="AN265" t="n">
        <v>0.416147358</v>
      </c>
      <c r="AO265" t="n">
        <v>0.740663422</v>
      </c>
      <c r="AP265" t="n">
        <v>0.037224419</v>
      </c>
      <c r="AQ265" t="n">
        <v>0.18847448</v>
      </c>
      <c r="AR265" t="n">
        <v>1.41609684</v>
      </c>
      <c r="AS265" t="n">
        <v>2.92988564</v>
      </c>
      <c r="AT265" t="n">
        <v>0.867789548</v>
      </c>
      <c r="AU265" t="n">
        <v>0.776024712</v>
      </c>
    </row>
    <row r="266">
      <c r="A266" t="inlineStr">
        <is>
          <t>2013-Q2</t>
        </is>
      </c>
      <c r="B266" s="87" t="n">
        <v>41456</v>
      </c>
      <c r="C266" t="n">
        <v>0.49821324</v>
      </c>
      <c r="D266" t="n">
        <v>0.399448137</v>
      </c>
      <c r="E266" t="n">
        <v>0.117041807</v>
      </c>
      <c r="F266" t="n">
        <v>0.5838348840000001</v>
      </c>
      <c r="G266" t="n">
        <v>1.689180005</v>
      </c>
      <c r="H266" t="n">
        <v>0.580357191</v>
      </c>
      <c r="I266" t="n">
        <v>0.903294851</v>
      </c>
      <c r="J266" t="n">
        <v>1.548993204</v>
      </c>
      <c r="K266" t="n">
        <v>1.8</v>
      </c>
      <c r="L266" t="n">
        <v>0.360650994</v>
      </c>
      <c r="M266" t="n">
        <v>1.068846451</v>
      </c>
      <c r="N266" t="n">
        <v>0.07428193900000001</v>
      </c>
      <c r="O266" t="n">
        <v>0.536367</v>
      </c>
      <c r="P266" t="n">
        <v>-0.087487355</v>
      </c>
      <c r="Q266" t="n">
        <v>-0.256550681</v>
      </c>
      <c r="R266" t="n">
        <v>0.5292750000000001</v>
      </c>
      <c r="S266" t="n">
        <v>0.460926042</v>
      </c>
      <c r="T266" t="n">
        <v>0.65688549</v>
      </c>
      <c r="U266" t="n">
        <v>0.436286</v>
      </c>
      <c r="V266" t="n">
        <v>0.6571470619999999</v>
      </c>
      <c r="W266" t="n">
        <v>0.159070501</v>
      </c>
      <c r="X266" t="n">
        <v>1.005337443</v>
      </c>
      <c r="Y266" t="n">
        <v>1.40382</v>
      </c>
      <c r="Z266" t="n">
        <v>2.880424391</v>
      </c>
      <c r="AA266" t="n">
        <v>1.616430195</v>
      </c>
      <c r="AB266" t="n">
        <v>2.00667217</v>
      </c>
      <c r="AC266" t="n">
        <v>0.01957188</v>
      </c>
      <c r="AD266" t="n">
        <v>0.904877371</v>
      </c>
      <c r="AE266" t="n">
        <v>1.165850338</v>
      </c>
      <c r="AF266" t="n">
        <v>1.942702103</v>
      </c>
      <c r="AG266" t="n">
        <v>-0.035690102</v>
      </c>
      <c r="AH266" t="n">
        <v>-0.559077235</v>
      </c>
      <c r="AI266" t="n">
        <v>-0.181166268</v>
      </c>
      <c r="AJ266" t="n">
        <v>0.7223839909999999</v>
      </c>
      <c r="AK266" t="n">
        <v>1.174254348</v>
      </c>
      <c r="AL266" t="n">
        <v>0.538657546</v>
      </c>
      <c r="AM266" t="n">
        <v>1.076102095</v>
      </c>
      <c r="AN266" t="n">
        <v>0.75837044</v>
      </c>
      <c r="AO266" t="n">
        <v>0.340510666</v>
      </c>
      <c r="AP266" t="n">
        <v>0.321670114</v>
      </c>
      <c r="AQ266" t="n">
        <v>0.307999802</v>
      </c>
      <c r="AR266" t="n">
        <v>-0.10250336</v>
      </c>
      <c r="AS266" t="n">
        <v>2.935776113</v>
      </c>
      <c r="AT266" t="n">
        <v>0.13938522</v>
      </c>
      <c r="AU266" t="n">
        <v>0.727378584</v>
      </c>
    </row>
    <row r="267">
      <c r="A267" t="inlineStr">
        <is>
          <t>2013-Q3</t>
        </is>
      </c>
      <c r="B267" s="87" t="n">
        <v>41548</v>
      </c>
      <c r="C267" t="n">
        <v>0.673012366</v>
      </c>
      <c r="D267" t="n">
        <v>0.7850401339999999</v>
      </c>
      <c r="E267" t="n">
        <v>0.486474693</v>
      </c>
      <c r="F267" t="n">
        <v>0.309637595</v>
      </c>
      <c r="G267" t="n">
        <v>0.322344911</v>
      </c>
      <c r="H267" t="n">
        <v>0.814973402</v>
      </c>
      <c r="I267" t="n">
        <v>0.766929886</v>
      </c>
      <c r="J267" t="n">
        <v>0.874301578</v>
      </c>
      <c r="K267" t="n">
        <v>2.1</v>
      </c>
      <c r="L267" t="n">
        <v>0.352428103</v>
      </c>
      <c r="M267" t="n">
        <v>0.580606006</v>
      </c>
      <c r="N267" t="n">
        <v>0.633381867</v>
      </c>
      <c r="O267" t="n">
        <v>0.31309</v>
      </c>
      <c r="P267" t="n">
        <v>-0.054727477</v>
      </c>
      <c r="Q267" t="n">
        <v>-0.248679712</v>
      </c>
      <c r="R267" t="n">
        <v>0.359389</v>
      </c>
      <c r="S267" t="n">
        <v>0.348848232</v>
      </c>
      <c r="T267" t="n">
        <v>0.018581325</v>
      </c>
      <c r="U267" t="n">
        <v>0.699851</v>
      </c>
      <c r="V267" t="n">
        <v>0.767182928</v>
      </c>
      <c r="W267" t="n">
        <v>-0.006997797</v>
      </c>
      <c r="X267" t="n">
        <v>1.500341371</v>
      </c>
      <c r="Y267" t="n">
        <v>1.60112</v>
      </c>
      <c r="Z267" t="n">
        <v>1.813335961</v>
      </c>
      <c r="AA267" t="n">
        <v>-0.239216334</v>
      </c>
      <c r="AB267" t="n">
        <v>1.150824424</v>
      </c>
      <c r="AC267" t="n">
        <v>0.230430244</v>
      </c>
      <c r="AD267" t="n">
        <v>0.958375029</v>
      </c>
      <c r="AE267" t="n">
        <v>0.899048547</v>
      </c>
      <c r="AF267" t="n">
        <v>0.068422046</v>
      </c>
      <c r="AG267" t="n">
        <v>1.352573141</v>
      </c>
      <c r="AH267" t="n">
        <v>0.943122327</v>
      </c>
      <c r="AI267" t="n">
        <v>0.60299549</v>
      </c>
      <c r="AJ267" t="n">
        <v>0.980833579</v>
      </c>
      <c r="AK267" t="n">
        <v>0.574960107</v>
      </c>
      <c r="AL267" t="n">
        <v>0.71721196</v>
      </c>
      <c r="AM267" t="n">
        <v>0.756958578</v>
      </c>
      <c r="AN267" t="n">
        <v>-0.139296447</v>
      </c>
      <c r="AO267" t="n">
        <v>0.040528552</v>
      </c>
      <c r="AP267" t="n">
        <v>0.460652334</v>
      </c>
      <c r="AQ267" t="n">
        <v>0.01300749</v>
      </c>
      <c r="AR267" t="n">
        <v>0.459686246</v>
      </c>
      <c r="AS267" t="n">
        <v>1.465976155</v>
      </c>
      <c r="AT267" t="n">
        <v>0.791653411</v>
      </c>
      <c r="AU267" t="n">
        <v>0.474459609</v>
      </c>
    </row>
    <row r="268">
      <c r="A268" t="inlineStr">
        <is>
          <t>2013-Q4</t>
        </is>
      </c>
      <c r="B268" s="87" t="n">
        <v>41640</v>
      </c>
      <c r="C268" t="n">
        <v>-0.997962998</v>
      </c>
      <c r="D268" t="n">
        <v>0.832588648</v>
      </c>
      <c r="E268" t="n">
        <v>0.418510362</v>
      </c>
      <c r="F268" t="n">
        <v>0.218360116</v>
      </c>
      <c r="G268" t="n">
        <v>0.108972442</v>
      </c>
      <c r="H268" t="n">
        <v>1.050559545</v>
      </c>
      <c r="I268" t="n">
        <v>0.317796271</v>
      </c>
      <c r="J268" t="n">
        <v>0.174901689</v>
      </c>
      <c r="K268" t="n">
        <v>1.5</v>
      </c>
      <c r="L268" t="n">
        <v>1.275945183</v>
      </c>
      <c r="M268" t="n">
        <v>0.29894409</v>
      </c>
      <c r="N268" t="n">
        <v>0.201104009</v>
      </c>
      <c r="O268" t="n">
        <v>0.2748</v>
      </c>
      <c r="P268" t="n">
        <v>0.16661908</v>
      </c>
      <c r="Q268" t="n">
        <v>-0.049914162</v>
      </c>
      <c r="R268" t="n">
        <v>0.317154</v>
      </c>
      <c r="S268" t="n">
        <v>-0.179485726</v>
      </c>
      <c r="T268" t="n">
        <v>0.484150635</v>
      </c>
      <c r="U268" t="n">
        <v>0.472631</v>
      </c>
      <c r="V268" t="n">
        <v>0.525966842</v>
      </c>
      <c r="W268" t="n">
        <v>0.674911056</v>
      </c>
      <c r="X268" t="n">
        <v>0.8891507</v>
      </c>
      <c r="Y268" t="n">
        <v>2.20112</v>
      </c>
      <c r="Z268" t="n">
        <v>0.176252898</v>
      </c>
      <c r="AA268" t="n">
        <v>3.534981614</v>
      </c>
      <c r="AB268" t="n">
        <v>0.744297297</v>
      </c>
      <c r="AC268" t="n">
        <v>-0.22126949</v>
      </c>
      <c r="AD268" t="n">
        <v>-0.114616539</v>
      </c>
      <c r="AE268" t="n">
        <v>0.775832659</v>
      </c>
      <c r="AF268" t="n">
        <v>-0.83446939</v>
      </c>
      <c r="AG268" t="n">
        <v>0.90330384</v>
      </c>
      <c r="AH268" t="n">
        <v>0.553515607</v>
      </c>
      <c r="AI268" t="n">
        <v>0.635012365</v>
      </c>
      <c r="AJ268" t="n">
        <v>-0.177254636</v>
      </c>
      <c r="AK268" t="n">
        <v>0.241534835</v>
      </c>
      <c r="AL268" t="n">
        <v>0.484488355</v>
      </c>
      <c r="AM268" t="n">
        <v>0.263685579</v>
      </c>
      <c r="AN268" t="n">
        <v>1.094967331</v>
      </c>
      <c r="AO268" t="n">
        <v>0.577354817</v>
      </c>
      <c r="AP268" t="n">
        <v>0.578985795</v>
      </c>
      <c r="AQ268" t="n">
        <v>1.932971535</v>
      </c>
      <c r="AR268" t="n">
        <v>0.683468913</v>
      </c>
      <c r="AS268" t="n">
        <v>0.193829518</v>
      </c>
      <c r="AT268" t="n">
        <v>0.7111710020000001</v>
      </c>
      <c r="AU268" t="n">
        <v>0.538352036</v>
      </c>
    </row>
    <row r="269">
      <c r="A269" t="inlineStr">
        <is>
          <t>2014-Q1</t>
        </is>
      </c>
      <c r="B269" s="87" t="n">
        <v>41730</v>
      </c>
      <c r="C269" t="n">
        <v>-1.494727381</v>
      </c>
      <c r="D269" t="n">
        <v>0.757646704</v>
      </c>
      <c r="E269" t="n">
        <v>-0.2882957</v>
      </c>
      <c r="F269" t="n">
        <v>0.429826386</v>
      </c>
      <c r="G269" t="n">
        <v>0.904300596</v>
      </c>
      <c r="H269" t="n">
        <v>0.163447761</v>
      </c>
      <c r="I269" t="n">
        <v>0.646763957</v>
      </c>
      <c r="J269" t="n">
        <v>0.147474789</v>
      </c>
      <c r="K269" t="n">
        <v>1.9</v>
      </c>
      <c r="L269" t="n">
        <v>-0.59157428</v>
      </c>
      <c r="M269" t="n">
        <v>0.935197772</v>
      </c>
      <c r="N269" t="n">
        <v>0.253255592</v>
      </c>
      <c r="O269" t="n">
        <v>0.400326</v>
      </c>
      <c r="P269" t="n">
        <v>0.367436031</v>
      </c>
      <c r="Q269" t="n">
        <v>1.641611899</v>
      </c>
      <c r="R269" t="n">
        <v>0.424198</v>
      </c>
      <c r="S269" t="n">
        <v>-0.772230003</v>
      </c>
      <c r="T269" t="n">
        <v>0.06947142000000001</v>
      </c>
      <c r="U269" t="n">
        <v>0.137854</v>
      </c>
      <c r="V269" t="n">
        <v>0.932765882</v>
      </c>
      <c r="W269" t="n">
        <v>-0.019152175</v>
      </c>
      <c r="X269" t="n">
        <v>0.803989789</v>
      </c>
      <c r="Y269" t="n">
        <v>1.15901</v>
      </c>
      <c r="Z269" t="n">
        <v>3.175361646</v>
      </c>
      <c r="AA269" t="n">
        <v>-2.888984981</v>
      </c>
      <c r="AB269" t="n">
        <v>1.097064217</v>
      </c>
      <c r="AC269" t="n">
        <v>0.158065957</v>
      </c>
      <c r="AD269" t="n">
        <v>0.814895509</v>
      </c>
      <c r="AE269" t="n">
        <v>0.930688362</v>
      </c>
      <c r="AF269" t="n">
        <v>2.060836273</v>
      </c>
      <c r="AG269" t="n">
        <v>-0.095338537</v>
      </c>
      <c r="AH269" t="n">
        <v>0.689841974</v>
      </c>
      <c r="AI269" t="n">
        <v>-0.094722218</v>
      </c>
      <c r="AJ269" t="n">
        <v>0.5208701999999999</v>
      </c>
      <c r="AK269" t="n">
        <v>1.494897686</v>
      </c>
      <c r="AL269" t="n">
        <v>0.359518361</v>
      </c>
      <c r="AM269" t="n">
        <v>1.033707396</v>
      </c>
      <c r="AN269" t="n">
        <v>-0.641839267</v>
      </c>
      <c r="AO269" t="n">
        <v>-0.007460833</v>
      </c>
      <c r="AP269" t="n">
        <v>0.617397086</v>
      </c>
      <c r="AQ269" t="n">
        <v>0.085869349</v>
      </c>
      <c r="AR269" t="n">
        <v>0.841503091</v>
      </c>
      <c r="AS269" t="n">
        <v>2.901075638</v>
      </c>
      <c r="AT269" t="n">
        <v>-0.350109737</v>
      </c>
      <c r="AU269" t="n">
        <v>-0.13793496</v>
      </c>
    </row>
    <row r="270">
      <c r="A270" t="inlineStr">
        <is>
          <t>2014-Q2</t>
        </is>
      </c>
      <c r="B270" s="87" t="n">
        <v>41821</v>
      </c>
      <c r="C270" t="n">
        <v>-0.618591658</v>
      </c>
      <c r="D270" t="n">
        <v>0.433215452</v>
      </c>
      <c r="E270" t="n">
        <v>0.689512103</v>
      </c>
      <c r="F270" t="n">
        <v>0.265272916</v>
      </c>
      <c r="G270" t="n">
        <v>-1.518497488</v>
      </c>
      <c r="H270" t="n">
        <v>0.913329104</v>
      </c>
      <c r="I270" t="n">
        <v>0.6717786019999999</v>
      </c>
      <c r="J270" t="n">
        <v>0.495475399</v>
      </c>
      <c r="K270" t="n">
        <v>1.8</v>
      </c>
      <c r="L270" t="n">
        <v>1.007575112</v>
      </c>
      <c r="M270" t="n">
        <v>0</v>
      </c>
      <c r="N270" t="n">
        <v>-0.072441775</v>
      </c>
      <c r="O270" t="n">
        <v>0.226051</v>
      </c>
      <c r="P270" t="n">
        <v>0.463352007</v>
      </c>
      <c r="Q270" t="n">
        <v>0.408102556</v>
      </c>
      <c r="R270" t="n">
        <v>0.298337</v>
      </c>
      <c r="S270" t="n">
        <v>0.162133293</v>
      </c>
      <c r="T270" t="n">
        <v>0.120930719</v>
      </c>
      <c r="U270" t="n">
        <v>0.468961</v>
      </c>
      <c r="V270" t="n">
        <v>0.806169711</v>
      </c>
      <c r="W270" t="n">
        <v>-0.283336808</v>
      </c>
      <c r="X270" t="n">
        <v>1.322278677</v>
      </c>
      <c r="Y270" t="n">
        <v>2.28965</v>
      </c>
      <c r="Z270" t="n">
        <v>4.127528624</v>
      </c>
      <c r="AA270" t="n">
        <v>0.057761748</v>
      </c>
      <c r="AB270" t="n">
        <v>0.929732505</v>
      </c>
      <c r="AC270" t="n">
        <v>-0.031894163</v>
      </c>
      <c r="AD270" t="n">
        <v>-1.818330703</v>
      </c>
      <c r="AE270" t="n">
        <v>0.8497426340000001</v>
      </c>
      <c r="AF270" t="n">
        <v>-1.337055894</v>
      </c>
      <c r="AG270" t="n">
        <v>0.5801951440000001</v>
      </c>
      <c r="AH270" t="n">
        <v>1.258547338</v>
      </c>
      <c r="AI270" t="n">
        <v>0.585251919</v>
      </c>
      <c r="AJ270" t="n">
        <v>0.739013144</v>
      </c>
      <c r="AK270" t="n">
        <v>0.517167717</v>
      </c>
      <c r="AL270" t="n">
        <v>0.482003127</v>
      </c>
      <c r="AM270" t="n">
        <v>1.136911695</v>
      </c>
      <c r="AN270" t="n">
        <v>0.332717028</v>
      </c>
      <c r="AO270" t="n">
        <v>0.4816152</v>
      </c>
      <c r="AP270" t="n">
        <v>0.763525702</v>
      </c>
      <c r="AQ270" t="n">
        <v>0.852837208</v>
      </c>
      <c r="AR270" t="n">
        <v>0.811320755</v>
      </c>
      <c r="AS270" t="n">
        <v>-1.62240622</v>
      </c>
      <c r="AT270" t="n">
        <v>1.284128907</v>
      </c>
      <c r="AU270" t="n">
        <v>0.394666602</v>
      </c>
    </row>
    <row r="271">
      <c r="A271" t="inlineStr">
        <is>
          <t>2014-Q3</t>
        </is>
      </c>
      <c r="B271" s="87" t="n">
        <v>41913</v>
      </c>
      <c r="C271" t="n">
        <v>-0.797315332</v>
      </c>
      <c r="D271" t="n">
        <v>0.475136051</v>
      </c>
      <c r="E271" t="n">
        <v>-0.072956243</v>
      </c>
      <c r="F271" t="n">
        <v>0.690442001</v>
      </c>
      <c r="G271" t="n">
        <v>-0.027568312</v>
      </c>
      <c r="H271" t="n">
        <v>0.959051308</v>
      </c>
      <c r="I271" t="n">
        <v>0.5538273419999999</v>
      </c>
      <c r="J271" t="n">
        <v>-0.070517128</v>
      </c>
      <c r="K271" t="n">
        <v>1.8</v>
      </c>
      <c r="L271" t="n">
        <v>1.085489897</v>
      </c>
      <c r="M271" t="n">
        <v>0.539657201</v>
      </c>
      <c r="N271" t="n">
        <v>1.673875429</v>
      </c>
      <c r="O271" t="n">
        <v>0.44991</v>
      </c>
      <c r="P271" t="n">
        <v>0.740035085</v>
      </c>
      <c r="Q271" t="n">
        <v>1.340420506</v>
      </c>
      <c r="R271" t="n">
        <v>0.523272</v>
      </c>
      <c r="S271" t="n">
        <v>0.386585668</v>
      </c>
      <c r="T271" t="n">
        <v>0.504014971</v>
      </c>
      <c r="U271" t="n">
        <v>0.78176</v>
      </c>
      <c r="V271" t="n">
        <v>0.677173328</v>
      </c>
      <c r="W271" t="n">
        <v>1.077720303</v>
      </c>
      <c r="X271" t="n">
        <v>0.920874856</v>
      </c>
      <c r="Y271" t="n">
        <v>1.8258</v>
      </c>
      <c r="Z271" t="n">
        <v>0.100554787</v>
      </c>
      <c r="AA271" t="n">
        <v>3.535449966</v>
      </c>
      <c r="AB271" t="n">
        <v>0.933469709</v>
      </c>
      <c r="AC271" t="n">
        <v>0.102746085</v>
      </c>
      <c r="AD271" t="n">
        <v>0.088076786</v>
      </c>
      <c r="AE271" t="n">
        <v>0.343530965</v>
      </c>
      <c r="AF271" t="n">
        <v>2.07701339</v>
      </c>
      <c r="AG271" t="n">
        <v>0.40879812</v>
      </c>
      <c r="AH271" t="n">
        <v>0.376955218</v>
      </c>
      <c r="AI271" t="n">
        <v>0.249815431</v>
      </c>
      <c r="AJ271" t="n">
        <v>0.420366061</v>
      </c>
      <c r="AK271" t="n">
        <v>1.273767792</v>
      </c>
      <c r="AL271" t="n">
        <v>0.776672354</v>
      </c>
      <c r="AM271" t="n">
        <v>0.837149226</v>
      </c>
      <c r="AN271" t="n">
        <v>0.094687166</v>
      </c>
      <c r="AO271" t="n">
        <v>-0.318118911</v>
      </c>
      <c r="AP271" t="n">
        <v>0.964600821</v>
      </c>
      <c r="AQ271" t="n">
        <v>0.604877171</v>
      </c>
      <c r="AR271" t="n">
        <v>0.731080131</v>
      </c>
      <c r="AS271" t="n">
        <v>2.458184399</v>
      </c>
      <c r="AT271" t="n">
        <v>1.164961644</v>
      </c>
      <c r="AU271" t="n">
        <v>0.480579252</v>
      </c>
    </row>
    <row r="272">
      <c r="A272" t="inlineStr">
        <is>
          <t>2014-Q4</t>
        </is>
      </c>
      <c r="B272" s="87" t="n">
        <v>42005</v>
      </c>
      <c r="C272" t="n">
        <v>0.477968887</v>
      </c>
      <c r="D272" t="n">
        <v>0.393587578</v>
      </c>
      <c r="E272" t="n">
        <v>0.155936142</v>
      </c>
      <c r="F272" t="n">
        <v>0.522583418</v>
      </c>
      <c r="G272" t="n">
        <v>0.497685673</v>
      </c>
      <c r="H272" t="n">
        <v>0.691975668</v>
      </c>
      <c r="I272" t="n">
        <v>0.509402494</v>
      </c>
      <c r="J272" t="n">
        <v>1.113288993</v>
      </c>
      <c r="K272" t="n">
        <v>1.7</v>
      </c>
      <c r="L272" t="n">
        <v>1.27364607</v>
      </c>
      <c r="M272" t="n">
        <v>0.810213546</v>
      </c>
      <c r="N272" t="n">
        <v>0.358693362</v>
      </c>
      <c r="O272" t="n">
        <v>0.416281</v>
      </c>
      <c r="P272" t="n">
        <v>0.858377348</v>
      </c>
      <c r="Q272" t="n">
        <v>1.497656165</v>
      </c>
      <c r="R272" t="n">
        <v>0.456029</v>
      </c>
      <c r="S272" t="n">
        <v>-0.239025686</v>
      </c>
      <c r="T272" t="n">
        <v>0.095512578</v>
      </c>
      <c r="U272" t="n">
        <v>0.439591</v>
      </c>
      <c r="V272" t="n">
        <v>0.560482829</v>
      </c>
      <c r="W272" t="n">
        <v>-1.04971496</v>
      </c>
      <c r="X272" t="n">
        <v>0.582948011</v>
      </c>
      <c r="Y272" t="n">
        <v>1.53397</v>
      </c>
      <c r="Z272" t="n">
        <v>0.694108454</v>
      </c>
      <c r="AA272" t="n">
        <v>-0.243336363</v>
      </c>
      <c r="AB272" t="n">
        <v>1.513722713</v>
      </c>
      <c r="AC272" t="n">
        <v>-0.268513906</v>
      </c>
      <c r="AD272" t="n">
        <v>0.477864936</v>
      </c>
      <c r="AE272" t="n">
        <v>0.427442707</v>
      </c>
      <c r="AF272" t="n">
        <v>2.569212229</v>
      </c>
      <c r="AG272" t="n">
        <v>0.563555298</v>
      </c>
      <c r="AH272" t="n">
        <v>1.033172269</v>
      </c>
      <c r="AI272" t="n">
        <v>0.89585285</v>
      </c>
      <c r="AJ272" t="n">
        <v>1.222455448</v>
      </c>
      <c r="AK272" t="n">
        <v>1.622425812</v>
      </c>
      <c r="AL272" t="n">
        <v>0.551010058</v>
      </c>
      <c r="AM272" t="n">
        <v>0.6534796899999999</v>
      </c>
      <c r="AN272" t="n">
        <v>0.808968919</v>
      </c>
      <c r="AO272" t="n">
        <v>-0.235289925</v>
      </c>
      <c r="AP272" t="n">
        <v>1.104522391</v>
      </c>
      <c r="AQ272" t="n">
        <v>0.134668322</v>
      </c>
      <c r="AR272" t="n">
        <v>0.763286853</v>
      </c>
      <c r="AS272" t="n">
        <v>1.347559385</v>
      </c>
      <c r="AT272" t="n">
        <v>0.448993402</v>
      </c>
      <c r="AU272" t="n">
        <v>0.748775643</v>
      </c>
    </row>
    <row r="273">
      <c r="A273" t="inlineStr">
        <is>
          <t>2015-Q1</t>
        </is>
      </c>
      <c r="B273" s="87" t="n">
        <v>42095</v>
      </c>
      <c r="C273" t="n">
        <v>1.488691121</v>
      </c>
      <c r="D273" t="n">
        <v>0.9067148820000001</v>
      </c>
      <c r="E273" t="n">
        <v>0.239368013</v>
      </c>
      <c r="F273" t="n">
        <v>0.519866681</v>
      </c>
      <c r="G273" t="n">
        <v>-0.659051798</v>
      </c>
      <c r="H273" t="n">
        <v>-0.549519408</v>
      </c>
      <c r="I273" t="n">
        <v>-0.151062847</v>
      </c>
      <c r="J273" t="n">
        <v>0.26084826</v>
      </c>
      <c r="K273" t="n">
        <v>1.9</v>
      </c>
      <c r="L273" t="n">
        <v>1.81529995</v>
      </c>
      <c r="M273" t="n">
        <v>-0.527421908</v>
      </c>
      <c r="N273" t="n">
        <v>0.684680081</v>
      </c>
      <c r="O273" t="n">
        <v>0.651301</v>
      </c>
      <c r="P273" t="n">
        <v>1.147594092</v>
      </c>
      <c r="Q273" t="n">
        <v>-1.396814206</v>
      </c>
      <c r="R273" t="n">
        <v>0.730224</v>
      </c>
      <c r="S273" t="n">
        <v>-0.777743972</v>
      </c>
      <c r="T273" t="n">
        <v>0.468213544</v>
      </c>
      <c r="U273" t="n">
        <v>0.641174</v>
      </c>
      <c r="V273" t="n">
        <v>0.644738174</v>
      </c>
      <c r="W273" t="n">
        <v>0.569886785</v>
      </c>
      <c r="X273" t="n">
        <v>1.670055006</v>
      </c>
      <c r="Y273" t="n">
        <v>1.68431</v>
      </c>
      <c r="Z273" t="n">
        <v>23.375033262</v>
      </c>
      <c r="AA273" t="n">
        <v>-1.765729448</v>
      </c>
      <c r="AB273" t="n">
        <v>0.038889865</v>
      </c>
      <c r="AC273" t="n">
        <v>0.264507832</v>
      </c>
      <c r="AD273" t="n">
        <v>1.544413798</v>
      </c>
      <c r="AE273" t="n">
        <v>0.837872972</v>
      </c>
      <c r="AF273" t="n">
        <v>-0.75235459</v>
      </c>
      <c r="AG273" t="n">
        <v>1.45810416</v>
      </c>
      <c r="AH273" t="n">
        <v>0.546713399</v>
      </c>
      <c r="AI273" t="n">
        <v>0.5957397129999999</v>
      </c>
      <c r="AJ273" t="n">
        <v>-0.256690858</v>
      </c>
      <c r="AK273" t="n">
        <v>0.316169191</v>
      </c>
      <c r="AL273" t="n">
        <v>0.8174608719999999</v>
      </c>
      <c r="AM273" t="n">
        <v>1.418384342</v>
      </c>
      <c r="AN273" t="n">
        <v>0.644836282</v>
      </c>
      <c r="AO273" t="n">
        <v>-1.017222508</v>
      </c>
      <c r="AP273" t="n">
        <v>1.926848333</v>
      </c>
      <c r="AQ273" t="n">
        <v>0.485522796</v>
      </c>
      <c r="AR273" t="n">
        <v>1.408392854</v>
      </c>
      <c r="AS273" t="n">
        <v>1.890749754</v>
      </c>
      <c r="AT273" t="n">
        <v>0.813313626</v>
      </c>
      <c r="AU273" t="n">
        <v>0.722352176</v>
      </c>
    </row>
    <row r="274">
      <c r="A274" t="inlineStr">
        <is>
          <t>2015-Q2</t>
        </is>
      </c>
      <c r="B274" s="87" t="n">
        <v>42186</v>
      </c>
      <c r="C274" t="n">
        <v>2.350201838</v>
      </c>
      <c r="D274" t="n">
        <v>0.08515545300000001</v>
      </c>
      <c r="E274" t="n">
        <v>0.194996323</v>
      </c>
      <c r="F274" t="n">
        <v>0.671848114</v>
      </c>
      <c r="G274" t="n">
        <v>-2.606049847</v>
      </c>
      <c r="H274" t="n">
        <v>-0.272172083</v>
      </c>
      <c r="I274" t="n">
        <v>0.721131791</v>
      </c>
      <c r="J274" t="n">
        <v>1.365432704</v>
      </c>
      <c r="K274" t="n">
        <v>1.8</v>
      </c>
      <c r="L274" t="n">
        <v>1.452924285</v>
      </c>
      <c r="M274" t="n">
        <v>0.706936947</v>
      </c>
      <c r="N274" t="n">
        <v>0.467773075</v>
      </c>
      <c r="O274" t="n">
        <v>0.44247</v>
      </c>
      <c r="P274" t="n">
        <v>1.072777012</v>
      </c>
      <c r="Q274" t="n">
        <v>1.972406021</v>
      </c>
      <c r="R274" t="n">
        <v>0.486513</v>
      </c>
      <c r="S274" t="n">
        <v>1.521684969</v>
      </c>
      <c r="T274" t="n">
        <v>0.010327568</v>
      </c>
      <c r="U274" t="n">
        <v>0.450847</v>
      </c>
      <c r="V274" t="n">
        <v>0.738449044</v>
      </c>
      <c r="W274" t="n">
        <v>-0.07521090499999999</v>
      </c>
      <c r="X274" t="n">
        <v>0.104134534</v>
      </c>
      <c r="Y274" t="n">
        <v>2.14178</v>
      </c>
      <c r="Z274" t="n">
        <v>-2.228122251</v>
      </c>
      <c r="AA274" t="n">
        <v>6.232412095</v>
      </c>
      <c r="AB274" t="n">
        <v>0.067190522</v>
      </c>
      <c r="AC274" t="n">
        <v>0.396262071</v>
      </c>
      <c r="AD274" t="n">
        <v>0.138656544</v>
      </c>
      <c r="AE274" t="n">
        <v>0.419668793</v>
      </c>
      <c r="AF274" t="n">
        <v>0.685843855</v>
      </c>
      <c r="AG274" t="n">
        <v>1.510519774</v>
      </c>
      <c r="AH274" t="n">
        <v>1.158283622</v>
      </c>
      <c r="AI274" t="n">
        <v>0.308836534</v>
      </c>
      <c r="AJ274" t="n">
        <v>0.530037016</v>
      </c>
      <c r="AK274" t="n">
        <v>0.7195418689999999</v>
      </c>
      <c r="AL274" t="n">
        <v>0.54847017</v>
      </c>
      <c r="AM274" t="n">
        <v>0.783089104</v>
      </c>
      <c r="AN274" t="n">
        <v>0.29763901</v>
      </c>
      <c r="AO274" t="n">
        <v>-0.669807617</v>
      </c>
      <c r="AP274" t="n">
        <v>1.245723779</v>
      </c>
      <c r="AQ274" t="n">
        <v>0.66969254</v>
      </c>
      <c r="AR274" t="n">
        <v>0.995433467</v>
      </c>
      <c r="AS274" t="n">
        <v>1.523769405</v>
      </c>
      <c r="AT274" t="n">
        <v>0.580001432</v>
      </c>
      <c r="AU274" t="n">
        <v>-0.844262633</v>
      </c>
    </row>
    <row r="275">
      <c r="A275" t="inlineStr">
        <is>
          <t>2015-Q3</t>
        </is>
      </c>
      <c r="B275" s="87" t="n">
        <v>42278</v>
      </c>
      <c r="C275" t="n">
        <v>-0.08182249</v>
      </c>
      <c r="D275" t="n">
        <v>1.042488323</v>
      </c>
      <c r="E275" t="n">
        <v>0.592707764</v>
      </c>
      <c r="F275" t="n">
        <v>0.191087084</v>
      </c>
      <c r="G275" t="n">
        <v>-1.494041827</v>
      </c>
      <c r="H275" t="n">
        <v>0.353701829</v>
      </c>
      <c r="I275" t="n">
        <v>0.627184212</v>
      </c>
      <c r="J275" t="n">
        <v>-0.371789132</v>
      </c>
      <c r="K275" t="n">
        <v>1.7</v>
      </c>
      <c r="L275" t="n">
        <v>1.096597183</v>
      </c>
      <c r="M275" t="n">
        <v>0.501395916</v>
      </c>
      <c r="N275" t="n">
        <v>0.301652901</v>
      </c>
      <c r="O275" t="n">
        <v>0.445934</v>
      </c>
      <c r="P275" t="n">
        <v>0.910029713</v>
      </c>
      <c r="Q275" t="n">
        <v>0.7447925909999999</v>
      </c>
      <c r="R275" t="n">
        <v>0.54131</v>
      </c>
      <c r="S275" t="n">
        <v>-0.009438771</v>
      </c>
      <c r="T275" t="n">
        <v>0.340036954</v>
      </c>
      <c r="U275" t="n">
        <v>0.321269</v>
      </c>
      <c r="V275" t="n">
        <v>0.537252584</v>
      </c>
      <c r="W275" t="n">
        <v>-1.951367358</v>
      </c>
      <c r="X275" t="n">
        <v>0.7444486930000001</v>
      </c>
      <c r="Y275" t="n">
        <v>1.84622</v>
      </c>
      <c r="Z275" t="n">
        <v>2.712317359</v>
      </c>
      <c r="AA275" t="n">
        <v>-0.805905053</v>
      </c>
      <c r="AB275" t="n">
        <v>0.109239542</v>
      </c>
      <c r="AC275" t="n">
        <v>0.240078305</v>
      </c>
      <c r="AD275" t="n">
        <v>0.077007323</v>
      </c>
      <c r="AE275" t="n">
        <v>1.513074861</v>
      </c>
      <c r="AF275" t="n">
        <v>-0.477316692</v>
      </c>
      <c r="AG275" t="n">
        <v>0.700647422</v>
      </c>
      <c r="AH275" t="n">
        <v>1.344525544</v>
      </c>
      <c r="AI275" t="n">
        <v>0.342951926</v>
      </c>
      <c r="AJ275" t="n">
        <v>1.171781238</v>
      </c>
      <c r="AK275" t="n">
        <v>1.088063212</v>
      </c>
      <c r="AL275" t="n">
        <v>0.533353136</v>
      </c>
      <c r="AM275" t="n">
        <v>1.26877576</v>
      </c>
      <c r="AN275" t="n">
        <v>0.113767651</v>
      </c>
      <c r="AO275" t="n">
        <v>0.193525875</v>
      </c>
      <c r="AP275" t="n">
        <v>1.151285535</v>
      </c>
      <c r="AQ275" t="n">
        <v>0.640374236</v>
      </c>
      <c r="AR275" t="n">
        <v>1.394684074</v>
      </c>
      <c r="AS275" t="n">
        <v>1.401513902</v>
      </c>
      <c r="AT275" t="n">
        <v>0.323372673</v>
      </c>
      <c r="AU275" t="n">
        <v>0.450424009</v>
      </c>
    </row>
    <row r="276">
      <c r="A276" t="inlineStr">
        <is>
          <t>2015-Q4</t>
        </is>
      </c>
      <c r="B276" s="87" t="n">
        <v>42370</v>
      </c>
      <c r="C276" t="n">
        <v>-1.153072312</v>
      </c>
      <c r="D276" t="n">
        <v>0.627153098</v>
      </c>
      <c r="E276" t="n">
        <v>0.115402966</v>
      </c>
      <c r="F276" t="n">
        <v>0.416906268</v>
      </c>
      <c r="G276" t="n">
        <v>-0.785998694</v>
      </c>
      <c r="H276" t="n">
        <v>0.074877376</v>
      </c>
      <c r="I276" t="n">
        <v>0.386402353</v>
      </c>
      <c r="J276" t="n">
        <v>0.898644478</v>
      </c>
      <c r="K276" t="n">
        <v>1.7</v>
      </c>
      <c r="L276" t="n">
        <v>0.642996325</v>
      </c>
      <c r="M276" t="n">
        <v>0.429059777</v>
      </c>
      <c r="N276" t="n">
        <v>0.222825124</v>
      </c>
      <c r="O276" t="n">
        <v>0.461114</v>
      </c>
      <c r="P276" t="n">
        <v>0.969062415</v>
      </c>
      <c r="Q276" t="n">
        <v>-0.185255112</v>
      </c>
      <c r="R276" t="n">
        <v>0.504575</v>
      </c>
      <c r="S276" t="n">
        <v>0.560715904</v>
      </c>
      <c r="T276" t="n">
        <v>0.157864365</v>
      </c>
      <c r="U276" t="n">
        <v>0.198454</v>
      </c>
      <c r="V276" t="n">
        <v>0.679861698</v>
      </c>
      <c r="W276" t="n">
        <v>1.796090837</v>
      </c>
      <c r="X276" t="n">
        <v>1.050308356</v>
      </c>
      <c r="Y276" t="n">
        <v>2.03248</v>
      </c>
      <c r="Z276" t="n">
        <v>1.508858362</v>
      </c>
      <c r="AA276" t="n">
        <v>1.623472577</v>
      </c>
      <c r="AB276" t="n">
        <v>0.82274322</v>
      </c>
      <c r="AC276" t="n">
        <v>0.528458231</v>
      </c>
      <c r="AD276" t="n">
        <v>-0.133772683</v>
      </c>
      <c r="AE276" t="n">
        <v>0.6593154879999999</v>
      </c>
      <c r="AF276" t="n">
        <v>0.641667601</v>
      </c>
      <c r="AG276" t="n">
        <v>-0.138692785</v>
      </c>
      <c r="AH276" t="n">
        <v>-0.360448038</v>
      </c>
      <c r="AI276" t="n">
        <v>0.015287607</v>
      </c>
      <c r="AJ276" t="n">
        <v>-0.878065428</v>
      </c>
      <c r="AK276" t="n">
        <v>1.034130747</v>
      </c>
      <c r="AL276" t="n">
        <v>0.307107899</v>
      </c>
      <c r="AM276" t="n">
        <v>1.242040513</v>
      </c>
      <c r="AN276" t="n">
        <v>0.479259937</v>
      </c>
      <c r="AO276" t="n">
        <v>-0.257791317</v>
      </c>
      <c r="AP276" t="n">
        <v>0.72047205</v>
      </c>
      <c r="AQ276" t="n">
        <v>0.161745491</v>
      </c>
      <c r="AR276" t="n">
        <v>0.754694752</v>
      </c>
      <c r="AS276" t="n">
        <v>1.166866867</v>
      </c>
      <c r="AT276" t="n">
        <v>0.146234347</v>
      </c>
      <c r="AU276" t="n">
        <v>0.433466201</v>
      </c>
    </row>
    <row r="277">
      <c r="A277" t="inlineStr">
        <is>
          <t>2016-Q1</t>
        </is>
      </c>
      <c r="B277" s="87" t="n">
        <v>42461</v>
      </c>
      <c r="C277" t="n">
        <v>-0.874054052</v>
      </c>
      <c r="D277" t="n">
        <v>0.857287928</v>
      </c>
      <c r="E277" t="n">
        <v>1.060783698</v>
      </c>
      <c r="F277" t="n">
        <v>0.057265569</v>
      </c>
      <c r="G277" t="n">
        <v>-1.593220105</v>
      </c>
      <c r="H277" t="n">
        <v>0.54850084</v>
      </c>
      <c r="I277" t="n">
        <v>0.446503571</v>
      </c>
      <c r="J277" t="n">
        <v>0.665964489</v>
      </c>
      <c r="K277" t="n">
        <v>1.4</v>
      </c>
      <c r="L277" t="n">
        <v>0.16334534</v>
      </c>
      <c r="M277" t="n">
        <v>0.817229402</v>
      </c>
      <c r="N277" t="n">
        <v>1.152059046</v>
      </c>
      <c r="O277" t="n">
        <v>0.551745</v>
      </c>
      <c r="P277" t="n">
        <v>0.677651054</v>
      </c>
      <c r="Q277" t="n">
        <v>1.62361987</v>
      </c>
      <c r="R277" t="n">
        <v>0.511388</v>
      </c>
      <c r="S277" t="n">
        <v>1.233455365</v>
      </c>
      <c r="T277" t="n">
        <v>0.617985053</v>
      </c>
      <c r="U277" t="n">
        <v>0.603149</v>
      </c>
      <c r="V277" t="n">
        <v>0.441647198</v>
      </c>
      <c r="W277" t="n">
        <v>-0.877063501</v>
      </c>
      <c r="X277" t="n">
        <v>-0.5435089870000001</v>
      </c>
      <c r="Y277" t="n">
        <v>2.90232</v>
      </c>
      <c r="Z277" t="n">
        <v>-2.984478769</v>
      </c>
      <c r="AA277" t="n">
        <v>-2.964555989</v>
      </c>
      <c r="AB277" t="n">
        <v>0.938403027</v>
      </c>
      <c r="AC277" t="n">
        <v>0.272584725</v>
      </c>
      <c r="AD277" t="n">
        <v>0.730972737</v>
      </c>
      <c r="AE277" t="n">
        <v>0.307277543</v>
      </c>
      <c r="AF277" t="n">
        <v>2.957684071</v>
      </c>
      <c r="AG277" t="n">
        <v>1.879746349</v>
      </c>
      <c r="AH277" t="n">
        <v>0.569665103</v>
      </c>
      <c r="AI277" t="n">
        <v>0.920561776</v>
      </c>
      <c r="AJ277" t="n">
        <v>0.13370781</v>
      </c>
      <c r="AK277" t="n">
        <v>1.157228852</v>
      </c>
      <c r="AL277" t="n">
        <v>0.545300707</v>
      </c>
      <c r="AM277" t="n">
        <v>-0.295617842</v>
      </c>
      <c r="AN277" t="n">
        <v>0.466787525</v>
      </c>
      <c r="AO277" t="n">
        <v>0.190057524</v>
      </c>
      <c r="AP277" t="n">
        <v>-0.023395424</v>
      </c>
      <c r="AQ277" t="n">
        <v>1.022204597</v>
      </c>
      <c r="AR277" t="n">
        <v>-0.109165655</v>
      </c>
      <c r="AS277" t="n">
        <v>0.361537968</v>
      </c>
      <c r="AT277" t="n">
        <v>0.589179869</v>
      </c>
      <c r="AU277" t="n">
        <v>0.238864759</v>
      </c>
    </row>
    <row r="278">
      <c r="A278" t="inlineStr">
        <is>
          <t>2016-Q2</t>
        </is>
      </c>
      <c r="B278" s="87" t="n">
        <v>42552</v>
      </c>
      <c r="C278" t="n">
        <v>-1.557011877</v>
      </c>
      <c r="D278" t="n">
        <v>0.630262541</v>
      </c>
      <c r="E278" t="n">
        <v>-0.1395541</v>
      </c>
      <c r="F278" t="n">
        <v>0.549434826</v>
      </c>
      <c r="G278" t="n">
        <v>0.5625421430000001</v>
      </c>
      <c r="H278" t="n">
        <v>-0.491711724</v>
      </c>
      <c r="I278" t="n">
        <v>0.5208538150000001</v>
      </c>
      <c r="J278" t="n">
        <v>-0.115019814</v>
      </c>
      <c r="K278" t="n">
        <v>2</v>
      </c>
      <c r="L278" t="n">
        <v>0.336201401</v>
      </c>
      <c r="M278" t="n">
        <v>0.413911661</v>
      </c>
      <c r="N278" t="n">
        <v>1.352637774</v>
      </c>
      <c r="O278" t="n">
        <v>0.251329</v>
      </c>
      <c r="P278" t="n">
        <v>0.41940912</v>
      </c>
      <c r="Q278" t="n">
        <v>-0.186147163</v>
      </c>
      <c r="R278" t="n">
        <v>0.33694</v>
      </c>
      <c r="S278" t="n">
        <v>0.155780572</v>
      </c>
      <c r="T278" t="n">
        <v>-0.159747613</v>
      </c>
      <c r="U278" t="n">
        <v>0.197076</v>
      </c>
      <c r="V278" t="n">
        <v>0.577337338</v>
      </c>
      <c r="W278" t="n">
        <v>-0.335377168</v>
      </c>
      <c r="X278" t="n">
        <v>1.35557344</v>
      </c>
      <c r="Y278" t="n">
        <v>1.78078</v>
      </c>
      <c r="Z278" t="n">
        <v>1.571684915</v>
      </c>
      <c r="AA278" t="n">
        <v>6.979822255</v>
      </c>
      <c r="AB278" t="n">
        <v>2.326823453</v>
      </c>
      <c r="AC278" t="n">
        <v>0.2056263</v>
      </c>
      <c r="AD278" t="n">
        <v>-0.147410889</v>
      </c>
      <c r="AE278" t="n">
        <v>1.146251409</v>
      </c>
      <c r="AF278" t="n">
        <v>1.42298113</v>
      </c>
      <c r="AG278" t="n">
        <v>-0.9799347819999999</v>
      </c>
      <c r="AH278" t="n">
        <v>0.427175744</v>
      </c>
      <c r="AI278" t="n">
        <v>0.235264675</v>
      </c>
      <c r="AJ278" t="n">
        <v>-0.031674933</v>
      </c>
      <c r="AK278" t="n">
        <v>0.938104151</v>
      </c>
      <c r="AL278" t="n">
        <v>0.364586533</v>
      </c>
      <c r="AM278" t="n">
        <v>1.304925685</v>
      </c>
      <c r="AN278" t="n">
        <v>0.299561897</v>
      </c>
      <c r="AO278" t="n">
        <v>0.053848741</v>
      </c>
      <c r="AP278" t="n">
        <v>0.246709693</v>
      </c>
      <c r="AQ278" t="n">
        <v>1.282970601</v>
      </c>
      <c r="AR278" t="n">
        <v>0.090387941</v>
      </c>
      <c r="AS278" t="n">
        <v>1.430886402</v>
      </c>
      <c r="AT278" t="n">
        <v>0.302388807</v>
      </c>
      <c r="AU278" t="n">
        <v>0.096213854</v>
      </c>
    </row>
    <row r="279">
      <c r="A279" t="inlineStr">
        <is>
          <t>2016-Q3</t>
        </is>
      </c>
      <c r="B279" s="87" t="n">
        <v>42644</v>
      </c>
      <c r="C279" t="n">
        <v>0.275683992</v>
      </c>
      <c r="D279" t="n">
        <v>0.131833212</v>
      </c>
      <c r="E279" t="n">
        <v>0.559007597</v>
      </c>
      <c r="F279" t="n">
        <v>0.175503505</v>
      </c>
      <c r="G279" t="n">
        <v>-0.62908175</v>
      </c>
      <c r="H279" t="n">
        <v>1.031213682</v>
      </c>
      <c r="I279" t="n">
        <v>0.547473459</v>
      </c>
      <c r="J279" t="n">
        <v>0.335786641</v>
      </c>
      <c r="K279" t="n">
        <v>1.7</v>
      </c>
      <c r="L279" t="n">
        <v>0.804094869</v>
      </c>
      <c r="M279" t="n">
        <v>0.34351193</v>
      </c>
      <c r="N279" t="n">
        <v>0.848381829</v>
      </c>
      <c r="O279" t="n">
        <v>0.455547</v>
      </c>
      <c r="P279" t="n">
        <v>0.8870696300000001</v>
      </c>
      <c r="Q279" t="n">
        <v>1.114913487</v>
      </c>
      <c r="R279" t="n">
        <v>0.456265</v>
      </c>
      <c r="S279" t="n">
        <v>1.129504129</v>
      </c>
      <c r="T279" t="n">
        <v>0.193245892</v>
      </c>
      <c r="U279" t="n">
        <v>0.485254</v>
      </c>
      <c r="V279" t="n">
        <v>0.445252857</v>
      </c>
      <c r="W279" t="n">
        <v>0.335020987</v>
      </c>
      <c r="X279" t="n">
        <v>0.5059005090000001</v>
      </c>
      <c r="Y279" t="n">
        <v>2.29133</v>
      </c>
      <c r="Z279" t="n">
        <v>-1.194047033</v>
      </c>
      <c r="AA279" t="n">
        <v>1.748545381</v>
      </c>
      <c r="AB279" t="n">
        <v>1.249971468</v>
      </c>
      <c r="AC279" t="n">
        <v>0.56670361</v>
      </c>
      <c r="AD279" t="n">
        <v>0.156573451</v>
      </c>
      <c r="AE279" t="n">
        <v>0.494029045</v>
      </c>
      <c r="AF279" t="n">
        <v>0.720690845</v>
      </c>
      <c r="AG279" t="n">
        <v>0.163937185</v>
      </c>
      <c r="AH279" t="n">
        <v>1.094739524</v>
      </c>
      <c r="AI279" t="n">
        <v>1.117384561</v>
      </c>
      <c r="AJ279" t="n">
        <v>-0.307073287</v>
      </c>
      <c r="AK279" t="n">
        <v>0.9453416</v>
      </c>
      <c r="AL279" t="n">
        <v>0.393519067</v>
      </c>
      <c r="AM279" t="n">
        <v>0.258302575</v>
      </c>
      <c r="AN279" t="n">
        <v>1.17409239</v>
      </c>
      <c r="AO279" t="n">
        <v>0.100716464</v>
      </c>
      <c r="AP279" t="n">
        <v>0.37067168</v>
      </c>
      <c r="AQ279" t="n">
        <v>0.880016685</v>
      </c>
      <c r="AR279" t="n">
        <v>0.301912138</v>
      </c>
      <c r="AS279" t="n">
        <v>-2.867673426</v>
      </c>
      <c r="AT279" t="n">
        <v>0.601115379</v>
      </c>
      <c r="AU279" t="n">
        <v>-0.012183122</v>
      </c>
    </row>
    <row r="280">
      <c r="A280" t="inlineStr">
        <is>
          <t>2016-Q4</t>
        </is>
      </c>
      <c r="B280" s="87" t="n">
        <v>42736</v>
      </c>
      <c r="C280" t="n">
        <v>0.592249817</v>
      </c>
      <c r="D280" t="n">
        <v>1.077293215</v>
      </c>
      <c r="E280" t="n">
        <v>1.02143024</v>
      </c>
      <c r="F280" t="n">
        <v>0.513277018</v>
      </c>
      <c r="G280" t="n">
        <v>-0.181624691</v>
      </c>
      <c r="H280" t="n">
        <v>0.561483087</v>
      </c>
      <c r="I280" t="n">
        <v>0.3152758</v>
      </c>
      <c r="J280" t="n">
        <v>0.156797402</v>
      </c>
      <c r="K280" t="n">
        <v>1.6</v>
      </c>
      <c r="L280" t="n">
        <v>0.851285849</v>
      </c>
      <c r="M280" t="n">
        <v>0.312987231</v>
      </c>
      <c r="N280" t="n">
        <v>0.720496974</v>
      </c>
      <c r="O280" t="n">
        <v>0.747875</v>
      </c>
      <c r="P280" t="n">
        <v>0.464567325</v>
      </c>
      <c r="Q280" t="n">
        <v>1.198228647</v>
      </c>
      <c r="R280" t="n">
        <v>0.830194</v>
      </c>
      <c r="S280" t="n">
        <v>0.307602168</v>
      </c>
      <c r="T280" t="n">
        <v>0.548904652</v>
      </c>
      <c r="U280" t="n">
        <v>0.446535</v>
      </c>
      <c r="V280" t="n">
        <v>0.73929692</v>
      </c>
      <c r="W280" t="n">
        <v>0.65535945</v>
      </c>
      <c r="X280" t="n">
        <v>0.864968508</v>
      </c>
      <c r="Y280" t="n">
        <v>1.3635</v>
      </c>
      <c r="Z280" t="n">
        <v>11.784117294</v>
      </c>
      <c r="AA280" t="n">
        <v>3.35360222</v>
      </c>
      <c r="AB280" t="n">
        <v>1.08339426</v>
      </c>
      <c r="AC280" t="n">
        <v>0.286547125</v>
      </c>
      <c r="AD280" t="n">
        <v>0.189967396</v>
      </c>
      <c r="AE280" t="n">
        <v>0.6021211869999999</v>
      </c>
      <c r="AF280" t="n">
        <v>0.479241512</v>
      </c>
      <c r="AG280" t="n">
        <v>1.202910202</v>
      </c>
      <c r="AH280" t="n">
        <v>1.004841596</v>
      </c>
      <c r="AI280" t="n">
        <v>0.837419365</v>
      </c>
      <c r="AJ280" t="n">
        <v>1.339357449</v>
      </c>
      <c r="AK280" t="n">
        <v>0.338395023</v>
      </c>
      <c r="AL280" t="n">
        <v>0.81393961</v>
      </c>
      <c r="AM280" t="n">
        <v>2.292670213</v>
      </c>
      <c r="AN280" t="n">
        <v>0.931975429</v>
      </c>
      <c r="AO280" t="n">
        <v>0.825105938</v>
      </c>
      <c r="AP280" t="n">
        <v>0.611547296</v>
      </c>
      <c r="AQ280" t="n">
        <v>0.793186238</v>
      </c>
      <c r="AR280" t="n">
        <v>0.913254559</v>
      </c>
      <c r="AS280" t="n">
        <v>5.509611596</v>
      </c>
      <c r="AT280" t="n">
        <v>0.496888796</v>
      </c>
      <c r="AU280" t="n">
        <v>0.08491357400000001</v>
      </c>
    </row>
    <row r="281">
      <c r="A281" t="inlineStr">
        <is>
          <t>2017-Q1</t>
        </is>
      </c>
      <c r="B281" s="87" t="n">
        <v>42826</v>
      </c>
      <c r="C281" t="n">
        <v>0.966272296</v>
      </c>
      <c r="D281" t="n">
        <v>0.237389102</v>
      </c>
      <c r="E281" t="n">
        <v>0.490199484</v>
      </c>
      <c r="F281" t="n">
        <v>0.651981383</v>
      </c>
      <c r="G281" t="n">
        <v>1.114197848</v>
      </c>
      <c r="H281" t="n">
        <v>1.08691958</v>
      </c>
      <c r="I281" t="n">
        <v>0.193029216</v>
      </c>
      <c r="J281" t="n">
        <v>-0.788643197</v>
      </c>
      <c r="K281" t="n">
        <v>1.8</v>
      </c>
      <c r="L281" t="n">
        <v>1.535584712</v>
      </c>
      <c r="M281" t="n">
        <v>1.218802299</v>
      </c>
      <c r="N281" t="n">
        <v>0.6543906269999999</v>
      </c>
      <c r="O281" t="n">
        <v>0.708154</v>
      </c>
      <c r="P281" t="n">
        <v>0.793789658</v>
      </c>
      <c r="Q281" t="n">
        <v>1.972456399</v>
      </c>
      <c r="R281" t="n">
        <v>0.746539</v>
      </c>
      <c r="S281" t="n">
        <v>0.985689252</v>
      </c>
      <c r="T281" t="n">
        <v>0.800278484</v>
      </c>
      <c r="U281" t="n">
        <v>0.670706</v>
      </c>
      <c r="V281" t="n">
        <v>0.6498361030000001</v>
      </c>
      <c r="W281" t="n">
        <v>-0.280943913</v>
      </c>
      <c r="X281" t="n">
        <v>1.431154764</v>
      </c>
      <c r="Y281" t="n">
        <v>0.8018999999999999</v>
      </c>
      <c r="Z281" t="n">
        <v>-4.336258384</v>
      </c>
      <c r="AA281" t="n">
        <v>-3.947104116</v>
      </c>
      <c r="AB281" t="n">
        <v>0.150789262</v>
      </c>
      <c r="AC281" t="n">
        <v>0.5492605780000001</v>
      </c>
      <c r="AD281" t="n">
        <v>0.8081374</v>
      </c>
      <c r="AE281" t="n">
        <v>0.962440835</v>
      </c>
      <c r="AF281" t="n">
        <v>-1.532633667</v>
      </c>
      <c r="AG281" t="n">
        <v>1.584147115</v>
      </c>
      <c r="AH281" t="n">
        <v>0.456299896</v>
      </c>
      <c r="AI281" t="n">
        <v>0.517378019</v>
      </c>
      <c r="AJ281" t="n">
        <v>0.994622904</v>
      </c>
      <c r="AK281" t="n">
        <v>1.01609012</v>
      </c>
      <c r="AL281" t="n">
        <v>0.643529319</v>
      </c>
      <c r="AM281" t="n">
        <v>0.943520193</v>
      </c>
      <c r="AN281" t="n">
        <v>1.170816047</v>
      </c>
      <c r="AO281" t="n">
        <v>0.201684982</v>
      </c>
      <c r="AP281" t="n">
        <v>0.846324522</v>
      </c>
      <c r="AQ281" t="n">
        <v>1.784979372</v>
      </c>
      <c r="AR281" t="n">
        <v>0.417211394</v>
      </c>
      <c r="AS281" t="n">
        <v>1.368865306</v>
      </c>
      <c r="AT281" t="n">
        <v>0.471931042</v>
      </c>
      <c r="AU281" t="n">
        <v>0.472125691</v>
      </c>
    </row>
    <row r="282">
      <c r="A282" t="inlineStr">
        <is>
          <t>2017-Q2</t>
        </is>
      </c>
      <c r="B282" s="87" t="n">
        <v>42917</v>
      </c>
      <c r="C282" t="n">
        <v>1.083626519</v>
      </c>
      <c r="D282" t="n">
        <v>0.652067632</v>
      </c>
      <c r="E282" t="n">
        <v>0.566684996</v>
      </c>
      <c r="F282" t="n">
        <v>0.241505195</v>
      </c>
      <c r="G282" t="n">
        <v>0.741092376</v>
      </c>
      <c r="H282" t="n">
        <v>1.023044213</v>
      </c>
      <c r="I282" t="n">
        <v>0.302228692</v>
      </c>
      <c r="J282" t="n">
        <v>1.215026881</v>
      </c>
      <c r="K282" t="n">
        <v>1.7</v>
      </c>
      <c r="L282" t="n">
        <v>2.817217397</v>
      </c>
      <c r="M282" t="n">
        <v>0.780268505</v>
      </c>
      <c r="N282" t="n">
        <v>1.117777678</v>
      </c>
      <c r="O282" t="n">
        <v>0.8034289999999999</v>
      </c>
      <c r="P282" t="n">
        <v>1.073786986</v>
      </c>
      <c r="Q282" t="n">
        <v>1.898641958</v>
      </c>
      <c r="R282" t="n">
        <v>0.8660600000000001</v>
      </c>
      <c r="S282" t="n">
        <v>1.276118863</v>
      </c>
      <c r="T282" t="n">
        <v>0.824861684</v>
      </c>
      <c r="U282" t="n">
        <v>0.57195</v>
      </c>
      <c r="V282" t="n">
        <v>0.310747896</v>
      </c>
      <c r="W282" t="n">
        <v>0.6044109090000001</v>
      </c>
      <c r="X282" t="n">
        <v>1.168590737</v>
      </c>
      <c r="Y282" t="n">
        <v>2.0471</v>
      </c>
      <c r="Z282" t="n">
        <v>3.190603263</v>
      </c>
      <c r="AA282" t="n">
        <v>3.529965458</v>
      </c>
      <c r="AB282" t="n">
        <v>1.440202827</v>
      </c>
      <c r="AC282" t="n">
        <v>0.399895852</v>
      </c>
      <c r="AD282" t="n">
        <v>0.388268986</v>
      </c>
      <c r="AE282" t="n">
        <v>0.671283479</v>
      </c>
      <c r="AF282" t="n">
        <v>1.425809973</v>
      </c>
      <c r="AG282" t="n">
        <v>0.824641964</v>
      </c>
      <c r="AH282" t="n">
        <v>0.339795577</v>
      </c>
      <c r="AI282" t="n">
        <v>0.879067573</v>
      </c>
      <c r="AJ282" t="n">
        <v>0.9634709890000001</v>
      </c>
      <c r="AK282" t="n">
        <v>1.064568241</v>
      </c>
      <c r="AL282" t="n">
        <v>0.725165481</v>
      </c>
      <c r="AM282" t="n">
        <v>0.86743973</v>
      </c>
      <c r="AN282" t="n">
        <v>0.505247849</v>
      </c>
      <c r="AO282" t="n">
        <v>0.690456285</v>
      </c>
      <c r="AP282" t="n">
        <v>0.9359635039999999</v>
      </c>
      <c r="AQ282" t="n">
        <v>1.216824167</v>
      </c>
      <c r="AR282" t="n">
        <v>1.282351597</v>
      </c>
      <c r="AS282" t="n">
        <v>2.28031882</v>
      </c>
      <c r="AT282" t="n">
        <v>0.559764823</v>
      </c>
      <c r="AU282" t="n">
        <v>0.545302926</v>
      </c>
    </row>
    <row r="283">
      <c r="A283" t="inlineStr">
        <is>
          <t>2017-Q3</t>
        </is>
      </c>
      <c r="B283" s="87" t="n">
        <v>43009</v>
      </c>
      <c r="C283" t="n">
        <v>1.12797614</v>
      </c>
      <c r="D283" t="n">
        <v>0.972921371</v>
      </c>
      <c r="E283" t="n">
        <v>0.529701105</v>
      </c>
      <c r="F283" t="n">
        <v>-0.06443299</v>
      </c>
      <c r="G283" t="n">
        <v>0.305473824</v>
      </c>
      <c r="H283" t="n">
        <v>0.421873021</v>
      </c>
      <c r="I283" t="n">
        <v>0.641005409</v>
      </c>
      <c r="J283" t="n">
        <v>1.677051377</v>
      </c>
      <c r="K283" t="n">
        <v>1.6</v>
      </c>
      <c r="L283" t="n">
        <v>0.564773963</v>
      </c>
      <c r="M283" t="n">
        <v>0.879377516</v>
      </c>
      <c r="N283" t="n">
        <v>-0.366774101</v>
      </c>
      <c r="O283" t="n">
        <v>0.702067</v>
      </c>
      <c r="P283" t="n">
        <v>0.577280996</v>
      </c>
      <c r="Q283" t="n">
        <v>0.358934825</v>
      </c>
      <c r="R283" t="n">
        <v>0.726012</v>
      </c>
      <c r="S283" t="n">
        <v>0.415848653</v>
      </c>
      <c r="T283" t="n">
        <v>0.632762355</v>
      </c>
      <c r="U283" t="n">
        <v>0.674949</v>
      </c>
      <c r="V283" t="n">
        <v>0.428297394</v>
      </c>
      <c r="W283" t="n">
        <v>1.071611548</v>
      </c>
      <c r="X283" t="n">
        <v>0.911671616</v>
      </c>
      <c r="Y283" t="n">
        <v>1.66081</v>
      </c>
      <c r="Z283" t="n">
        <v>2.919818298</v>
      </c>
      <c r="AA283" t="n">
        <v>-0.399256865</v>
      </c>
      <c r="AB283" t="n">
        <v>1.51233719</v>
      </c>
      <c r="AC283" t="n">
        <v>0.3818128</v>
      </c>
      <c r="AD283" t="n">
        <v>0.733205369</v>
      </c>
      <c r="AE283" t="n">
        <v>1.482113673</v>
      </c>
      <c r="AF283" t="n">
        <v>1.256857457</v>
      </c>
      <c r="AG283" t="n">
        <v>0.281131918</v>
      </c>
      <c r="AH283" t="n">
        <v>-0.188566615</v>
      </c>
      <c r="AI283" t="n">
        <v>0.727407217</v>
      </c>
      <c r="AJ283" t="n">
        <v>0.685236151</v>
      </c>
      <c r="AK283" t="n">
        <v>0.959952668</v>
      </c>
      <c r="AL283" t="n">
        <v>0.726704852</v>
      </c>
      <c r="AM283" t="n">
        <v>1.133009151</v>
      </c>
      <c r="AN283" t="n">
        <v>0.6949899899999999</v>
      </c>
      <c r="AO283" t="n">
        <v>0.6794844920000001</v>
      </c>
      <c r="AP283" t="n">
        <v>0.810525502</v>
      </c>
      <c r="AQ283" t="n">
        <v>0.800960554</v>
      </c>
      <c r="AR283" t="n">
        <v>0.964883593</v>
      </c>
      <c r="AS283" t="n">
        <v>1.515918521</v>
      </c>
      <c r="AT283" t="n">
        <v>0.719149991</v>
      </c>
      <c r="AU283" t="n">
        <v>0.183895972</v>
      </c>
    </row>
    <row r="284">
      <c r="A284" t="inlineStr">
        <is>
          <t>2017-Q4</t>
        </is>
      </c>
      <c r="B284" s="87" t="n">
        <v>43101</v>
      </c>
      <c r="C284" t="n">
        <v>1.025371767</v>
      </c>
      <c r="D284" t="n">
        <v>0.453139805</v>
      </c>
      <c r="E284" t="n">
        <v>0.7188638389999999</v>
      </c>
      <c r="F284" t="n">
        <v>0.801726796</v>
      </c>
      <c r="G284" t="n">
        <v>0.426661131</v>
      </c>
      <c r="H284" t="n">
        <v>0.517990679</v>
      </c>
      <c r="I284" t="n">
        <v>1.055761679</v>
      </c>
      <c r="J284" t="n">
        <v>0.739867594</v>
      </c>
      <c r="K284" t="n">
        <v>1.7</v>
      </c>
      <c r="L284" t="n">
        <v>0.866008682</v>
      </c>
      <c r="M284" t="n">
        <v>0.805377738</v>
      </c>
      <c r="N284" t="n">
        <v>0.75496245</v>
      </c>
      <c r="O284" t="n">
        <v>0.855788</v>
      </c>
      <c r="P284" t="n">
        <v>0.62554452</v>
      </c>
      <c r="Q284" t="n">
        <v>1.445376072</v>
      </c>
      <c r="R284" t="n">
        <v>0.862456</v>
      </c>
      <c r="S284" t="n">
        <v>0.691395766</v>
      </c>
      <c r="T284" t="n">
        <v>0.858705383</v>
      </c>
      <c r="U284" t="n">
        <v>0.7312070000000001</v>
      </c>
      <c r="V284" t="n">
        <v>0.402869485</v>
      </c>
      <c r="W284" t="n">
        <v>-0.902684461</v>
      </c>
      <c r="X284" t="n">
        <v>1.445160885</v>
      </c>
      <c r="Y284" t="n">
        <v>1.87259</v>
      </c>
      <c r="Z284" t="n">
        <v>5.283538941</v>
      </c>
      <c r="AA284" t="n">
        <v>3.148213956</v>
      </c>
      <c r="AB284" t="n">
        <v>1.416044916</v>
      </c>
      <c r="AC284" t="n">
        <v>0.536468886</v>
      </c>
      <c r="AD284" t="n">
        <v>0.186501875</v>
      </c>
      <c r="AE284" t="n">
        <v>-0.265752327</v>
      </c>
      <c r="AF284" t="n">
        <v>0.362061598</v>
      </c>
      <c r="AG284" t="n">
        <v>0.687899673</v>
      </c>
      <c r="AH284" t="n">
        <v>1.199561954</v>
      </c>
      <c r="AI284" t="n">
        <v>0.781731938</v>
      </c>
      <c r="AJ284" t="n">
        <v>-0.569736833</v>
      </c>
      <c r="AK284" t="n">
        <v>0.8020454930000001</v>
      </c>
      <c r="AL284" t="n">
        <v>0.7993691429999999</v>
      </c>
      <c r="AM284" t="n">
        <v>1.767528005</v>
      </c>
      <c r="AN284" t="n">
        <v>0.825446682</v>
      </c>
      <c r="AO284" t="n">
        <v>0.020994643</v>
      </c>
      <c r="AP284" t="n">
        <v>1.139139288</v>
      </c>
      <c r="AQ284" t="n">
        <v>2.27961723</v>
      </c>
      <c r="AR284" t="n">
        <v>0.226578029</v>
      </c>
      <c r="AS284" t="n">
        <v>1.882761165</v>
      </c>
      <c r="AT284" t="n">
        <v>0.940399838</v>
      </c>
      <c r="AU284" t="n">
        <v>0.393361099</v>
      </c>
    </row>
    <row r="285">
      <c r="A285" t="inlineStr">
        <is>
          <t>2018-Q1</t>
        </is>
      </c>
      <c r="B285" s="87" t="n">
        <v>43191</v>
      </c>
      <c r="C285" t="n">
        <v>-0.234247946</v>
      </c>
      <c r="D285" t="n">
        <v>0.862388859</v>
      </c>
      <c r="E285" t="n">
        <v>0.877493168</v>
      </c>
      <c r="F285" t="n">
        <v>0.398602112</v>
      </c>
      <c r="G285" t="n">
        <v>0.536466815</v>
      </c>
      <c r="H285" t="n">
        <v>0.875239281</v>
      </c>
      <c r="I285" t="n">
        <v>1.093967408</v>
      </c>
      <c r="J285" t="n">
        <v>1.197721015</v>
      </c>
      <c r="K285" t="n">
        <v>1.8</v>
      </c>
      <c r="L285" t="n">
        <v>0.490118054</v>
      </c>
      <c r="M285" t="n">
        <v>-0.432376803</v>
      </c>
      <c r="N285" t="n">
        <v>0.512055136</v>
      </c>
      <c r="O285" t="n">
        <v>0.06854399999999999</v>
      </c>
      <c r="P285" t="n">
        <v>0.377842041</v>
      </c>
      <c r="Q285" t="n">
        <v>1.061719368</v>
      </c>
      <c r="R285" t="n">
        <v>0.159632</v>
      </c>
      <c r="S285" t="n">
        <v>0.188872414</v>
      </c>
      <c r="T285" t="n">
        <v>0.010018473</v>
      </c>
      <c r="U285" t="n">
        <v>0.402695</v>
      </c>
      <c r="V285" t="n">
        <v>0.236706446</v>
      </c>
      <c r="W285" t="n">
        <v>1.368104752</v>
      </c>
      <c r="X285" t="n">
        <v>1.791568634</v>
      </c>
      <c r="Y285" t="n">
        <v>2.16028</v>
      </c>
      <c r="Z285" t="n">
        <v>0.9166484499999999</v>
      </c>
      <c r="AA285" t="n">
        <v>0.604224317</v>
      </c>
      <c r="AB285" t="n">
        <v>1.159426213</v>
      </c>
      <c r="AC285" t="n">
        <v>-0.017154539</v>
      </c>
      <c r="AD285" t="n">
        <v>0.119053888</v>
      </c>
      <c r="AE285" t="n">
        <v>1.148518541</v>
      </c>
      <c r="AF285" t="n">
        <v>0.363487137</v>
      </c>
      <c r="AG285" t="n">
        <v>1.498460037</v>
      </c>
      <c r="AH285" t="n">
        <v>1.08601294</v>
      </c>
      <c r="AI285" t="n">
        <v>0.398971748</v>
      </c>
      <c r="AJ285" t="n">
        <v>0.778925608</v>
      </c>
      <c r="AK285" t="n">
        <v>0.693359461</v>
      </c>
      <c r="AL285" t="n">
        <v>0.572674072</v>
      </c>
      <c r="AM285" t="n">
        <v>1.262744029</v>
      </c>
      <c r="AN285" t="n">
        <v>0.727368109</v>
      </c>
      <c r="AO285" t="n">
        <v>1.356032191</v>
      </c>
      <c r="AP285" t="n">
        <v>0.772602841</v>
      </c>
      <c r="AQ285" t="n">
        <v>0.208646969</v>
      </c>
      <c r="AR285" t="n">
        <v>0.234887111</v>
      </c>
      <c r="AS285" t="n">
        <v>1.491462538</v>
      </c>
      <c r="AT285" t="n">
        <v>0.762854036</v>
      </c>
      <c r="AU285" t="n">
        <v>0.439006178</v>
      </c>
    </row>
    <row r="286">
      <c r="A286" t="inlineStr">
        <is>
          <t>2018-Q2</t>
        </is>
      </c>
      <c r="B286" s="87" t="n">
        <v>43282</v>
      </c>
      <c r="C286" t="n">
        <v>-4.569808927</v>
      </c>
      <c r="D286" t="n">
        <v>0.879679205</v>
      </c>
      <c r="E286" t="n">
        <v>0.372657759</v>
      </c>
      <c r="F286" t="n">
        <v>0.457957473</v>
      </c>
      <c r="G286" t="n">
        <v>0.169043559</v>
      </c>
      <c r="H286" t="n">
        <v>0.785105341</v>
      </c>
      <c r="I286" t="n">
        <v>0.930593396</v>
      </c>
      <c r="J286" t="n">
        <v>1.131578667</v>
      </c>
      <c r="K286" t="n">
        <v>1.6</v>
      </c>
      <c r="L286" t="n">
        <v>0.734727931</v>
      </c>
      <c r="M286" t="n">
        <v>0.556977164</v>
      </c>
      <c r="N286" t="n">
        <v>0.502598831</v>
      </c>
      <c r="O286" t="n">
        <v>0.493114</v>
      </c>
      <c r="P286" t="n">
        <v>0.586193572</v>
      </c>
      <c r="Q286" t="n">
        <v>0.775124958</v>
      </c>
      <c r="R286" t="n">
        <v>0.578133</v>
      </c>
      <c r="S286" t="n">
        <v>-0.040522208</v>
      </c>
      <c r="T286" t="n">
        <v>0.368185924</v>
      </c>
      <c r="U286" t="n">
        <v>0.624348</v>
      </c>
      <c r="V286" t="n">
        <v>0.54664776</v>
      </c>
      <c r="W286" t="n">
        <v>0.148188556</v>
      </c>
      <c r="X286" t="n">
        <v>0.955230719</v>
      </c>
      <c r="Y286" t="n">
        <v>1.30956</v>
      </c>
      <c r="Z286" t="n">
        <v>2.882495359</v>
      </c>
      <c r="AA286" t="n">
        <v>1.879231918</v>
      </c>
      <c r="AB286" t="n">
        <v>0.288675698</v>
      </c>
      <c r="AC286" t="n">
        <v>0.00426027</v>
      </c>
      <c r="AD286" t="n">
        <v>0.328801024</v>
      </c>
      <c r="AE286" t="n">
        <v>0.633608551</v>
      </c>
      <c r="AF286" t="n">
        <v>-0.385730014</v>
      </c>
      <c r="AG286" t="n">
        <v>1.3195093</v>
      </c>
      <c r="AH286" t="n">
        <v>0.022636053</v>
      </c>
      <c r="AI286" t="n">
        <v>0.626005158</v>
      </c>
      <c r="AJ286" t="n">
        <v>0.300775738</v>
      </c>
      <c r="AK286" t="n">
        <v>1.123554492</v>
      </c>
      <c r="AL286" t="n">
        <v>0.633667775</v>
      </c>
      <c r="AM286" t="n">
        <v>1.296092819</v>
      </c>
      <c r="AN286" t="n">
        <v>0.779536523</v>
      </c>
      <c r="AO286" t="n">
        <v>0.55794654</v>
      </c>
      <c r="AP286" t="n">
        <v>1.139016799</v>
      </c>
      <c r="AQ286" t="n">
        <v>1.245745306</v>
      </c>
      <c r="AR286" t="n">
        <v>1.077036685</v>
      </c>
      <c r="AS286" t="n">
        <v>0.508445895</v>
      </c>
      <c r="AT286" t="n">
        <v>0.833910909</v>
      </c>
      <c r="AU286" t="n">
        <v>-0.134146881</v>
      </c>
    </row>
    <row r="287">
      <c r="A287" t="inlineStr">
        <is>
          <t>2018-Q3</t>
        </is>
      </c>
      <c r="B287" s="87" t="n">
        <v>43374</v>
      </c>
      <c r="C287" t="n">
        <v>-0.339880735</v>
      </c>
      <c r="D287" t="n">
        <v>0.410944112</v>
      </c>
      <c r="E287" t="n">
        <v>0.145499471</v>
      </c>
      <c r="F287" t="n">
        <v>0.385099676</v>
      </c>
      <c r="G287" t="n">
        <v>0.8792771539999999</v>
      </c>
      <c r="H287" t="n">
        <v>0.690122507</v>
      </c>
      <c r="I287" t="n">
        <v>-0.220884391</v>
      </c>
      <c r="J287" t="n">
        <v>-0.478523238</v>
      </c>
      <c r="K287" t="n">
        <v>1.3</v>
      </c>
      <c r="L287" t="n">
        <v>0.6114401189999999</v>
      </c>
      <c r="M287" t="n">
        <v>-0.422456804</v>
      </c>
      <c r="N287" t="n">
        <v>0.602133078</v>
      </c>
      <c r="O287" t="n">
        <v>0.061009</v>
      </c>
      <c r="P287" t="n">
        <v>0.51760509</v>
      </c>
      <c r="Q287" t="n">
        <v>0.67946886</v>
      </c>
      <c r="R287" t="n">
        <v>0.133455</v>
      </c>
      <c r="S287" t="n">
        <v>-0.179780034</v>
      </c>
      <c r="T287" t="n">
        <v>0.386796731</v>
      </c>
      <c r="U287" t="n">
        <v>0.201387</v>
      </c>
      <c r="V287" t="n">
        <v>0.631727016</v>
      </c>
      <c r="W287" t="n">
        <v>-0.216406854</v>
      </c>
      <c r="X287" t="n">
        <v>1.363852402</v>
      </c>
      <c r="Y287" t="n">
        <v>1.40565</v>
      </c>
      <c r="Z287" t="n">
        <v>-1.205234579</v>
      </c>
      <c r="AA287" t="n">
        <v>-1.059301018</v>
      </c>
      <c r="AB287" t="n">
        <v>0.850000953</v>
      </c>
      <c r="AC287" t="n">
        <v>0.073259562</v>
      </c>
      <c r="AD287" t="n">
        <v>-0.795494633</v>
      </c>
      <c r="AE287" t="n">
        <v>0.688281747</v>
      </c>
      <c r="AF287" t="n">
        <v>1.134402457</v>
      </c>
      <c r="AG287" t="n">
        <v>1.09496261</v>
      </c>
      <c r="AH287" t="n">
        <v>0.590744677</v>
      </c>
      <c r="AI287" t="n">
        <v>0.287020645</v>
      </c>
      <c r="AJ287" t="n">
        <v>0.630028733</v>
      </c>
      <c r="AK287" t="n">
        <v>0.424712995</v>
      </c>
      <c r="AL287" t="n">
        <v>0.207443896</v>
      </c>
      <c r="AM287" t="n">
        <v>1.396614884</v>
      </c>
      <c r="AN287" t="n">
        <v>0.5257239420000001</v>
      </c>
      <c r="AO287" t="n">
        <v>0.241368821</v>
      </c>
      <c r="AP287" t="n">
        <v>0.980137419</v>
      </c>
      <c r="AQ287" t="n">
        <v>1.154177269</v>
      </c>
      <c r="AR287" t="n">
        <v>-0.715544815</v>
      </c>
      <c r="AS287" t="n">
        <v>-1.590548448</v>
      </c>
      <c r="AT287" t="n">
        <v>0.481952559</v>
      </c>
      <c r="AU287" t="n">
        <v>1.096245511</v>
      </c>
    </row>
    <row r="288">
      <c r="A288" t="inlineStr">
        <is>
          <t>2018-Q4</t>
        </is>
      </c>
      <c r="B288" s="87" t="n">
        <v>43466</v>
      </c>
      <c r="C288" t="n">
        <v>-1.418041698</v>
      </c>
      <c r="D288" t="n">
        <v>0.136150216</v>
      </c>
      <c r="E288" t="n">
        <v>1.02003855</v>
      </c>
      <c r="F288" t="n">
        <v>0.970500449</v>
      </c>
      <c r="G288" t="n">
        <v>-0.364053613</v>
      </c>
      <c r="H288" t="n">
        <v>0.340869542</v>
      </c>
      <c r="I288" t="n">
        <v>0.180941587</v>
      </c>
      <c r="J288" t="n">
        <v>0.898847912</v>
      </c>
      <c r="K288" t="n">
        <v>1.6</v>
      </c>
      <c r="L288" t="n">
        <v>0.698012498</v>
      </c>
      <c r="M288" t="n">
        <v>0.386536632</v>
      </c>
      <c r="N288" t="n">
        <v>0.499343436</v>
      </c>
      <c r="O288" t="n">
        <v>0.579982</v>
      </c>
      <c r="P288" t="n">
        <v>0.674983961</v>
      </c>
      <c r="Q288" t="n">
        <v>1.393908911</v>
      </c>
      <c r="R288" t="n">
        <v>0.626033</v>
      </c>
      <c r="S288" t="n">
        <v>0.114772045</v>
      </c>
      <c r="T288" t="n">
        <v>0.743402348</v>
      </c>
      <c r="U288" t="n">
        <v>0.274926</v>
      </c>
      <c r="V288" t="n">
        <v>0.335440843</v>
      </c>
      <c r="W288" t="n">
        <v>0.595649927</v>
      </c>
      <c r="X288" t="n">
        <v>1.08395702</v>
      </c>
      <c r="Y288" t="n">
        <v>1.56202</v>
      </c>
      <c r="Z288" t="n">
        <v>1.311751101</v>
      </c>
      <c r="AA288" t="n">
        <v>1.362119047</v>
      </c>
      <c r="AB288" t="n">
        <v>0.722858281</v>
      </c>
      <c r="AC288" t="n">
        <v>0.341441582</v>
      </c>
      <c r="AD288" t="n">
        <v>0.017806944</v>
      </c>
      <c r="AE288" t="n">
        <v>0.8220001810000001</v>
      </c>
      <c r="AF288" t="n">
        <v>0.501042019</v>
      </c>
      <c r="AG288" t="n">
        <v>0.931449203</v>
      </c>
      <c r="AH288" t="n">
        <v>-0.472465658</v>
      </c>
      <c r="AI288" t="n">
        <v>0.483386704</v>
      </c>
      <c r="AJ288" t="n">
        <v>0.033684589</v>
      </c>
      <c r="AK288" t="n">
        <v>1.228939912</v>
      </c>
      <c r="AL288" t="n">
        <v>0.223396361</v>
      </c>
      <c r="AM288" t="n">
        <v>0.8941008539999999</v>
      </c>
      <c r="AN288" t="n">
        <v>0.608994992</v>
      </c>
      <c r="AO288" t="n">
        <v>0.663966548</v>
      </c>
      <c r="AP288" t="n">
        <v>0.529065094</v>
      </c>
      <c r="AQ288" t="n">
        <v>1.352243324</v>
      </c>
      <c r="AR288" t="n">
        <v>1.465878678</v>
      </c>
      <c r="AS288" t="n">
        <v>-2.989464596</v>
      </c>
      <c r="AT288" t="n">
        <v>0.223141835</v>
      </c>
      <c r="AU288" t="n">
        <v>0.284185813</v>
      </c>
    </row>
    <row r="289">
      <c r="A289" t="inlineStr">
        <is>
          <t>2019-Q1</t>
        </is>
      </c>
      <c r="B289" s="87" t="n">
        <v>43556</v>
      </c>
      <c r="C289" t="n">
        <v>0.251178911</v>
      </c>
      <c r="D289" t="n">
        <v>0.417418933</v>
      </c>
      <c r="E289" t="n">
        <v>0.853556501</v>
      </c>
      <c r="F289" t="n">
        <v>0.258428393</v>
      </c>
      <c r="G289" t="n">
        <v>0.494089874</v>
      </c>
      <c r="H289" t="n">
        <v>0.09064085299999999</v>
      </c>
      <c r="I289" t="n">
        <v>0.300851287</v>
      </c>
      <c r="J289" t="n">
        <v>-0.129588197</v>
      </c>
      <c r="K289" t="n">
        <v>1.6</v>
      </c>
      <c r="L289" t="n">
        <v>0.890707918</v>
      </c>
      <c r="M289" t="n">
        <v>1.054195089</v>
      </c>
      <c r="N289" t="n">
        <v>0.690261714</v>
      </c>
      <c r="O289" t="n">
        <v>0.722548</v>
      </c>
      <c r="P289" t="n">
        <v>0.601311089</v>
      </c>
      <c r="Q289" t="n">
        <v>1.638823159</v>
      </c>
      <c r="R289" t="n">
        <v>0.80271</v>
      </c>
      <c r="S289" t="n">
        <v>0.735462707</v>
      </c>
      <c r="T289" t="n">
        <v>0.619836142</v>
      </c>
      <c r="U289" t="n">
        <v>0.56951</v>
      </c>
      <c r="V289" t="n">
        <v>0.641957711</v>
      </c>
      <c r="W289" t="n">
        <v>0.863195462</v>
      </c>
      <c r="X289" t="n">
        <v>1.718548399</v>
      </c>
      <c r="Y289" t="n">
        <v>1.10015</v>
      </c>
      <c r="Z289" t="n">
        <v>2.197541872</v>
      </c>
      <c r="AA289" t="n">
        <v>1.729103736</v>
      </c>
      <c r="AB289" t="n">
        <v>1.418521626</v>
      </c>
      <c r="AC289" t="n">
        <v>0.041288881</v>
      </c>
      <c r="AD289" t="n">
        <v>0.395754017</v>
      </c>
      <c r="AE289" t="n">
        <v>-0.199687643</v>
      </c>
      <c r="AF289" t="n">
        <v>1.392878636</v>
      </c>
      <c r="AG289" t="n">
        <v>1.063856908</v>
      </c>
      <c r="AH289" t="n">
        <v>0.078109446</v>
      </c>
      <c r="AI289" t="n">
        <v>0.610960228</v>
      </c>
      <c r="AJ289" t="n">
        <v>-0.251202415</v>
      </c>
      <c r="AK289" t="n">
        <v>0.388467368</v>
      </c>
      <c r="AL289" t="n">
        <v>0.616010513</v>
      </c>
      <c r="AM289" t="n">
        <v>1.850055278</v>
      </c>
      <c r="AN289" t="n">
        <v>0.881510282</v>
      </c>
      <c r="AO289" t="n">
        <v>-0.038077851</v>
      </c>
      <c r="AP289" t="n">
        <v>0.9083081160000001</v>
      </c>
      <c r="AQ289" t="n">
        <v>0.53444558</v>
      </c>
      <c r="AR289" t="n">
        <v>0.518260104</v>
      </c>
      <c r="AS289" t="n">
        <v>1.785917694</v>
      </c>
      <c r="AT289" t="n">
        <v>0.5977902899999999</v>
      </c>
      <c r="AU289" t="n">
        <v>-0.976457995</v>
      </c>
    </row>
    <row r="290">
      <c r="A290" t="inlineStr">
        <is>
          <t>2019-Q2</t>
        </is>
      </c>
      <c r="B290" s="87" t="n">
        <v>43647</v>
      </c>
      <c r="C290" t="n">
        <v>0.655196725</v>
      </c>
      <c r="D290" t="n">
        <v>0.69778376</v>
      </c>
      <c r="E290" t="n">
        <v>-0.5048813519999999</v>
      </c>
      <c r="F290" t="n">
        <v>0.445883491</v>
      </c>
      <c r="G290" t="n">
        <v>0.582385637</v>
      </c>
      <c r="H290" t="n">
        <v>0.990737829</v>
      </c>
      <c r="I290" t="n">
        <v>0.397020488</v>
      </c>
      <c r="J290" t="n">
        <v>1.475324448</v>
      </c>
      <c r="K290" t="n">
        <v>1.2</v>
      </c>
      <c r="L290" t="n">
        <v>0.78597745</v>
      </c>
      <c r="M290" t="n">
        <v>-0.492566052</v>
      </c>
      <c r="N290" t="n">
        <v>0.585703569</v>
      </c>
      <c r="O290" t="n">
        <v>0.186296</v>
      </c>
      <c r="P290" t="n">
        <v>0.365570965</v>
      </c>
      <c r="Q290" t="n">
        <v>0.36950333</v>
      </c>
      <c r="R290" t="n">
        <v>0.247453</v>
      </c>
      <c r="S290" t="n">
        <v>0.801876882</v>
      </c>
      <c r="T290" t="n">
        <v>0.555620561</v>
      </c>
      <c r="U290" t="n">
        <v>0.5049090000000001</v>
      </c>
      <c r="V290" t="n">
        <v>0.13273242</v>
      </c>
      <c r="W290" t="n">
        <v>0.766387289</v>
      </c>
      <c r="X290" t="n">
        <v>0.38128252</v>
      </c>
      <c r="Y290" t="n">
        <v>1.09663</v>
      </c>
      <c r="Z290" t="n">
        <v>2.219795011</v>
      </c>
      <c r="AA290" t="n">
        <v>-0.453727445</v>
      </c>
      <c r="AB290" t="n">
        <v>0.37089414</v>
      </c>
      <c r="AC290" t="n">
        <v>0.180636717</v>
      </c>
      <c r="AD290" t="n">
        <v>0.43407654</v>
      </c>
      <c r="AE290" t="n">
        <v>1.046022679</v>
      </c>
      <c r="AF290" t="n">
        <v>1.699706825</v>
      </c>
      <c r="AG290" t="n">
        <v>-0.087352736</v>
      </c>
      <c r="AH290" t="n">
        <v>-0.329378381</v>
      </c>
      <c r="AI290" t="n">
        <v>0.417040291</v>
      </c>
      <c r="AJ290" t="n">
        <v>0.160913358</v>
      </c>
      <c r="AK290" t="n">
        <v>0.551080908</v>
      </c>
      <c r="AL290" t="n">
        <v>0.581147035</v>
      </c>
      <c r="AM290" t="n">
        <v>0.679669226</v>
      </c>
      <c r="AN290" t="n">
        <v>0.56465027</v>
      </c>
      <c r="AO290" t="n">
        <v>2.261719554</v>
      </c>
      <c r="AP290" t="n">
        <v>0.345908913</v>
      </c>
      <c r="AQ290" t="n">
        <v>-0.285919304</v>
      </c>
      <c r="AR290" t="n">
        <v>0.483852309</v>
      </c>
      <c r="AS290" t="n">
        <v>2.379951147</v>
      </c>
      <c r="AT290" t="n">
        <v>0.792924408</v>
      </c>
      <c r="AU290" t="n">
        <v>0.488060389</v>
      </c>
    </row>
    <row r="291">
      <c r="A291" t="inlineStr">
        <is>
          <t>2019-Q3</t>
        </is>
      </c>
      <c r="B291" s="87" t="n">
        <v>43739</v>
      </c>
      <c r="C291" t="n">
        <v>0.156535524</v>
      </c>
      <c r="D291" t="n">
        <v>0.803162955</v>
      </c>
      <c r="E291" t="n">
        <v>0.29340821</v>
      </c>
      <c r="F291" t="n">
        <v>0.6852151990000001</v>
      </c>
      <c r="G291" t="n">
        <v>-0.013673393</v>
      </c>
      <c r="H291" t="n">
        <v>0.326642811</v>
      </c>
      <c r="I291" t="n">
        <v>0.545105298</v>
      </c>
      <c r="J291" t="n">
        <v>0.471222548</v>
      </c>
      <c r="K291" t="n">
        <v>1.3</v>
      </c>
      <c r="L291" t="n">
        <v>0.5484853</v>
      </c>
      <c r="M291" t="n">
        <v>0.410949135</v>
      </c>
      <c r="N291" t="n">
        <v>0.300415011</v>
      </c>
      <c r="O291" t="n">
        <v>0.248353</v>
      </c>
      <c r="P291" t="n">
        <v>0.37901041</v>
      </c>
      <c r="Q291" t="n">
        <v>0.745102759</v>
      </c>
      <c r="R291" t="n">
        <v>0.284764</v>
      </c>
      <c r="S291" t="n">
        <v>-0.066002015</v>
      </c>
      <c r="T291" t="n">
        <v>0.062630373</v>
      </c>
      <c r="U291" t="n">
        <v>0.433012</v>
      </c>
      <c r="V291" t="n">
        <v>0.45897235</v>
      </c>
      <c r="W291" t="n">
        <v>0.030562975</v>
      </c>
      <c r="X291" t="n">
        <v>1.14485206</v>
      </c>
      <c r="Y291" t="n">
        <v>0.90235</v>
      </c>
      <c r="Z291" t="n">
        <v>-0.416159683</v>
      </c>
      <c r="AA291" t="n">
        <v>-1.625665771</v>
      </c>
      <c r="AB291" t="n">
        <v>1.059416202</v>
      </c>
      <c r="AC291" t="n">
        <v>0.084291638</v>
      </c>
      <c r="AD291" t="n">
        <v>-0.115559701</v>
      </c>
      <c r="AE291" t="n">
        <v>0.405037445</v>
      </c>
      <c r="AF291" t="n">
        <v>-0.473383804</v>
      </c>
      <c r="AG291" t="n">
        <v>-0.479186534</v>
      </c>
      <c r="AH291" t="n">
        <v>0.713315841</v>
      </c>
      <c r="AI291" t="n">
        <v>0.36447798</v>
      </c>
      <c r="AJ291" t="n">
        <v>0.222669859</v>
      </c>
      <c r="AK291" t="n">
        <v>1.020071592</v>
      </c>
      <c r="AL291" t="n">
        <v>0.445159015</v>
      </c>
      <c r="AM291" t="n">
        <v>1.067604608</v>
      </c>
      <c r="AN291" t="n">
        <v>0.46238778</v>
      </c>
      <c r="AO291" t="n">
        <v>-0.978355601</v>
      </c>
      <c r="AP291" t="n">
        <v>0.237851052</v>
      </c>
      <c r="AQ291" t="n">
        <v>1.2744739</v>
      </c>
      <c r="AR291" t="n">
        <v>0.124386817</v>
      </c>
      <c r="AS291" t="n">
        <v>0.050625441</v>
      </c>
      <c r="AT291" t="n">
        <v>0.685498791</v>
      </c>
      <c r="AU291" t="n">
        <v>-0.019313641</v>
      </c>
    </row>
    <row r="292">
      <c r="A292" t="inlineStr">
        <is>
          <t>2019-Q4</t>
        </is>
      </c>
      <c r="B292" s="87" t="n">
        <v>43831</v>
      </c>
      <c r="C292" t="n">
        <v>-1.695708848</v>
      </c>
      <c r="D292" t="n">
        <v>0.390628883</v>
      </c>
      <c r="E292" t="n">
        <v>-0.34518005</v>
      </c>
      <c r="F292" t="n">
        <v>0.6537233609999999</v>
      </c>
      <c r="G292" t="n">
        <v>0.331737282</v>
      </c>
      <c r="H292" t="n">
        <v>0.300683754</v>
      </c>
      <c r="I292" t="n">
        <v>0.432749638</v>
      </c>
      <c r="J292" t="n">
        <v>-4.127033773</v>
      </c>
      <c r="K292" t="n">
        <v>1.6</v>
      </c>
      <c r="L292" t="n">
        <v>0.629132155</v>
      </c>
      <c r="M292" t="n">
        <v>-0.07441658700000001</v>
      </c>
      <c r="N292" t="n">
        <v>0.075177797</v>
      </c>
      <c r="O292" t="n">
        <v>-0.00732</v>
      </c>
      <c r="P292" t="n">
        <v>0.376576034</v>
      </c>
      <c r="Q292" t="n">
        <v>0.390955697</v>
      </c>
      <c r="R292" t="n">
        <v>0.048308</v>
      </c>
      <c r="S292" t="n">
        <v>-0.290253059</v>
      </c>
      <c r="T292" t="n">
        <v>-0.326294962</v>
      </c>
      <c r="U292" t="n">
        <v>-0.122191</v>
      </c>
      <c r="V292" t="n">
        <v>-0.044750089</v>
      </c>
      <c r="W292" t="n">
        <v>-0.233572254</v>
      </c>
      <c r="X292" t="n">
        <v>0.697253248</v>
      </c>
      <c r="Y292" t="n">
        <v>0.42794</v>
      </c>
      <c r="Z292" t="n">
        <v>1.200269745</v>
      </c>
      <c r="AA292" t="n">
        <v>3.664313367</v>
      </c>
      <c r="AB292" t="n">
        <v>1.096246646</v>
      </c>
      <c r="AC292" t="n">
        <v>-0.420040076</v>
      </c>
      <c r="AD292" t="n">
        <v>-2.390667495</v>
      </c>
      <c r="AE292" t="n">
        <v>1.288454855</v>
      </c>
      <c r="AF292" t="n">
        <v>-0.064707999</v>
      </c>
      <c r="AG292" t="n">
        <v>0.354241651</v>
      </c>
      <c r="AH292" t="n">
        <v>-1.256872189</v>
      </c>
      <c r="AI292" t="n">
        <v>0.504342086</v>
      </c>
      <c r="AJ292" t="n">
        <v>1.371612025</v>
      </c>
      <c r="AK292" t="n">
        <v>0.338224634</v>
      </c>
      <c r="AL292" t="n">
        <v>0.034592765</v>
      </c>
      <c r="AM292" t="n">
        <v>0.383954102</v>
      </c>
      <c r="AN292" t="n">
        <v>0.824613982</v>
      </c>
      <c r="AO292" t="n">
        <v>-0.452487734</v>
      </c>
      <c r="AP292" t="n">
        <v>0.512124896</v>
      </c>
      <c r="AQ292" t="n">
        <v>1.406335605</v>
      </c>
      <c r="AR292" t="n">
        <v>0.250406921</v>
      </c>
      <c r="AS292" t="n">
        <v>1.364629963</v>
      </c>
      <c r="AT292" t="n">
        <v>0.469097618</v>
      </c>
      <c r="AU292" t="n">
        <v>0.063450117</v>
      </c>
    </row>
    <row r="293">
      <c r="A293" t="inlineStr">
        <is>
          <t>2020-Q1</t>
        </is>
      </c>
      <c r="B293" s="87" t="n">
        <v>43922</v>
      </c>
      <c r="C293" t="n">
        <v>-3.935866208</v>
      </c>
      <c r="D293" t="n">
        <v>-0.293663366</v>
      </c>
      <c r="E293" t="n">
        <v>-2.491500946</v>
      </c>
      <c r="F293" t="n">
        <v>-3.138105054</v>
      </c>
      <c r="G293" t="n">
        <v>-2.27094942</v>
      </c>
      <c r="H293" t="n">
        <v>-2.157302609</v>
      </c>
      <c r="I293" t="n">
        <v>-1.525963914</v>
      </c>
      <c r="J293" t="n">
        <v>2.190149541</v>
      </c>
      <c r="K293" t="n">
        <v>-9.5</v>
      </c>
      <c r="L293" t="n">
        <v>-3.372280064</v>
      </c>
      <c r="M293" t="n">
        <v>-1.763973605</v>
      </c>
      <c r="N293" t="n">
        <v>-0.7352851929999999</v>
      </c>
      <c r="O293" t="n">
        <v>-3.467161</v>
      </c>
      <c r="P293" t="n">
        <v>-5.391222646</v>
      </c>
      <c r="Q293" t="n">
        <v>-1.176268083</v>
      </c>
      <c r="R293" t="n">
        <v>-3.059855</v>
      </c>
      <c r="S293" t="n">
        <v>-0.371280657</v>
      </c>
      <c r="T293" t="n">
        <v>-5.697113611</v>
      </c>
      <c r="U293" t="n">
        <v>-1.904933</v>
      </c>
      <c r="V293" t="n">
        <v>-2.637367304</v>
      </c>
      <c r="W293" t="n">
        <v>-1.584829399</v>
      </c>
      <c r="X293" t="n">
        <v>-0.477071637</v>
      </c>
      <c r="Y293" t="n">
        <v>0.19849</v>
      </c>
      <c r="Z293" t="n">
        <v>3.671036615</v>
      </c>
      <c r="AA293" t="n">
        <v>-4.817725092</v>
      </c>
      <c r="AB293" t="n">
        <v>-1.238032281</v>
      </c>
      <c r="AC293" t="n">
        <v>-5.719781755</v>
      </c>
      <c r="AD293" t="n">
        <v>0.306256053</v>
      </c>
      <c r="AE293" t="n">
        <v>-1.261506728</v>
      </c>
      <c r="AF293" t="n">
        <v>-1.10600359</v>
      </c>
      <c r="AG293" t="n">
        <v>-1.125220872</v>
      </c>
      <c r="AH293" t="n">
        <v>-0.812760569</v>
      </c>
      <c r="AI293" t="n">
        <v>-1.643390807</v>
      </c>
      <c r="AJ293" t="n">
        <v>-1.275094684</v>
      </c>
      <c r="AK293" t="n">
        <v>-1.273263293</v>
      </c>
      <c r="AL293" t="n">
        <v>-1.719663379</v>
      </c>
      <c r="AM293" t="n">
        <v>0.074834126</v>
      </c>
      <c r="AN293" t="n">
        <v>-4.414527861</v>
      </c>
      <c r="AO293" t="n">
        <v>-0.196323318</v>
      </c>
      <c r="AP293" t="n">
        <v>-3.869966262</v>
      </c>
      <c r="AQ293" t="n">
        <v>-4.649634927</v>
      </c>
      <c r="AR293" t="n">
        <v>-0.8272315260000001</v>
      </c>
      <c r="AS293" t="n">
        <v>0.446242923</v>
      </c>
      <c r="AT293" t="n">
        <v>-1.303582746</v>
      </c>
      <c r="AU293" t="n">
        <v>0.136212206</v>
      </c>
    </row>
    <row r="294">
      <c r="A294" t="inlineStr">
        <is>
          <t>2020-Q2</t>
        </is>
      </c>
      <c r="B294" s="87" t="n">
        <v>44013</v>
      </c>
      <c r="C294" t="n">
        <v>-15.119921737</v>
      </c>
      <c r="D294" t="n">
        <v>-6.792819309</v>
      </c>
      <c r="E294" t="n">
        <v>-11.408046963</v>
      </c>
      <c r="F294" t="n">
        <v>-11.63914878</v>
      </c>
      <c r="G294" t="n">
        <v>-8.854261874000001</v>
      </c>
      <c r="H294" t="n">
        <v>-11.042537245</v>
      </c>
      <c r="I294" t="n">
        <v>-6.155122417</v>
      </c>
      <c r="J294" t="n">
        <v>-12.29393248</v>
      </c>
      <c r="K294" t="n">
        <v>10.7</v>
      </c>
      <c r="L294" t="n">
        <v>-8.909868803</v>
      </c>
      <c r="M294" t="n">
        <v>-9.996215611</v>
      </c>
      <c r="N294" t="n">
        <v>-6.2770224</v>
      </c>
      <c r="O294" t="n">
        <v>-11.68216</v>
      </c>
      <c r="P294" t="n">
        <v>-17.652092761</v>
      </c>
      <c r="Q294" t="n">
        <v>-5.996577656</v>
      </c>
      <c r="R294" t="n">
        <v>-11.297342</v>
      </c>
      <c r="S294" t="n">
        <v>-6.400027994</v>
      </c>
      <c r="T294" t="n">
        <v>-13.464232562</v>
      </c>
      <c r="U294" t="n">
        <v>-10.4072</v>
      </c>
      <c r="V294" t="n">
        <v>-19.449477922</v>
      </c>
      <c r="W294" t="n">
        <v>-14.152196136</v>
      </c>
      <c r="X294" t="n">
        <v>-14.42966185</v>
      </c>
      <c r="Y294" t="n">
        <v>-25.33246</v>
      </c>
      <c r="Z294" t="n">
        <v>-3.317646663</v>
      </c>
      <c r="AA294" t="n">
        <v>-7.746170959</v>
      </c>
      <c r="AB294" t="n">
        <v>-9.130092442</v>
      </c>
      <c r="AC294" t="n">
        <v>-12.870385779</v>
      </c>
      <c r="AD294" t="n">
        <v>-8.047666770999999</v>
      </c>
      <c r="AE294" t="n">
        <v>-3.150738208</v>
      </c>
      <c r="AF294" t="n">
        <v>-6.198504619</v>
      </c>
      <c r="AG294" t="n">
        <v>-7.318685609</v>
      </c>
      <c r="AH294" t="n">
        <v>-17.782610597</v>
      </c>
      <c r="AI294" t="n">
        <v>-8.375905344</v>
      </c>
      <c r="AJ294" t="n">
        <v>-4.65964153</v>
      </c>
      <c r="AK294" t="n">
        <v>-10.269196739</v>
      </c>
      <c r="AL294" t="n">
        <v>-10.459321445</v>
      </c>
      <c r="AM294" t="n">
        <v>-9.216432037000001</v>
      </c>
      <c r="AN294" t="n">
        <v>-15.249695489</v>
      </c>
      <c r="AO294" t="n">
        <v>-4.485002074</v>
      </c>
      <c r="AP294" t="n">
        <v>-7.221938842</v>
      </c>
      <c r="AQ294" t="n">
        <v>-9.440727033</v>
      </c>
      <c r="AR294" t="n">
        <v>-7.870017989</v>
      </c>
      <c r="AS294" t="n">
        <v>-10.769850757</v>
      </c>
      <c r="AT294" t="n">
        <v>-8.937250500999999</v>
      </c>
      <c r="AU294" t="n">
        <v>-17.39410026</v>
      </c>
    </row>
    <row r="295">
      <c r="A295" t="inlineStr">
        <is>
          <t>2020-Q3</t>
        </is>
      </c>
      <c r="B295" s="87" t="n">
        <v>44105</v>
      </c>
      <c r="C295" t="n">
        <v>11.907713152</v>
      </c>
      <c r="D295" t="n">
        <v>3.416049809</v>
      </c>
      <c r="E295" t="n">
        <v>10.907848609</v>
      </c>
      <c r="F295" t="n">
        <v>11.882986785</v>
      </c>
      <c r="G295" t="n">
        <v>7.768280673</v>
      </c>
      <c r="H295" t="n">
        <v>8.983958377</v>
      </c>
      <c r="I295" t="n">
        <v>6.317282161</v>
      </c>
      <c r="J295" t="n">
        <v>5.016761185</v>
      </c>
      <c r="K295" t="n">
        <v>2.9</v>
      </c>
      <c r="L295" t="n">
        <v>6.752652191</v>
      </c>
      <c r="M295" t="n">
        <v>9.043062505</v>
      </c>
      <c r="N295" t="n">
        <v>5.985718174</v>
      </c>
      <c r="O295" t="n">
        <v>12.550886</v>
      </c>
      <c r="P295" t="n">
        <v>16.798457005</v>
      </c>
      <c r="Q295" t="n">
        <v>3.691732017</v>
      </c>
      <c r="R295" t="n">
        <v>11.683211</v>
      </c>
      <c r="S295" t="n">
        <v>4.74971027</v>
      </c>
      <c r="T295" t="n">
        <v>18.5217501</v>
      </c>
      <c r="U295" t="n">
        <v>9.401547000000001</v>
      </c>
      <c r="V295" t="n">
        <v>17.57247971</v>
      </c>
      <c r="W295" t="n">
        <v>5.586256642</v>
      </c>
      <c r="X295" t="n">
        <v>11.357065945</v>
      </c>
      <c r="Y295" t="n">
        <v>24.05909</v>
      </c>
      <c r="Z295" t="n">
        <v>9.468730216999999</v>
      </c>
      <c r="AA295" t="n">
        <v>2.38561419</v>
      </c>
      <c r="AB295" t="n">
        <v>8.712226299999999</v>
      </c>
      <c r="AC295" t="n">
        <v>15.621339325</v>
      </c>
      <c r="AD295" t="n">
        <v>5.108688104</v>
      </c>
      <c r="AE295" t="n">
        <v>2.233424391</v>
      </c>
      <c r="AF295" t="n">
        <v>7.845117551</v>
      </c>
      <c r="AG295" t="n">
        <v>5.669371547</v>
      </c>
      <c r="AH295" t="n">
        <v>13.770805801</v>
      </c>
      <c r="AI295" t="n">
        <v>7.505689788</v>
      </c>
      <c r="AJ295" t="n">
        <v>4.512725081</v>
      </c>
      <c r="AK295" t="n">
        <v>13.854537373</v>
      </c>
      <c r="AL295" t="n">
        <v>9.392364878</v>
      </c>
      <c r="AM295" t="n">
        <v>7.536392641</v>
      </c>
      <c r="AN295" t="n">
        <v>14.672635056</v>
      </c>
      <c r="AO295" t="n">
        <v>2.7780786</v>
      </c>
      <c r="AP295" t="n">
        <v>9.079292112999999</v>
      </c>
      <c r="AQ295" t="n">
        <v>11.892216732</v>
      </c>
      <c r="AR295" t="n">
        <v>6.899812968</v>
      </c>
      <c r="AS295" t="n">
        <v>16.400501819</v>
      </c>
      <c r="AT295" t="n">
        <v>7.547534636</v>
      </c>
      <c r="AU295" t="n">
        <v>13.892531694</v>
      </c>
    </row>
    <row r="296">
      <c r="A296" t="inlineStr">
        <is>
          <t>2020-Q4</t>
        </is>
      </c>
      <c r="B296" s="87" t="n">
        <v>44197</v>
      </c>
      <c r="C296" t="n">
        <v>4.491583346</v>
      </c>
      <c r="D296" t="n">
        <v>3.268596012</v>
      </c>
      <c r="E296" t="n">
        <v>-2.039615914</v>
      </c>
      <c r="F296" t="n">
        <v>-0.138247138</v>
      </c>
      <c r="G296" t="n">
        <v>3.11472654</v>
      </c>
      <c r="H296" t="n">
        <v>2.192421261</v>
      </c>
      <c r="I296" t="n">
        <v>-0.09002468800000001</v>
      </c>
      <c r="J296" t="n">
        <v>6.08395698</v>
      </c>
      <c r="K296" t="n">
        <v>3.2</v>
      </c>
      <c r="L296" t="n">
        <v>0.73714194</v>
      </c>
      <c r="M296" t="n">
        <v>0.743386255</v>
      </c>
      <c r="N296" t="n">
        <v>0.885010722</v>
      </c>
      <c r="O296" t="n">
        <v>-0.350052</v>
      </c>
      <c r="P296" t="n">
        <v>0.222620107</v>
      </c>
      <c r="Q296" t="n">
        <v>2.503079097</v>
      </c>
      <c r="R296" t="n">
        <v>-0.164794</v>
      </c>
      <c r="S296" t="n">
        <v>0.7708917</v>
      </c>
      <c r="T296" t="n">
        <v>-1.053527873</v>
      </c>
      <c r="U296" t="n">
        <v>0.9629180000000001</v>
      </c>
      <c r="V296" t="n">
        <v>1.50247662</v>
      </c>
      <c r="W296" t="n">
        <v>3.861254091</v>
      </c>
      <c r="X296" t="n">
        <v>1.818575188</v>
      </c>
      <c r="Y296" t="n">
        <v>8.57818</v>
      </c>
      <c r="Z296" t="n">
        <v>-4.680927391</v>
      </c>
      <c r="AA296" t="n">
        <v>5.192984196</v>
      </c>
      <c r="AB296" t="n">
        <v>2.513928029</v>
      </c>
      <c r="AC296" t="n">
        <v>-1.625558716</v>
      </c>
      <c r="AD296" t="n">
        <v>2.309878022</v>
      </c>
      <c r="AE296" t="n">
        <v>1.142221229</v>
      </c>
      <c r="AF296" t="n">
        <v>0.649784565</v>
      </c>
      <c r="AG296" t="n">
        <v>1.416810177</v>
      </c>
      <c r="AH296" t="n">
        <v>2.903531885</v>
      </c>
      <c r="AI296" t="n">
        <v>0.000274621</v>
      </c>
      <c r="AJ296" t="n">
        <v>0.561372744</v>
      </c>
      <c r="AK296" t="n">
        <v>-0.363241369</v>
      </c>
      <c r="AL296" t="n">
        <v>1.069467237</v>
      </c>
      <c r="AM296" t="n">
        <v>-0.240019218</v>
      </c>
      <c r="AN296" t="n">
        <v>0.275105523</v>
      </c>
      <c r="AO296" t="n">
        <v>0.739743224</v>
      </c>
      <c r="AP296" t="n">
        <v>0.44844978</v>
      </c>
      <c r="AQ296" t="n">
        <v>-0.165896491</v>
      </c>
      <c r="AR296" t="n">
        <v>0.322465464</v>
      </c>
      <c r="AS296" t="n">
        <v>1.202524785</v>
      </c>
      <c r="AT296" t="n">
        <v>1.115276766</v>
      </c>
      <c r="AU296" t="n">
        <v>2.548716912</v>
      </c>
    </row>
    <row r="297">
      <c r="A297" t="inlineStr">
        <is>
          <t>2021-Q1</t>
        </is>
      </c>
      <c r="B297" s="87" t="n">
        <v>44287</v>
      </c>
      <c r="C297" t="n">
        <v>3.308721041</v>
      </c>
      <c r="D297" t="n">
        <v>1.820594162</v>
      </c>
      <c r="E297" t="n">
        <v>-0.355124374</v>
      </c>
      <c r="F297" t="n">
        <v>1.244088489</v>
      </c>
      <c r="G297" t="n">
        <v>1.34346477</v>
      </c>
      <c r="H297" t="n">
        <v>1.204702201</v>
      </c>
      <c r="I297" t="n">
        <v>-0.140820194</v>
      </c>
      <c r="J297" t="n">
        <v>3.803467929</v>
      </c>
      <c r="K297" t="n">
        <v>0.2</v>
      </c>
      <c r="L297" t="n">
        <v>-0.422717558</v>
      </c>
      <c r="M297" t="n">
        <v>-1.868714068</v>
      </c>
      <c r="N297" t="n">
        <v>-0.39883737</v>
      </c>
      <c r="O297" t="n">
        <v>-0.204747</v>
      </c>
      <c r="P297" t="n">
        <v>-0.632035043</v>
      </c>
      <c r="Q297" t="n">
        <v>3.420953579</v>
      </c>
      <c r="R297" t="n">
        <v>-0.002665</v>
      </c>
      <c r="S297" t="n">
        <v>0.285102088</v>
      </c>
      <c r="T297" t="n">
        <v>0.054859749</v>
      </c>
      <c r="U297" t="n">
        <v>0.455319</v>
      </c>
      <c r="V297" t="n">
        <v>-1.263182972</v>
      </c>
      <c r="W297" t="n">
        <v>4.198360816</v>
      </c>
      <c r="X297" t="n">
        <v>1.507486977</v>
      </c>
      <c r="Y297" t="n">
        <v>0.37114</v>
      </c>
      <c r="Z297" t="n">
        <v>10.028382225</v>
      </c>
      <c r="AA297" t="n">
        <v>-3.169453454</v>
      </c>
      <c r="AB297" t="n">
        <v>-0.551243854</v>
      </c>
      <c r="AC297" t="n">
        <v>0.277518884</v>
      </c>
      <c r="AD297" t="n">
        <v>-0.723071716</v>
      </c>
      <c r="AE297" t="n">
        <v>1.740407308</v>
      </c>
      <c r="AF297" t="n">
        <v>3.671786076</v>
      </c>
      <c r="AG297" t="n">
        <v>0.440754525</v>
      </c>
      <c r="AH297" t="n">
        <v>1.010522659</v>
      </c>
      <c r="AI297" t="n">
        <v>-0.776676402</v>
      </c>
      <c r="AJ297" t="n">
        <v>-0.17169704</v>
      </c>
      <c r="AK297" t="n">
        <v>1.459561288</v>
      </c>
      <c r="AL297" t="n">
        <v>0.707405626</v>
      </c>
      <c r="AM297" t="n">
        <v>1.561996353</v>
      </c>
      <c r="AN297" t="n">
        <v>-3.259662244</v>
      </c>
      <c r="AO297" t="n">
        <v>0.680789326</v>
      </c>
      <c r="AP297" t="n">
        <v>-1.352691213</v>
      </c>
      <c r="AQ297" t="n">
        <v>1.530003644</v>
      </c>
      <c r="AR297" t="n">
        <v>1.2171433</v>
      </c>
      <c r="AS297" t="n">
        <v>2.428416455</v>
      </c>
      <c r="AT297" t="n">
        <v>1.533889627</v>
      </c>
      <c r="AU297" t="n">
        <v>0.924971075</v>
      </c>
    </row>
    <row r="298">
      <c r="A298" t="inlineStr">
        <is>
          <t>2021-Q2</t>
        </is>
      </c>
      <c r="B298" s="87" t="n">
        <v>44378</v>
      </c>
      <c r="C298" t="n">
        <v>-0.93871056</v>
      </c>
      <c r="D298" t="n">
        <v>0.703263543</v>
      </c>
      <c r="E298" t="n">
        <v>4.180354266</v>
      </c>
      <c r="F298" t="n">
        <v>1.728030247</v>
      </c>
      <c r="G298" t="n">
        <v>-0.351164359</v>
      </c>
      <c r="H298" t="n">
        <v>-0.798903494</v>
      </c>
      <c r="I298" t="n">
        <v>1.791075012</v>
      </c>
      <c r="J298" t="n">
        <v>1.610932645</v>
      </c>
      <c r="K298" t="n">
        <v>1.2</v>
      </c>
      <c r="L298" t="n">
        <v>1.300949566</v>
      </c>
      <c r="M298" t="n">
        <v>2.021482101</v>
      </c>
      <c r="N298" t="n">
        <v>2.201475428</v>
      </c>
      <c r="O298" t="n">
        <v>2.191025</v>
      </c>
      <c r="P298" t="n">
        <v>1.057395704</v>
      </c>
      <c r="Q298" t="n">
        <v>2.298989468</v>
      </c>
      <c r="R298" t="n">
        <v>2.092405</v>
      </c>
      <c r="S298" t="n">
        <v>2.037717192</v>
      </c>
      <c r="T298" t="n">
        <v>1.266637042</v>
      </c>
      <c r="U298" t="n">
        <v>1.749718</v>
      </c>
      <c r="V298" t="n">
        <v>5.431991437</v>
      </c>
      <c r="W298" t="n">
        <v>2.053339788</v>
      </c>
      <c r="X298" t="n">
        <v>1.95422007</v>
      </c>
      <c r="Y298" t="n">
        <v>-11.61151</v>
      </c>
      <c r="Z298" t="n">
        <v>5.24604534</v>
      </c>
      <c r="AA298" t="n">
        <v>4.164506597</v>
      </c>
      <c r="AB298" t="n">
        <v>3.268902189</v>
      </c>
      <c r="AC298" t="n">
        <v>2.670427691</v>
      </c>
      <c r="AD298" t="n">
        <v>0.489427817</v>
      </c>
      <c r="AE298" t="n">
        <v>0.770711605</v>
      </c>
      <c r="AF298" t="n">
        <v>0.040823949</v>
      </c>
      <c r="AG298" t="n">
        <v>2.496724663</v>
      </c>
      <c r="AH298" t="n">
        <v>1.151107886</v>
      </c>
      <c r="AI298" t="n">
        <v>3.757366824</v>
      </c>
      <c r="AJ298" t="n">
        <v>0.950436867</v>
      </c>
      <c r="AK298" t="n">
        <v>2.425133327</v>
      </c>
      <c r="AL298" t="n">
        <v>1.677109449</v>
      </c>
      <c r="AM298" t="n">
        <v>1.799566922</v>
      </c>
      <c r="AN298" t="n">
        <v>4.394549712</v>
      </c>
      <c r="AO298" t="n">
        <v>3.190933741</v>
      </c>
      <c r="AP298" t="n">
        <v>1.890770751</v>
      </c>
      <c r="AQ298" t="n">
        <v>2.015757126</v>
      </c>
      <c r="AR298" t="n">
        <v>0.959411382</v>
      </c>
      <c r="AS298" t="n">
        <v>1.501480423</v>
      </c>
      <c r="AT298" t="n">
        <v>1.64074654</v>
      </c>
      <c r="AU298" t="n">
        <v>1.05664782</v>
      </c>
    </row>
    <row r="299">
      <c r="A299" t="inlineStr">
        <is>
          <t>2021-Q3</t>
        </is>
      </c>
      <c r="B299" s="87" t="n">
        <v>44470</v>
      </c>
      <c r="C299" t="n">
        <v>4.077285449</v>
      </c>
      <c r="D299" t="n">
        <v>-1.922074081</v>
      </c>
      <c r="E299" t="n">
        <v>3.813261007</v>
      </c>
      <c r="F299" t="n">
        <v>2.037870655</v>
      </c>
      <c r="G299" t="n">
        <v>-0.093843652</v>
      </c>
      <c r="H299" t="n">
        <v>1.335114906</v>
      </c>
      <c r="I299" t="n">
        <v>1.669700244</v>
      </c>
      <c r="J299" t="n">
        <v>4.871960657</v>
      </c>
      <c r="K299" t="n">
        <v>0.2</v>
      </c>
      <c r="L299" t="n">
        <v>1.497604755</v>
      </c>
      <c r="M299" t="n">
        <v>1.694275412</v>
      </c>
      <c r="N299" t="n">
        <v>0.852936225</v>
      </c>
      <c r="O299" t="n">
        <v>2.193714</v>
      </c>
      <c r="P299" t="n">
        <v>2.012260564</v>
      </c>
      <c r="Q299" t="n">
        <v>0.656666247</v>
      </c>
      <c r="R299" t="n">
        <v>2.09682</v>
      </c>
      <c r="S299" t="n">
        <v>0.7943100400000001</v>
      </c>
      <c r="T299" t="n">
        <v>3.011177346</v>
      </c>
      <c r="U299" t="n">
        <v>0.891716</v>
      </c>
      <c r="V299" t="n">
        <v>1.061229086</v>
      </c>
      <c r="W299" t="n">
        <v>2.710975458</v>
      </c>
      <c r="X299" t="n">
        <v>0.666547177</v>
      </c>
      <c r="Y299" t="n">
        <v>12.6866</v>
      </c>
      <c r="Z299" t="n">
        <v>0.945630169</v>
      </c>
      <c r="AA299" t="n">
        <v>-2.294430396</v>
      </c>
      <c r="AB299" t="n">
        <v>0.5829862810000001</v>
      </c>
      <c r="AC299" t="n">
        <v>2.632432935</v>
      </c>
      <c r="AD299" t="n">
        <v>-0.902682323</v>
      </c>
      <c r="AE299" t="n">
        <v>0.311163633</v>
      </c>
      <c r="AF299" t="n">
        <v>0.908537628</v>
      </c>
      <c r="AG299" t="n">
        <v>0.6215931609999999</v>
      </c>
      <c r="AH299" t="n">
        <v>-0.433415993</v>
      </c>
      <c r="AI299" t="n">
        <v>1.949334679</v>
      </c>
      <c r="AJ299" t="n">
        <v>3.809324154</v>
      </c>
      <c r="AK299" t="n">
        <v>-3.677619402</v>
      </c>
      <c r="AL299" t="n">
        <v>1.1</v>
      </c>
      <c r="AM299" t="n">
        <v>2.280504381</v>
      </c>
      <c r="AN299" t="n">
        <v>2.884061122</v>
      </c>
      <c r="AO299" t="n">
        <v>-0.794505895</v>
      </c>
      <c r="AP299" t="n">
        <v>0.374491642</v>
      </c>
      <c r="AQ299" t="n">
        <v>1.324025237</v>
      </c>
      <c r="AR299" t="n">
        <v>1.980230971</v>
      </c>
      <c r="AS299" t="n">
        <v>2.709424091</v>
      </c>
      <c r="AT299" t="n">
        <v>0.570948111</v>
      </c>
      <c r="AU299" t="n">
        <v>-1.489657575</v>
      </c>
    </row>
    <row r="300">
      <c r="A300" t="inlineStr">
        <is>
          <t>2021-Q4</t>
        </is>
      </c>
      <c r="B300" s="87" t="n">
        <v>44562</v>
      </c>
      <c r="K300" t="n">
        <v>1.6</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3.xml><?xml version="1.0" encoding="utf-8"?>
<worksheet xmlns="http://schemas.openxmlformats.org/spreadsheetml/2006/main">
  <sheetPr codeName="Sheet4">
    <tabColor theme="6"/>
    <outlinePr summaryBelow="1" summaryRight="1"/>
    <pageSetUpPr/>
  </sheetPr>
  <dimension ref="A1:AW304"/>
  <sheetViews>
    <sheetView topLeftCell="A258" workbookViewId="0">
      <selection activeCell="L39" sqref="L39"/>
    </sheetView>
  </sheetViews>
  <sheetFormatPr baseColWidth="10" defaultColWidth="9.1640625" defaultRowHeight="15"/>
  <cols>
    <col width="9.1640625" customWidth="1" style="68" min="1" max="1"/>
    <col width="11.1640625" customWidth="1" style="68" min="2" max="2"/>
    <col width="9.1640625" customWidth="1" style="2" min="3" max="5"/>
    <col width="10.6640625" bestFit="1" customWidth="1" style="2" min="6" max="6"/>
    <col width="10.6640625" customWidth="1" style="2" min="7" max="7"/>
    <col width="9.1640625" customWidth="1" style="2" min="8" max="46"/>
    <col width="9.1640625" customWidth="1" style="68" min="47" max="51"/>
    <col width="9.1640625" customWidth="1" style="68" min="52" max="16384"/>
  </cols>
  <sheetData>
    <row r="1">
      <c r="A1" t="inlineStr">
        <is>
          <t>QTR</t>
        </is>
      </c>
      <c r="B1" t="inlineStr">
        <is>
          <t>DATE</t>
        </is>
      </c>
      <c r="C1" t="inlineStr">
        <is>
          <t>ARG</t>
        </is>
      </c>
      <c r="D1" t="inlineStr">
        <is>
          <t>AUS</t>
        </is>
      </c>
      <c r="E1" t="inlineStr">
        <is>
          <t>AUT</t>
        </is>
      </c>
      <c r="F1" t="inlineStr">
        <is>
          <t>BEL</t>
        </is>
      </c>
      <c r="G1" t="inlineStr">
        <is>
          <t>BRA</t>
        </is>
      </c>
      <c r="H1" t="inlineStr">
        <is>
          <t>CAN</t>
        </is>
      </c>
      <c r="I1" t="inlineStr">
        <is>
          <t>CHE</t>
        </is>
      </c>
      <c r="J1" t="inlineStr">
        <is>
          <t>CHL</t>
        </is>
      </c>
      <c r="K1" t="inlineStr">
        <is>
          <t>CHN</t>
        </is>
      </c>
      <c r="L1" t="inlineStr">
        <is>
          <t>CZE</t>
        </is>
      </c>
      <c r="M1" t="inlineStr">
        <is>
          <t>DEU</t>
        </is>
      </c>
      <c r="N1" t="inlineStr">
        <is>
          <t>DNK</t>
        </is>
      </c>
      <c r="O1" t="inlineStr">
        <is>
          <t>EA19</t>
        </is>
      </c>
      <c r="P1" t="inlineStr">
        <is>
          <t>ESP</t>
        </is>
      </c>
      <c r="Q1" t="inlineStr">
        <is>
          <t>EST</t>
        </is>
      </c>
      <c r="R1" t="inlineStr">
        <is>
          <t>EU27_2020</t>
        </is>
      </c>
      <c r="S1" t="inlineStr">
        <is>
          <t>EU28</t>
        </is>
      </c>
      <c r="T1" t="inlineStr">
        <is>
          <t>FIN</t>
        </is>
      </c>
      <c r="U1" t="inlineStr">
        <is>
          <t>FRA</t>
        </is>
      </c>
      <c r="V1" t="inlineStr">
        <is>
          <t>G-7</t>
        </is>
      </c>
      <c r="W1" t="inlineStr">
        <is>
          <t>G7</t>
        </is>
      </c>
      <c r="X1" t="inlineStr">
        <is>
          <t>GBR</t>
        </is>
      </c>
      <c r="Y1" t="inlineStr">
        <is>
          <t>GRC</t>
        </is>
      </c>
      <c r="Z1" t="inlineStr">
        <is>
          <t>HUN</t>
        </is>
      </c>
      <c r="AA1" t="inlineStr">
        <is>
          <t>IND</t>
        </is>
      </c>
      <c r="AB1" t="inlineStr">
        <is>
          <t>IRL</t>
        </is>
      </c>
      <c r="AC1" t="inlineStr">
        <is>
          <t>ISL</t>
        </is>
      </c>
      <c r="AD1" t="inlineStr">
        <is>
          <t>ISR</t>
        </is>
      </c>
      <c r="AE1" t="inlineStr">
        <is>
          <t>ITA</t>
        </is>
      </c>
      <c r="AF1" t="inlineStr">
        <is>
          <t>JPN</t>
        </is>
      </c>
      <c r="AG1" t="inlineStr">
        <is>
          <t>KOR</t>
        </is>
      </c>
      <c r="AH1" t="inlineStr">
        <is>
          <t>LUX</t>
        </is>
      </c>
      <c r="AI1" t="inlineStr">
        <is>
          <t>LVA</t>
        </is>
      </c>
      <c r="AJ1" t="inlineStr">
        <is>
          <t>MEX</t>
        </is>
      </c>
      <c r="AK1" t="inlineStr">
        <is>
          <t>NLD</t>
        </is>
      </c>
      <c r="AL1" t="inlineStr">
        <is>
          <t>NOR</t>
        </is>
      </c>
      <c r="AM1" t="inlineStr">
        <is>
          <t>NZL</t>
        </is>
      </c>
      <c r="AN1" t="inlineStr">
        <is>
          <t>OECD</t>
        </is>
      </c>
      <c r="AO1" t="inlineStr">
        <is>
          <t>POL</t>
        </is>
      </c>
      <c r="AP1" t="inlineStr">
        <is>
          <t>PRT</t>
        </is>
      </c>
      <c r="AQ1" t="inlineStr">
        <is>
          <t>RUS</t>
        </is>
      </c>
      <c r="AR1" t="inlineStr">
        <is>
          <t>SVK</t>
        </is>
      </c>
      <c r="AS1" t="inlineStr">
        <is>
          <t>SVN</t>
        </is>
      </c>
      <c r="AT1" t="inlineStr">
        <is>
          <t>SWE</t>
        </is>
      </c>
      <c r="AU1" t="inlineStr">
        <is>
          <t>TUR</t>
        </is>
      </c>
      <c r="AV1" t="inlineStr">
        <is>
          <t>USA</t>
        </is>
      </c>
      <c r="AW1" t="inlineStr">
        <is>
          <t>ZAF</t>
        </is>
      </c>
    </row>
    <row r="2">
      <c r="A2" t="inlineStr">
        <is>
          <t>1947-Q2</t>
        </is>
      </c>
      <c r="B2" s="87" t="n">
        <v>17349</v>
      </c>
    </row>
    <row r="3">
      <c r="A3" t="inlineStr">
        <is>
          <t>1947-Q3</t>
        </is>
      </c>
      <c r="B3" s="87" t="n">
        <v>17441</v>
      </c>
    </row>
    <row r="4">
      <c r="A4" t="inlineStr">
        <is>
          <t>1947-Q4</t>
        </is>
      </c>
      <c r="B4" s="87" t="n">
        <v>17533</v>
      </c>
    </row>
    <row r="5">
      <c r="A5" t="inlineStr">
        <is>
          <t>1948-Q1</t>
        </is>
      </c>
      <c r="B5" s="87" t="n">
        <v>17624</v>
      </c>
      <c r="AV5" t="n">
        <v>2.604733466</v>
      </c>
    </row>
    <row r="6">
      <c r="A6" t="inlineStr">
        <is>
          <t>1948-Q2</t>
        </is>
      </c>
      <c r="B6" s="87" t="n">
        <v>17715</v>
      </c>
      <c r="AV6" t="n">
        <v>4.577323876</v>
      </c>
    </row>
    <row r="7">
      <c r="A7" t="inlineStr">
        <is>
          <t>1948-Q3</t>
        </is>
      </c>
      <c r="B7" s="87" t="n">
        <v>17807</v>
      </c>
      <c r="AV7" t="n">
        <v>5.394121197</v>
      </c>
    </row>
    <row r="8">
      <c r="A8" t="inlineStr">
        <is>
          <t>1948-Q4</t>
        </is>
      </c>
      <c r="B8" s="87" t="n">
        <v>17899</v>
      </c>
      <c r="AV8" t="n">
        <v>3.886782838</v>
      </c>
    </row>
    <row r="9">
      <c r="A9" t="inlineStr">
        <is>
          <t>1949-Q1</t>
        </is>
      </c>
      <c r="B9" s="87" t="n">
        <v>17989</v>
      </c>
      <c r="AV9" t="n">
        <v>0.9369841169999999</v>
      </c>
    </row>
    <row r="10">
      <c r="A10" t="inlineStr">
        <is>
          <t>1949-Q2</t>
        </is>
      </c>
      <c r="B10" s="87" t="n">
        <v>18080</v>
      </c>
      <c r="AV10" t="n">
        <v>-1.04081297</v>
      </c>
    </row>
    <row r="11">
      <c r="A11" t="inlineStr">
        <is>
          <t>1949-Q3</t>
        </is>
      </c>
      <c r="B11" s="87" t="n">
        <v>18172</v>
      </c>
      <c r="AV11" t="n">
        <v>-0.588691206</v>
      </c>
    </row>
    <row r="12">
      <c r="A12" t="inlineStr">
        <is>
          <t>1949-Q4</t>
        </is>
      </c>
      <c r="B12" s="87" t="n">
        <v>18264</v>
      </c>
      <c r="AV12" t="n">
        <v>-1.533017543</v>
      </c>
    </row>
    <row r="13">
      <c r="A13" t="inlineStr">
        <is>
          <t>1950-Q1</t>
        </is>
      </c>
      <c r="B13" s="87" t="n">
        <v>18354</v>
      </c>
      <c r="AV13" t="n">
        <v>3.766680699</v>
      </c>
    </row>
    <row r="14">
      <c r="A14" t="inlineStr">
        <is>
          <t>1950-Q2</t>
        </is>
      </c>
      <c r="B14" s="87" t="n">
        <v>18445</v>
      </c>
      <c r="AV14" t="n">
        <v>7.297360623</v>
      </c>
    </row>
    <row r="15">
      <c r="A15" t="inlineStr">
        <is>
          <t>1950-Q3</t>
        </is>
      </c>
      <c r="B15" s="87" t="n">
        <v>18537</v>
      </c>
      <c r="AV15" t="n">
        <v>10.304959762</v>
      </c>
    </row>
    <row r="16">
      <c r="A16" t="inlineStr">
        <is>
          <t>1950-Q4</t>
        </is>
      </c>
      <c r="B16" s="87" t="n">
        <v>18629</v>
      </c>
      <c r="AV16" t="n">
        <v>13.368522328</v>
      </c>
    </row>
    <row r="17">
      <c r="A17" t="inlineStr">
        <is>
          <t>1951-Q1</t>
        </is>
      </c>
      <c r="B17" s="87" t="n">
        <v>18719</v>
      </c>
      <c r="AV17" t="n">
        <v>10.563012123</v>
      </c>
    </row>
    <row r="18">
      <c r="A18" t="inlineStr">
        <is>
          <t>1951-Q2</t>
        </is>
      </c>
      <c r="B18" s="87" t="n">
        <v>18810</v>
      </c>
      <c r="AV18" t="n">
        <v>9.149883824</v>
      </c>
    </row>
    <row r="19">
      <c r="A19" t="inlineStr">
        <is>
          <t>1951-Q3</t>
        </is>
      </c>
      <c r="B19" s="87" t="n">
        <v>18902</v>
      </c>
      <c r="AV19" t="n">
        <v>7.254695502</v>
      </c>
    </row>
    <row r="20">
      <c r="A20" t="inlineStr">
        <is>
          <t>1951-Q4</t>
        </is>
      </c>
      <c r="B20" s="87" t="n">
        <v>18994</v>
      </c>
      <c r="AV20" t="n">
        <v>5.471378495</v>
      </c>
    </row>
    <row r="21">
      <c r="A21" t="inlineStr">
        <is>
          <t>1952-Q1</t>
        </is>
      </c>
      <c r="B21" s="87" t="n">
        <v>19085</v>
      </c>
      <c r="AV21" t="n">
        <v>5.170000881</v>
      </c>
    </row>
    <row r="22">
      <c r="A22" t="inlineStr">
        <is>
          <t>1952-Q2</t>
        </is>
      </c>
      <c r="B22" s="87" t="n">
        <v>19176</v>
      </c>
      <c r="AV22" t="n">
        <v>3.601420952</v>
      </c>
    </row>
    <row r="23">
      <c r="A23" t="inlineStr">
        <is>
          <t>1952-Q3</t>
        </is>
      </c>
      <c r="B23" s="87" t="n">
        <v>19268</v>
      </c>
      <c r="AV23" t="n">
        <v>2.242059381</v>
      </c>
    </row>
    <row r="24">
      <c r="A24" t="inlineStr">
        <is>
          <t>1952-Q4</t>
        </is>
      </c>
      <c r="B24" s="87" t="n">
        <v>19360</v>
      </c>
      <c r="AV24" t="n">
        <v>5.367836947</v>
      </c>
    </row>
    <row r="25">
      <c r="A25" t="inlineStr">
        <is>
          <t>1953-Q1</t>
        </is>
      </c>
      <c r="B25" s="87" t="n">
        <v>19450</v>
      </c>
      <c r="AV25" t="n">
        <v>6.191789594</v>
      </c>
    </row>
    <row r="26">
      <c r="A26" t="inlineStr">
        <is>
          <t>1953-Q2</t>
        </is>
      </c>
      <c r="B26" s="87" t="n">
        <v>19541</v>
      </c>
      <c r="AV26" t="n">
        <v>6.782580163</v>
      </c>
    </row>
    <row r="27">
      <c r="A27" t="inlineStr">
        <is>
          <t>1953-Q3</t>
        </is>
      </c>
      <c r="B27" s="87" t="n">
        <v>19633</v>
      </c>
      <c r="AV27" t="n">
        <v>5.420760181</v>
      </c>
    </row>
    <row r="28">
      <c r="A28" t="inlineStr">
        <is>
          <t>1953-Q4</t>
        </is>
      </c>
      <c r="B28" s="87" t="n">
        <v>19725</v>
      </c>
      <c r="AV28" t="n">
        <v>0.523348844</v>
      </c>
    </row>
    <row r="29">
      <c r="A29" t="inlineStr">
        <is>
          <t>1954-Q1</t>
        </is>
      </c>
      <c r="B29" s="87" t="n">
        <v>19815</v>
      </c>
      <c r="AV29" t="n">
        <v>-1.782902464</v>
      </c>
    </row>
    <row r="30">
      <c r="A30" t="inlineStr">
        <is>
          <t>1954-Q2</t>
        </is>
      </c>
      <c r="B30" s="87" t="n">
        <v>19906</v>
      </c>
      <c r="AV30" t="n">
        <v>-2.43000905</v>
      </c>
    </row>
    <row r="31">
      <c r="A31" t="inlineStr">
        <is>
          <t>1954-Q3</t>
        </is>
      </c>
      <c r="B31" s="87" t="n">
        <v>19998</v>
      </c>
      <c r="AV31" t="n">
        <v>-0.769760223</v>
      </c>
    </row>
    <row r="32">
      <c r="A32" t="inlineStr">
        <is>
          <t>1954-Q4</t>
        </is>
      </c>
      <c r="B32" s="87" t="n">
        <v>20090</v>
      </c>
      <c r="AV32" t="n">
        <v>2.72709325</v>
      </c>
    </row>
    <row r="33">
      <c r="A33" t="inlineStr">
        <is>
          <t>1955-Q1</t>
        </is>
      </c>
      <c r="B33" s="87" t="n">
        <v>20180</v>
      </c>
      <c r="AV33" t="n">
        <v>6.168731987</v>
      </c>
    </row>
    <row r="34">
      <c r="A34" t="inlineStr">
        <is>
          <t>1955-Q2</t>
        </is>
      </c>
      <c r="B34" s="87" t="n">
        <v>20271</v>
      </c>
      <c r="AV34" t="n">
        <v>7.778844328</v>
      </c>
    </row>
    <row r="35">
      <c r="A35" t="inlineStr">
        <is>
          <t>1955-Q3</t>
        </is>
      </c>
      <c r="B35" s="87" t="n">
        <v>20363</v>
      </c>
      <c r="AV35" t="n">
        <v>8.014501381000001</v>
      </c>
    </row>
    <row r="36">
      <c r="A36" t="inlineStr">
        <is>
          <t>1955-Q4</t>
        </is>
      </c>
      <c r="B36" s="87" t="n">
        <v>20455</v>
      </c>
      <c r="AV36" t="n">
        <v>6.577553198</v>
      </c>
    </row>
    <row r="37">
      <c r="A37" t="inlineStr">
        <is>
          <t>1956-Q1</t>
        </is>
      </c>
      <c r="B37" s="87" t="n">
        <v>20546</v>
      </c>
      <c r="X37" t="n">
        <v>2.722893534</v>
      </c>
      <c r="AV37" t="n">
        <v>3.215548532</v>
      </c>
    </row>
    <row r="38">
      <c r="A38" t="inlineStr">
        <is>
          <t>1956-Q2</t>
        </is>
      </c>
      <c r="B38" s="87" t="n">
        <v>20637</v>
      </c>
      <c r="X38" t="n">
        <v>2.452136034</v>
      </c>
      <c r="AV38" t="n">
        <v>2.402145867</v>
      </c>
    </row>
    <row r="39">
      <c r="A39" t="inlineStr">
        <is>
          <t>1956-Q3</t>
        </is>
      </c>
      <c r="B39" s="87" t="n">
        <v>20729</v>
      </c>
      <c r="X39" t="n">
        <v>0.305441171</v>
      </c>
      <c r="AV39" t="n">
        <v>0.94689641</v>
      </c>
    </row>
    <row r="40">
      <c r="A40" t="inlineStr">
        <is>
          <t>1956-Q4</t>
        </is>
      </c>
      <c r="B40" s="87" t="n">
        <v>20821</v>
      </c>
      <c r="X40" t="n">
        <v>1.305623668</v>
      </c>
      <c r="AV40" t="n">
        <v>1.996033576</v>
      </c>
    </row>
    <row r="41">
      <c r="A41" t="inlineStr">
        <is>
          <t>1957-Q1</t>
        </is>
      </c>
      <c r="B41" s="87" t="n">
        <v>20911</v>
      </c>
      <c r="X41" t="n">
        <v>2.157135477</v>
      </c>
      <c r="AV41" t="n">
        <v>3.04932862</v>
      </c>
    </row>
    <row r="42">
      <c r="A42" t="inlineStr">
        <is>
          <t>1957-Q2</t>
        </is>
      </c>
      <c r="B42" s="87" t="n">
        <v>21002</v>
      </c>
      <c r="X42" t="n">
        <v>2.3480608</v>
      </c>
      <c r="AV42" t="n">
        <v>1.98087427</v>
      </c>
    </row>
    <row r="43">
      <c r="A43" t="inlineStr">
        <is>
          <t>1957-Q3</t>
        </is>
      </c>
      <c r="B43" s="87" t="n">
        <v>21094</v>
      </c>
      <c r="X43" t="n">
        <v>1.837429353</v>
      </c>
      <c r="AV43" t="n">
        <v>3.072905884</v>
      </c>
    </row>
    <row r="44">
      <c r="A44" t="inlineStr">
        <is>
          <t>1957-Q4</t>
        </is>
      </c>
      <c r="B44" s="87" t="n">
        <v>21186</v>
      </c>
      <c r="X44" t="n">
        <v>1.56655477</v>
      </c>
      <c r="AV44" t="n">
        <v>0.355134715</v>
      </c>
    </row>
    <row r="45">
      <c r="A45" t="inlineStr">
        <is>
          <t>1958-Q1</t>
        </is>
      </c>
      <c r="B45" s="87" t="n">
        <v>21276</v>
      </c>
      <c r="X45" t="n">
        <v>1.766138381</v>
      </c>
      <c r="AV45" t="n">
        <v>-2.87142829</v>
      </c>
    </row>
    <row r="46">
      <c r="A46" t="inlineStr">
        <is>
          <t>1958-Q2</t>
        </is>
      </c>
      <c r="B46" s="87" t="n">
        <v>21367</v>
      </c>
      <c r="X46" t="n">
        <v>-0.662040423</v>
      </c>
      <c r="AV46" t="n">
        <v>-2.018409485</v>
      </c>
    </row>
    <row r="47">
      <c r="A47" t="inlineStr">
        <is>
          <t>1958-Q3</t>
        </is>
      </c>
      <c r="B47" s="87" t="n">
        <v>21459</v>
      </c>
      <c r="X47" t="n">
        <v>2.176873943</v>
      </c>
      <c r="AV47" t="n">
        <v>-0.7247978859999999</v>
      </c>
    </row>
    <row r="48">
      <c r="A48" t="inlineStr">
        <is>
          <t>1958-Q4</t>
        </is>
      </c>
      <c r="B48" s="87" t="n">
        <v>21551</v>
      </c>
      <c r="X48" t="n">
        <v>2.097153528</v>
      </c>
      <c r="AV48" t="n">
        <v>2.658137335</v>
      </c>
    </row>
    <row r="49">
      <c r="A49" t="inlineStr">
        <is>
          <t>1959-Q1</t>
        </is>
      </c>
      <c r="B49" s="87" t="n">
        <v>21641</v>
      </c>
      <c r="X49" t="n">
        <v>0.551227456</v>
      </c>
      <c r="AV49" t="n">
        <v>7.416649216</v>
      </c>
    </row>
    <row r="50">
      <c r="A50" t="inlineStr">
        <is>
          <t>1959-Q2</t>
        </is>
      </c>
      <c r="B50" s="87" t="n">
        <v>21732</v>
      </c>
      <c r="X50" t="n">
        <v>4.71137355</v>
      </c>
      <c r="AV50" t="n">
        <v>9.12189848</v>
      </c>
    </row>
    <row r="51">
      <c r="A51" t="inlineStr">
        <is>
          <t>1959-Q3</t>
        </is>
      </c>
      <c r="B51" s="87" t="n">
        <v>21824</v>
      </c>
      <c r="X51" t="n">
        <v>4.633311117</v>
      </c>
      <c r="AV51" t="n">
        <v>6.729998745</v>
      </c>
    </row>
    <row r="52">
      <c r="A52" t="inlineStr">
        <is>
          <t>1959-Q4</t>
        </is>
      </c>
      <c r="B52" s="87" t="n">
        <v>21916</v>
      </c>
      <c r="X52" t="n">
        <v>7.203042849</v>
      </c>
      <c r="AV52" t="n">
        <v>4.588663295</v>
      </c>
    </row>
    <row r="53">
      <c r="A53" t="inlineStr">
        <is>
          <t>1960-Q1</t>
        </is>
      </c>
      <c r="B53" s="87" t="n">
        <v>22007</v>
      </c>
      <c r="X53" t="n">
        <v>9.162104622999999</v>
      </c>
      <c r="AV53" t="n">
        <v>4.925418809</v>
      </c>
    </row>
    <row r="54">
      <c r="A54" t="inlineStr">
        <is>
          <t>1960-Q2</t>
        </is>
      </c>
      <c r="B54" s="87" t="n">
        <v>22098</v>
      </c>
      <c r="X54" t="n">
        <v>6.552386936</v>
      </c>
      <c r="AV54" t="n">
        <v>2.058208212</v>
      </c>
    </row>
    <row r="55">
      <c r="A55" t="inlineStr">
        <is>
          <t>1960-Q3</t>
        </is>
      </c>
      <c r="B55" s="87" t="n">
        <v>22190</v>
      </c>
      <c r="X55" t="n">
        <v>5.886616733</v>
      </c>
      <c r="AV55" t="n">
        <v>2.485388761</v>
      </c>
    </row>
    <row r="56">
      <c r="A56" t="inlineStr">
        <is>
          <t>1960-Q4</t>
        </is>
      </c>
      <c r="B56" s="87" t="n">
        <v>22282</v>
      </c>
      <c r="X56" t="n">
        <v>3.859250851</v>
      </c>
      <c r="AV56" t="n">
        <v>0.882684143</v>
      </c>
    </row>
    <row r="57">
      <c r="A57" t="inlineStr">
        <is>
          <t>1961-Q1</t>
        </is>
      </c>
      <c r="B57" s="87" t="n">
        <v>22372</v>
      </c>
      <c r="D57" t="n">
        <v>3.102453102</v>
      </c>
      <c r="E57" t="n">
        <v>8.008100796000001</v>
      </c>
      <c r="F57" t="n">
        <v>4.953327546</v>
      </c>
      <c r="I57" t="n">
        <v>9.435370532</v>
      </c>
      <c r="M57" t="n">
        <v>7.450289556</v>
      </c>
      <c r="N57" t="n">
        <v>4.915217313</v>
      </c>
      <c r="P57" t="n">
        <v>10.081656102</v>
      </c>
      <c r="T57" t="n">
        <v>9.042962538999999</v>
      </c>
      <c r="U57" t="n">
        <v>3.971438385</v>
      </c>
      <c r="X57" t="n">
        <v>2.985999861</v>
      </c>
      <c r="Y57" t="n">
        <v>13.732300912</v>
      </c>
      <c r="AB57" t="n">
        <v>5.464306105</v>
      </c>
      <c r="AC57" t="n">
        <v>-1.428355688</v>
      </c>
      <c r="AE57" t="n">
        <v>6.72839745</v>
      </c>
      <c r="AF57" t="n">
        <v>10.879027492</v>
      </c>
      <c r="AG57" t="n">
        <v>7.27803275</v>
      </c>
      <c r="AH57" t="n">
        <v>4.349744991</v>
      </c>
      <c r="AJ57" t="n">
        <v>4.013559701</v>
      </c>
      <c r="AK57" t="n">
        <v>2.057126582</v>
      </c>
      <c r="AL57" t="n">
        <v>5.869164351</v>
      </c>
      <c r="AP57" t="n">
        <v>4.304230975</v>
      </c>
      <c r="AT57" t="n">
        <v>6.96272897</v>
      </c>
      <c r="AV57" t="n">
        <v>-0.669128242</v>
      </c>
      <c r="AW57" t="n">
        <v>5.283162054</v>
      </c>
    </row>
    <row r="58">
      <c r="A58" t="inlineStr">
        <is>
          <t>1961-Q2</t>
        </is>
      </c>
      <c r="B58" s="87" t="n">
        <v>22463</v>
      </c>
      <c r="D58" t="n">
        <v>-0.776637817</v>
      </c>
      <c r="E58" t="n">
        <v>5.169873068</v>
      </c>
      <c r="F58" t="n">
        <v>4.886372094</v>
      </c>
      <c r="I58" t="n">
        <v>8.714370874</v>
      </c>
      <c r="M58" t="n">
        <v>5.00209888</v>
      </c>
      <c r="N58" t="n">
        <v>6.142935511</v>
      </c>
      <c r="P58" t="n">
        <v>12.654501031</v>
      </c>
      <c r="T58" t="n">
        <v>7.459675384</v>
      </c>
      <c r="U58" t="n">
        <v>5.239926785</v>
      </c>
      <c r="X58" t="n">
        <v>4.22200073</v>
      </c>
      <c r="Y58" t="n">
        <v>13.260075956</v>
      </c>
      <c r="AB58" t="n">
        <v>5.383629892</v>
      </c>
      <c r="AC58" t="n">
        <v>-1.431513525</v>
      </c>
      <c r="AE58" t="n">
        <v>7.409878847</v>
      </c>
      <c r="AF58" t="n">
        <v>13.033911709</v>
      </c>
      <c r="AG58" t="n">
        <v>7.093669513</v>
      </c>
      <c r="AH58" t="n">
        <v>4.297265319</v>
      </c>
      <c r="AJ58" t="n">
        <v>3.968464812</v>
      </c>
      <c r="AK58" t="n">
        <v>-1.660569264</v>
      </c>
      <c r="AL58" t="n">
        <v>6.768961388</v>
      </c>
      <c r="AP58" t="n">
        <v>5.22169497</v>
      </c>
      <c r="AT58" t="n">
        <v>5.916115027</v>
      </c>
      <c r="AV58" t="n">
        <v>1.564454936</v>
      </c>
      <c r="AW58" t="n">
        <v>3.141132323</v>
      </c>
    </row>
    <row r="59">
      <c r="A59" t="inlineStr">
        <is>
          <t>1961-Q3</t>
        </is>
      </c>
      <c r="B59" s="87" t="n">
        <v>22555</v>
      </c>
      <c r="D59" t="n">
        <v>-1.706909122</v>
      </c>
      <c r="E59" t="n">
        <v>5.171297691</v>
      </c>
      <c r="F59" t="n">
        <v>4.940566124</v>
      </c>
      <c r="I59" t="n">
        <v>6.172528144</v>
      </c>
      <c r="M59" t="n">
        <v>3.576950295</v>
      </c>
      <c r="N59" t="n">
        <v>6.98204323</v>
      </c>
      <c r="P59" t="n">
        <v>11.82722116</v>
      </c>
      <c r="T59" t="n">
        <v>6.819939345</v>
      </c>
      <c r="U59" t="n">
        <v>6.121194558</v>
      </c>
      <c r="X59" t="n">
        <v>2.144916713</v>
      </c>
      <c r="Y59" t="n">
        <v>10.997320481</v>
      </c>
      <c r="AB59" t="n">
        <v>4.987092314</v>
      </c>
      <c r="AC59" t="n">
        <v>-0.105392457</v>
      </c>
      <c r="AE59" t="n">
        <v>8.322359036</v>
      </c>
      <c r="AF59" t="n">
        <v>11.377645181</v>
      </c>
      <c r="AG59" t="n">
        <v>6.320767649</v>
      </c>
      <c r="AH59" t="n">
        <v>3.815935253</v>
      </c>
      <c r="AJ59" t="n">
        <v>3.98271383</v>
      </c>
      <c r="AK59" t="n">
        <v>0.16790221</v>
      </c>
      <c r="AL59" t="n">
        <v>6.716543806</v>
      </c>
      <c r="AP59" t="n">
        <v>5.920135217</v>
      </c>
      <c r="AT59" t="n">
        <v>5.66656015</v>
      </c>
      <c r="AV59" t="n">
        <v>3.009920537</v>
      </c>
      <c r="AW59" t="n">
        <v>3.537146061</v>
      </c>
    </row>
    <row r="60">
      <c r="A60" t="inlineStr">
        <is>
          <t>1961-Q4</t>
        </is>
      </c>
      <c r="B60" s="87" t="n">
        <v>22647</v>
      </c>
      <c r="D60" t="n">
        <v>-0.391016643</v>
      </c>
      <c r="E60" t="n">
        <v>3.96974878</v>
      </c>
      <c r="F60" t="n">
        <v>5.112482658</v>
      </c>
      <c r="I60" t="n">
        <v>8.203942002</v>
      </c>
      <c r="M60" t="n">
        <v>2.996160574</v>
      </c>
      <c r="N60" t="n">
        <v>7.434173455</v>
      </c>
      <c r="P60" t="n">
        <v>12.713710728</v>
      </c>
      <c r="T60" t="n">
        <v>7.151842376</v>
      </c>
      <c r="U60" t="n">
        <v>6.660062972</v>
      </c>
      <c r="X60" t="n">
        <v>1.361652404</v>
      </c>
      <c r="Y60" t="n">
        <v>6.977179513</v>
      </c>
      <c r="AB60" t="n">
        <v>4.258704214</v>
      </c>
      <c r="AC60" t="n">
        <v>2.655540781</v>
      </c>
      <c r="AE60" t="n">
        <v>10.310053935</v>
      </c>
      <c r="AF60" t="n">
        <v>12.17615334</v>
      </c>
      <c r="AG60" t="n">
        <v>7.061388567</v>
      </c>
      <c r="AH60" t="n">
        <v>2.884953141</v>
      </c>
      <c r="AJ60" t="n">
        <v>4.052759283</v>
      </c>
      <c r="AK60" t="n">
        <v>0.655567721</v>
      </c>
      <c r="AL60" t="n">
        <v>5.746506337</v>
      </c>
      <c r="AP60" t="n">
        <v>6.399767825</v>
      </c>
      <c r="AT60" t="n">
        <v>4.247552433</v>
      </c>
      <c r="AV60" t="n">
        <v>6.395529867</v>
      </c>
      <c r="AW60" t="n">
        <v>3.457111867</v>
      </c>
    </row>
    <row r="61">
      <c r="A61" t="inlineStr">
        <is>
          <t>1962-Q1</t>
        </is>
      </c>
      <c r="B61" s="87" t="n">
        <v>22737</v>
      </c>
      <c r="D61" t="n">
        <v>2.099370189</v>
      </c>
      <c r="E61" t="n">
        <v>2.612017176</v>
      </c>
      <c r="F61" t="n">
        <v>5.271922099</v>
      </c>
      <c r="H61" t="n">
        <v>9.287745472999999</v>
      </c>
      <c r="I61" t="n">
        <v>5.225774383</v>
      </c>
      <c r="M61" t="n">
        <v>3.466854108</v>
      </c>
      <c r="N61" t="n">
        <v>7.510077096</v>
      </c>
      <c r="P61" t="n">
        <v>12.173784558</v>
      </c>
      <c r="T61" t="n">
        <v>4.939204059</v>
      </c>
      <c r="U61" t="n">
        <v>6.861509915</v>
      </c>
      <c r="X61" t="n">
        <v>0.181932543</v>
      </c>
      <c r="Y61" t="n">
        <v>3.238725456</v>
      </c>
      <c r="AB61" t="n">
        <v>3.553468987</v>
      </c>
      <c r="AC61" t="n">
        <v>5.413462342</v>
      </c>
      <c r="AE61" t="n">
        <v>8.070639272999999</v>
      </c>
      <c r="AF61" t="n">
        <v>10.328285972</v>
      </c>
      <c r="AG61" t="n">
        <v>5.80716719</v>
      </c>
      <c r="AH61" t="n">
        <v>1.97986256</v>
      </c>
      <c r="AJ61" t="n">
        <v>4.120104991</v>
      </c>
      <c r="AK61" t="n">
        <v>3.036310113</v>
      </c>
      <c r="AL61" t="n">
        <v>3.916005825</v>
      </c>
      <c r="AP61" t="n">
        <v>6.664279093</v>
      </c>
      <c r="AT61" t="n">
        <v>2.550829447</v>
      </c>
      <c r="AV61" t="n">
        <v>7.56727604</v>
      </c>
      <c r="AW61" t="n">
        <v>5.368853258</v>
      </c>
    </row>
    <row r="62">
      <c r="A62" t="inlineStr">
        <is>
          <t>1962-Q2</t>
        </is>
      </c>
      <c r="B62" s="87" t="n">
        <v>22828</v>
      </c>
      <c r="D62" t="n">
        <v>5.213297519</v>
      </c>
      <c r="E62" t="n">
        <v>2.949917446</v>
      </c>
      <c r="F62" t="n">
        <v>5.433319809</v>
      </c>
      <c r="H62" t="n">
        <v>7.376064906</v>
      </c>
      <c r="I62" t="n">
        <v>5.017747102</v>
      </c>
      <c r="M62" t="n">
        <v>5.112241186</v>
      </c>
      <c r="N62" t="n">
        <v>6.795164891</v>
      </c>
      <c r="P62" t="n">
        <v>9.902242491999999</v>
      </c>
      <c r="T62" t="n">
        <v>1.53206513</v>
      </c>
      <c r="U62" t="n">
        <v>6.877657784</v>
      </c>
      <c r="X62" t="n">
        <v>0.682232983</v>
      </c>
      <c r="Y62" t="n">
        <v>-0.26087682</v>
      </c>
      <c r="AB62" t="n">
        <v>2.873233101</v>
      </c>
      <c r="AC62" t="n">
        <v>8.169230889</v>
      </c>
      <c r="AE62" t="n">
        <v>6.971203447</v>
      </c>
      <c r="AF62" t="n">
        <v>9.536132545999999</v>
      </c>
      <c r="AG62" t="n">
        <v>-0.465805096</v>
      </c>
      <c r="AH62" t="n">
        <v>1.101465661</v>
      </c>
      <c r="AJ62" t="n">
        <v>4.186414275</v>
      </c>
      <c r="AK62" t="n">
        <v>6.673710357</v>
      </c>
      <c r="AL62" t="n">
        <v>2.767736294</v>
      </c>
      <c r="AP62" t="n">
        <v>6.762632608</v>
      </c>
      <c r="AT62" t="n">
        <v>3.978822693</v>
      </c>
      <c r="AV62" t="n">
        <v>6.727690211</v>
      </c>
      <c r="AW62" t="n">
        <v>6.509246778</v>
      </c>
    </row>
    <row r="63">
      <c r="A63" t="inlineStr">
        <is>
          <t>1962-Q3</t>
        </is>
      </c>
      <c r="B63" s="87" t="n">
        <v>22920</v>
      </c>
      <c r="D63" t="n">
        <v>6.826941257</v>
      </c>
      <c r="E63" t="n">
        <v>2.525644999</v>
      </c>
      <c r="F63" t="n">
        <v>5.267356503</v>
      </c>
      <c r="H63" t="n">
        <v>6.230665173</v>
      </c>
      <c r="I63" t="n">
        <v>5.151158218</v>
      </c>
      <c r="M63" t="n">
        <v>5.465212346</v>
      </c>
      <c r="N63" t="n">
        <v>5.33173139</v>
      </c>
      <c r="P63" t="n">
        <v>10.340093868</v>
      </c>
      <c r="T63" t="n">
        <v>2.985082011</v>
      </c>
      <c r="U63" t="n">
        <v>6.717294088</v>
      </c>
      <c r="X63" t="n">
        <v>1.833160713</v>
      </c>
      <c r="Y63" t="n">
        <v>-0.23221839</v>
      </c>
      <c r="AB63" t="n">
        <v>2.867884776</v>
      </c>
      <c r="AC63" t="n">
        <v>9.706723706</v>
      </c>
      <c r="AE63" t="n">
        <v>5.162466069</v>
      </c>
      <c r="AF63" t="n">
        <v>8.786970048000001</v>
      </c>
      <c r="AG63" t="n">
        <v>4.352703034</v>
      </c>
      <c r="AH63" t="n">
        <v>0.913109619</v>
      </c>
      <c r="AJ63" t="n">
        <v>4.593795977</v>
      </c>
      <c r="AK63" t="n">
        <v>9.902732388</v>
      </c>
      <c r="AL63" t="n">
        <v>2.254999269</v>
      </c>
      <c r="AP63" t="n">
        <v>6.702057323</v>
      </c>
      <c r="AT63" t="n">
        <v>5.066437582</v>
      </c>
      <c r="AV63" t="n">
        <v>6.004014529</v>
      </c>
      <c r="AW63" t="n">
        <v>6.215872443</v>
      </c>
    </row>
    <row r="64">
      <c r="A64" t="inlineStr">
        <is>
          <t>1962-Q4</t>
        </is>
      </c>
      <c r="B64" s="87" t="n">
        <v>23012</v>
      </c>
      <c r="D64" t="n">
        <v>7.521748508</v>
      </c>
      <c r="E64" t="n">
        <v>2.3854994</v>
      </c>
      <c r="F64" t="n">
        <v>4.764617265</v>
      </c>
      <c r="H64" t="n">
        <v>6.901830847</v>
      </c>
      <c r="I64" t="n">
        <v>3.797238893</v>
      </c>
      <c r="M64" t="n">
        <v>4.759933392</v>
      </c>
      <c r="N64" t="n">
        <v>3.161342568</v>
      </c>
      <c r="P64" t="n">
        <v>7.599938625</v>
      </c>
      <c r="T64" t="n">
        <v>2.498507002</v>
      </c>
      <c r="U64" t="n">
        <v>6.248001067</v>
      </c>
      <c r="X64" t="n">
        <v>1.609862612</v>
      </c>
      <c r="Y64" t="n">
        <v>3.445787925</v>
      </c>
      <c r="AB64" t="n">
        <v>3.566067681</v>
      </c>
      <c r="AC64" t="n">
        <v>9.904189335</v>
      </c>
      <c r="AE64" t="n">
        <v>4.737786642</v>
      </c>
      <c r="AF64" t="n">
        <v>6.188324034</v>
      </c>
      <c r="AG64" t="n">
        <v>5.983428157</v>
      </c>
      <c r="AH64" t="n">
        <v>1.450369515</v>
      </c>
      <c r="AJ64" t="n">
        <v>5.353575853</v>
      </c>
      <c r="AK64" t="n">
        <v>7.796584828</v>
      </c>
      <c r="AL64" t="n">
        <v>2.349553513</v>
      </c>
      <c r="AP64" t="n">
        <v>6.490039608</v>
      </c>
      <c r="AT64" t="n">
        <v>5.40179456</v>
      </c>
      <c r="AV64" t="n">
        <v>4.307098907</v>
      </c>
      <c r="AW64" t="n">
        <v>6.607290092</v>
      </c>
    </row>
    <row r="65">
      <c r="A65" t="inlineStr">
        <is>
          <t>1963-Q1</t>
        </is>
      </c>
      <c r="B65" s="87" t="n">
        <v>23102</v>
      </c>
      <c r="D65" t="n">
        <v>7.00088123</v>
      </c>
      <c r="E65" t="n">
        <v>1.279841912</v>
      </c>
      <c r="F65" t="n">
        <v>4.283888405</v>
      </c>
      <c r="H65" t="n">
        <v>4.774143033</v>
      </c>
      <c r="I65" t="n">
        <v>2.26880126</v>
      </c>
      <c r="M65" t="n">
        <v>-0.372460846</v>
      </c>
      <c r="N65" t="n">
        <v>0.324581636</v>
      </c>
      <c r="P65" t="n">
        <v>11.160505427</v>
      </c>
      <c r="T65" t="n">
        <v>0.191629712</v>
      </c>
      <c r="U65" t="n">
        <v>2.630486901</v>
      </c>
      <c r="V65" t="n">
        <v>3.115006271</v>
      </c>
      <c r="X65" t="n">
        <v>1.581086372</v>
      </c>
      <c r="Y65" t="n">
        <v>7.141353272</v>
      </c>
      <c r="AB65" t="n">
        <v>4.251482814</v>
      </c>
      <c r="AC65" t="n">
        <v>10.076270981</v>
      </c>
      <c r="AE65" t="n">
        <v>3.895479919</v>
      </c>
      <c r="AF65" t="n">
        <v>6.21378875</v>
      </c>
      <c r="AG65" t="n">
        <v>10.002246294</v>
      </c>
      <c r="AH65" t="n">
        <v>1.993412063</v>
      </c>
      <c r="AJ65" t="n">
        <v>6.096019154</v>
      </c>
      <c r="AK65" t="n">
        <v>-1.641619373</v>
      </c>
      <c r="AL65" t="n">
        <v>3.039157364</v>
      </c>
      <c r="AN65" t="n">
        <v>3.590442889</v>
      </c>
      <c r="AP65" t="n">
        <v>6.134400396</v>
      </c>
      <c r="AT65" t="n">
        <v>4.030531129</v>
      </c>
      <c r="AV65" t="n">
        <v>3.597866315</v>
      </c>
      <c r="AW65" t="n">
        <v>5.293912413</v>
      </c>
    </row>
    <row r="66">
      <c r="A66" t="inlineStr">
        <is>
          <t>1963-Q2</t>
        </is>
      </c>
      <c r="B66" s="87" t="n">
        <v>23193</v>
      </c>
      <c r="D66" t="n">
        <v>3.623586252</v>
      </c>
      <c r="E66" t="n">
        <v>4.255174666</v>
      </c>
      <c r="F66" t="n">
        <v>3.815036736</v>
      </c>
      <c r="H66" t="n">
        <v>5.529763856</v>
      </c>
      <c r="I66" t="n">
        <v>4.978493477</v>
      </c>
      <c r="M66" t="n">
        <v>3.02141052</v>
      </c>
      <c r="N66" t="n">
        <v>-0.652222748</v>
      </c>
      <c r="P66" t="n">
        <v>8.723545653</v>
      </c>
      <c r="T66" t="n">
        <v>4.833920046</v>
      </c>
      <c r="U66" t="n">
        <v>5.508740269</v>
      </c>
      <c r="V66" t="n">
        <v>4.565676881</v>
      </c>
      <c r="X66" t="n">
        <v>5.070369776</v>
      </c>
      <c r="Y66" t="n">
        <v>10.834140735</v>
      </c>
      <c r="AB66" t="n">
        <v>4.9215346</v>
      </c>
      <c r="AC66" t="n">
        <v>10.253512905</v>
      </c>
      <c r="AE66" t="n">
        <v>5.606665596</v>
      </c>
      <c r="AF66" t="n">
        <v>7.832549491</v>
      </c>
      <c r="AG66" t="n">
        <v>9.452533859000001</v>
      </c>
      <c r="AH66" t="n">
        <v>2.518654269</v>
      </c>
      <c r="AJ66" t="n">
        <v>6.813210124</v>
      </c>
      <c r="AK66" t="n">
        <v>4.960431322</v>
      </c>
      <c r="AL66" t="n">
        <v>3.612349537</v>
      </c>
      <c r="AN66" t="n">
        <v>4.928446818</v>
      </c>
      <c r="AP66" t="n">
        <v>5.910975215</v>
      </c>
      <c r="AT66" t="n">
        <v>6.139303137</v>
      </c>
      <c r="AV66" t="n">
        <v>3.822156925</v>
      </c>
      <c r="AW66" t="n">
        <v>7.39021182</v>
      </c>
    </row>
    <row r="67">
      <c r="A67" t="inlineStr">
        <is>
          <t>1963-Q3</t>
        </is>
      </c>
      <c r="B67" s="87" t="n">
        <v>23285</v>
      </c>
      <c r="D67" t="n">
        <v>7.014199943</v>
      </c>
      <c r="E67" t="n">
        <v>4.511913802</v>
      </c>
      <c r="F67" t="n">
        <v>4.157357088</v>
      </c>
      <c r="H67" t="n">
        <v>4.968360624</v>
      </c>
      <c r="I67" t="n">
        <v>5.867026136</v>
      </c>
      <c r="M67" t="n">
        <v>4.102017033</v>
      </c>
      <c r="N67" t="n">
        <v>0.149079388</v>
      </c>
      <c r="P67" t="n">
        <v>8.41442898</v>
      </c>
      <c r="T67" t="n">
        <v>3.900576349</v>
      </c>
      <c r="U67" t="n">
        <v>7.442326311</v>
      </c>
      <c r="V67" t="n">
        <v>5.556491583</v>
      </c>
      <c r="X67" t="n">
        <v>4.923852132</v>
      </c>
      <c r="Y67" t="n">
        <v>12.013275682</v>
      </c>
      <c r="AB67" t="n">
        <v>5.087018992</v>
      </c>
      <c r="AC67" t="n">
        <v>10.368625258</v>
      </c>
      <c r="AE67" t="n">
        <v>6.6994012</v>
      </c>
      <c r="AF67" t="n">
        <v>9.654809883</v>
      </c>
      <c r="AG67" t="n">
        <v>9.843458492</v>
      </c>
      <c r="AH67" t="n">
        <v>3.68924336</v>
      </c>
      <c r="AJ67" t="n">
        <v>7.815201468</v>
      </c>
      <c r="AK67" t="n">
        <v>4.202308775</v>
      </c>
      <c r="AL67" t="n">
        <v>4.067928667</v>
      </c>
      <c r="AN67" t="n">
        <v>5.804545343</v>
      </c>
      <c r="AP67" t="n">
        <v>5.81300404</v>
      </c>
      <c r="AT67" t="n">
        <v>5.52528159</v>
      </c>
      <c r="AV67" t="n">
        <v>4.816929346</v>
      </c>
      <c r="AW67" t="n">
        <v>8.114003821000001</v>
      </c>
    </row>
    <row r="68">
      <c r="A68" t="inlineStr">
        <is>
          <t>1963-Q4</t>
        </is>
      </c>
      <c r="B68" s="87" t="n">
        <v>23377</v>
      </c>
      <c r="D68" t="n">
        <v>7.375361078</v>
      </c>
      <c r="E68" t="n">
        <v>6.545704408</v>
      </c>
      <c r="F68" t="n">
        <v>5.342046364</v>
      </c>
      <c r="H68" t="n">
        <v>6.10127534</v>
      </c>
      <c r="I68" t="n">
        <v>6.331157297</v>
      </c>
      <c r="M68" t="n">
        <v>4.832455357</v>
      </c>
      <c r="N68" t="n">
        <v>2.722433245</v>
      </c>
      <c r="P68" t="n">
        <v>10.13725403</v>
      </c>
      <c r="T68" t="n">
        <v>4.245628351</v>
      </c>
      <c r="U68" t="n">
        <v>6.444313251</v>
      </c>
      <c r="V68" t="n">
        <v>6.168536273</v>
      </c>
      <c r="X68" t="n">
        <v>7.724906567</v>
      </c>
      <c r="Y68" t="n">
        <v>10.52870362</v>
      </c>
      <c r="AB68" t="n">
        <v>4.72397186</v>
      </c>
      <c r="AC68" t="n">
        <v>10.420619074</v>
      </c>
      <c r="AE68" t="n">
        <v>6.201995409</v>
      </c>
      <c r="AF68" t="n">
        <v>11.111185898</v>
      </c>
      <c r="AG68" t="n">
        <v>6.868184657</v>
      </c>
      <c r="AH68" t="n">
        <v>5.527125252</v>
      </c>
      <c r="AJ68" t="n">
        <v>9.093899794</v>
      </c>
      <c r="AK68" t="n">
        <v>6.761604986</v>
      </c>
      <c r="AL68" t="n">
        <v>4.405922922</v>
      </c>
      <c r="AN68" t="n">
        <v>6.424799549</v>
      </c>
      <c r="AP68" t="n">
        <v>5.834761778</v>
      </c>
      <c r="AT68" t="n">
        <v>5.580868895</v>
      </c>
      <c r="AV68" t="n">
        <v>5.158244565</v>
      </c>
      <c r="AW68" t="n">
        <v>8.627785524</v>
      </c>
    </row>
    <row r="69">
      <c r="A69" t="inlineStr">
        <is>
          <t>1964-Q1</t>
        </is>
      </c>
      <c r="B69" s="87" t="n">
        <v>23468</v>
      </c>
      <c r="D69" t="n">
        <v>4.783256641</v>
      </c>
      <c r="E69" t="n">
        <v>7.223451185</v>
      </c>
      <c r="F69" t="n">
        <v>6.49672863</v>
      </c>
      <c r="H69" t="n">
        <v>8.077131316999999</v>
      </c>
      <c r="I69" t="n">
        <v>7.436765366</v>
      </c>
      <c r="M69" t="n">
        <v>10.127128404</v>
      </c>
      <c r="N69" t="n">
        <v>7.135440572</v>
      </c>
      <c r="P69" t="n">
        <v>4.734724994</v>
      </c>
      <c r="T69" t="n">
        <v>6.557209558</v>
      </c>
      <c r="U69" t="n">
        <v>10.285371683</v>
      </c>
      <c r="V69" t="n">
        <v>8.039630944000001</v>
      </c>
      <c r="X69" t="n">
        <v>7.941887976</v>
      </c>
      <c r="Y69" t="n">
        <v>9.13023636</v>
      </c>
      <c r="AB69" t="n">
        <v>4.369742043</v>
      </c>
      <c r="AC69" t="n">
        <v>10.468624289</v>
      </c>
      <c r="AE69" t="n">
        <v>7.065479318</v>
      </c>
      <c r="AF69" t="n">
        <v>13.109119079</v>
      </c>
      <c r="AG69" t="n">
        <v>6.980385039</v>
      </c>
      <c r="AH69" t="n">
        <v>7.316469998</v>
      </c>
      <c r="AJ69" t="n">
        <v>10.312366804</v>
      </c>
      <c r="AK69" t="n">
        <v>15.430176153</v>
      </c>
      <c r="AL69" t="n">
        <v>4.62744097</v>
      </c>
      <c r="AN69" t="n">
        <v>7.960554889</v>
      </c>
      <c r="AP69" t="n">
        <v>5.971237502</v>
      </c>
      <c r="AT69" t="n">
        <v>9.319856316999999</v>
      </c>
      <c r="AV69" t="n">
        <v>6.215820827</v>
      </c>
      <c r="AW69" t="n">
        <v>9.217818014000001</v>
      </c>
    </row>
    <row r="70">
      <c r="A70" t="inlineStr">
        <is>
          <t>1964-Q2</t>
        </is>
      </c>
      <c r="B70" s="87" t="n">
        <v>23559</v>
      </c>
      <c r="D70" t="n">
        <v>8.780597648000001</v>
      </c>
      <c r="E70" t="n">
        <v>5.694642122</v>
      </c>
      <c r="F70" t="n">
        <v>7.63337205</v>
      </c>
      <c r="H70" t="n">
        <v>6.912015232</v>
      </c>
      <c r="I70" t="n">
        <v>7.116911</v>
      </c>
      <c r="M70" t="n">
        <v>6.688292601</v>
      </c>
      <c r="N70" t="n">
        <v>9.778791911000001</v>
      </c>
      <c r="P70" t="n">
        <v>6.372595622</v>
      </c>
      <c r="T70" t="n">
        <v>5.392144903</v>
      </c>
      <c r="U70" t="n">
        <v>6.583462385</v>
      </c>
      <c r="V70" t="n">
        <v>6.624610337</v>
      </c>
      <c r="X70" t="n">
        <v>5.327994092</v>
      </c>
      <c r="Y70" t="n">
        <v>7.844792124</v>
      </c>
      <c r="AB70" t="n">
        <v>4.035700958</v>
      </c>
      <c r="AC70" t="n">
        <v>10.529599457</v>
      </c>
      <c r="AE70" t="n">
        <v>3.154238769</v>
      </c>
      <c r="AF70" t="n">
        <v>12.525733796</v>
      </c>
      <c r="AG70" t="n">
        <v>6.414695357</v>
      </c>
      <c r="AH70" t="n">
        <v>9.089267595000001</v>
      </c>
      <c r="AJ70" t="n">
        <v>11.502868805</v>
      </c>
      <c r="AK70" t="n">
        <v>6.873050805</v>
      </c>
      <c r="AL70" t="n">
        <v>4.867998637</v>
      </c>
      <c r="AN70" t="n">
        <v>6.76168538</v>
      </c>
      <c r="AP70" t="n">
        <v>6.264625869</v>
      </c>
      <c r="AT70" t="n">
        <v>5.864150066</v>
      </c>
      <c r="AV70" t="n">
        <v>6.180751263</v>
      </c>
      <c r="AW70" t="n">
        <v>8.330023211</v>
      </c>
    </row>
    <row r="71">
      <c r="A71" t="inlineStr">
        <is>
          <t>1964-Q3</t>
        </is>
      </c>
      <c r="B71" s="87" t="n">
        <v>23651</v>
      </c>
      <c r="D71" t="n">
        <v>5.139752936</v>
      </c>
      <c r="E71" t="n">
        <v>5.499163719</v>
      </c>
      <c r="F71" t="n">
        <v>7.521538485</v>
      </c>
      <c r="H71" t="n">
        <v>7.19227375</v>
      </c>
      <c r="I71" t="n">
        <v>4.209432294</v>
      </c>
      <c r="M71" t="n">
        <v>4.182533938</v>
      </c>
      <c r="N71" t="n">
        <v>10.573961513</v>
      </c>
      <c r="P71" t="n">
        <v>4.908125724</v>
      </c>
      <c r="T71" t="n">
        <v>5.976432706</v>
      </c>
      <c r="U71" t="n">
        <v>4.445012473</v>
      </c>
      <c r="V71" t="n">
        <v>5.516275957</v>
      </c>
      <c r="X71" t="n">
        <v>5.221809704</v>
      </c>
      <c r="Y71" t="n">
        <v>7.624115939</v>
      </c>
      <c r="AB71" t="n">
        <v>3.622910614</v>
      </c>
      <c r="AC71" t="n">
        <v>9.957165419000001</v>
      </c>
      <c r="AE71" t="n">
        <v>1.31708484</v>
      </c>
      <c r="AF71" t="n">
        <v>11.008340696</v>
      </c>
      <c r="AG71" t="n">
        <v>10.031044722</v>
      </c>
      <c r="AH71" t="n">
        <v>8.763759516</v>
      </c>
      <c r="AJ71" t="n">
        <v>11.228235822</v>
      </c>
      <c r="AK71" t="n">
        <v>6.33756406</v>
      </c>
      <c r="AL71" t="n">
        <v>5.126538425</v>
      </c>
      <c r="AN71" t="n">
        <v>5.70508069</v>
      </c>
      <c r="AP71" t="n">
        <v>6.708180336</v>
      </c>
      <c r="AT71" t="n">
        <v>6.010911571</v>
      </c>
      <c r="AV71" t="n">
        <v>5.519829554</v>
      </c>
      <c r="AW71" t="n">
        <v>6.536189845</v>
      </c>
    </row>
    <row r="72">
      <c r="A72" t="inlineStr">
        <is>
          <t>1964-Q4</t>
        </is>
      </c>
      <c r="B72" s="87" t="n">
        <v>23743</v>
      </c>
      <c r="D72" t="n">
        <v>5.858689019</v>
      </c>
      <c r="E72" t="n">
        <v>6.342411772</v>
      </c>
      <c r="F72" t="n">
        <v>6.154568633</v>
      </c>
      <c r="H72" t="n">
        <v>4.491300125</v>
      </c>
      <c r="I72" t="n">
        <v>2.458913009</v>
      </c>
      <c r="M72" t="n">
        <v>5.091160602</v>
      </c>
      <c r="N72" t="n">
        <v>9.561803339000001</v>
      </c>
      <c r="P72" t="n">
        <v>5.229997125</v>
      </c>
      <c r="T72" t="n">
        <v>3.115370897</v>
      </c>
      <c r="U72" t="n">
        <v>5.061878877</v>
      </c>
      <c r="V72" t="n">
        <v>4.987308926</v>
      </c>
      <c r="X72" t="n">
        <v>4.451878698</v>
      </c>
      <c r="Y72" t="n">
        <v>8.465315910999999</v>
      </c>
      <c r="AB72" t="n">
        <v>3.139136791</v>
      </c>
      <c r="AC72" t="n">
        <v>8.783337612</v>
      </c>
      <c r="AE72" t="n">
        <v>-0.133944496</v>
      </c>
      <c r="AF72" t="n">
        <v>8.653015152</v>
      </c>
      <c r="AG72" t="n">
        <v>14.347039455</v>
      </c>
      <c r="AH72" t="n">
        <v>6.338888111</v>
      </c>
      <c r="AJ72" t="n">
        <v>9.52607796</v>
      </c>
      <c r="AK72" t="n">
        <v>5.237841069</v>
      </c>
      <c r="AL72" t="n">
        <v>5.401899686</v>
      </c>
      <c r="AN72" t="n">
        <v>5.190905002</v>
      </c>
      <c r="AP72" t="n">
        <v>7.294715415</v>
      </c>
      <c r="AT72" t="n">
        <v>6.213720119</v>
      </c>
      <c r="AV72" t="n">
        <v>5.156343065</v>
      </c>
      <c r="AW72" t="n">
        <v>7.752810132</v>
      </c>
    </row>
    <row r="73">
      <c r="A73" t="inlineStr">
        <is>
          <t>1965-Q1</t>
        </is>
      </c>
      <c r="B73" s="87" t="n">
        <v>23833</v>
      </c>
      <c r="D73" t="n">
        <v>6.922837003</v>
      </c>
      <c r="E73" t="n">
        <v>4.196978101</v>
      </c>
      <c r="F73" t="n">
        <v>4.849101204</v>
      </c>
      <c r="H73" t="n">
        <v>5.171655499</v>
      </c>
      <c r="I73" t="n">
        <v>4.875062358</v>
      </c>
      <c r="M73" t="n">
        <v>5.361369982</v>
      </c>
      <c r="N73" t="n">
        <v>6.891405842</v>
      </c>
      <c r="P73" t="n">
        <v>6.865155889</v>
      </c>
      <c r="T73" t="n">
        <v>5.114941872</v>
      </c>
      <c r="U73" t="n">
        <v>3.349449551</v>
      </c>
      <c r="V73" t="n">
        <v>4.710837182</v>
      </c>
      <c r="X73" t="n">
        <v>3.491608073</v>
      </c>
      <c r="Y73" t="n">
        <v>9.278531185</v>
      </c>
      <c r="AB73" t="n">
        <v>2.669783297</v>
      </c>
      <c r="AC73" t="n">
        <v>7.687191149</v>
      </c>
      <c r="AE73" t="n">
        <v>-0.263976118</v>
      </c>
      <c r="AF73" t="n">
        <v>6.150947015</v>
      </c>
      <c r="AG73" t="n">
        <v>9.284199363999999</v>
      </c>
      <c r="AH73" t="n">
        <v>4.041453594</v>
      </c>
      <c r="AJ73" t="n">
        <v>7.932758191</v>
      </c>
      <c r="AK73" t="n">
        <v>6.847701078</v>
      </c>
      <c r="AL73" t="n">
        <v>5.69306091</v>
      </c>
      <c r="AN73" t="n">
        <v>4.982058342</v>
      </c>
      <c r="AP73" t="n">
        <v>8.017283403</v>
      </c>
      <c r="AT73" t="n">
        <v>5.688605036</v>
      </c>
      <c r="AV73" t="n">
        <v>5.477141601</v>
      </c>
      <c r="AW73" t="n">
        <v>7.806654938</v>
      </c>
    </row>
    <row r="74">
      <c r="A74" t="inlineStr">
        <is>
          <t>1965-Q2</t>
        </is>
      </c>
      <c r="B74" s="87" t="n">
        <v>23924</v>
      </c>
      <c r="D74" t="n">
        <v>5.9847793</v>
      </c>
      <c r="E74" t="n">
        <v>3.252284099</v>
      </c>
      <c r="F74" t="n">
        <v>3.595216056</v>
      </c>
      <c r="H74" t="n">
        <v>5.78933802</v>
      </c>
      <c r="I74" t="n">
        <v>1.425322778</v>
      </c>
      <c r="M74" t="n">
        <v>5.732236512</v>
      </c>
      <c r="N74" t="n">
        <v>4.942764076</v>
      </c>
      <c r="P74" t="n">
        <v>5.581073249</v>
      </c>
      <c r="T74" t="n">
        <v>5.652137295</v>
      </c>
      <c r="U74" t="n">
        <v>4.914832602</v>
      </c>
      <c r="V74" t="n">
        <v>4.933358147</v>
      </c>
      <c r="X74" t="n">
        <v>1.673063556</v>
      </c>
      <c r="Y74" t="n">
        <v>10.040406075</v>
      </c>
      <c r="AB74" t="n">
        <v>2.206333118</v>
      </c>
      <c r="AC74" t="n">
        <v>6.628062325</v>
      </c>
      <c r="AE74" t="n">
        <v>2.764439154</v>
      </c>
      <c r="AF74" t="n">
        <v>4.944822401</v>
      </c>
      <c r="AG74" t="n">
        <v>12.773367981</v>
      </c>
      <c r="AH74" t="n">
        <v>1.859362449</v>
      </c>
      <c r="AJ74" t="n">
        <v>6.422489448</v>
      </c>
      <c r="AK74" t="n">
        <v>4.849417011</v>
      </c>
      <c r="AL74" t="n">
        <v>5.642409731</v>
      </c>
      <c r="AN74" t="n">
        <v>4.915755593</v>
      </c>
      <c r="AP74" t="n">
        <v>8.078711632999999</v>
      </c>
      <c r="AT74" t="n">
        <v>4.341760016</v>
      </c>
      <c r="AV74" t="n">
        <v>5.659284259</v>
      </c>
      <c r="AW74" t="n">
        <v>6.914559422</v>
      </c>
    </row>
    <row r="75">
      <c r="A75" t="inlineStr">
        <is>
          <t>1965-Q3</t>
        </is>
      </c>
      <c r="B75" s="87" t="n">
        <v>24016</v>
      </c>
      <c r="D75" t="n">
        <v>5.019178878</v>
      </c>
      <c r="E75" t="n">
        <v>4.399167286</v>
      </c>
      <c r="F75" t="n">
        <v>2.973808658</v>
      </c>
      <c r="H75" t="n">
        <v>6.124114964</v>
      </c>
      <c r="I75" t="n">
        <v>3.062773481</v>
      </c>
      <c r="M75" t="n">
        <v>5.341682654</v>
      </c>
      <c r="N75" t="n">
        <v>3.628825783</v>
      </c>
      <c r="P75" t="n">
        <v>5.860600134</v>
      </c>
      <c r="T75" t="n">
        <v>5.254751366</v>
      </c>
      <c r="U75" t="n">
        <v>5.141568422</v>
      </c>
      <c r="V75" t="n">
        <v>5.48036555</v>
      </c>
      <c r="X75" t="n">
        <v>2.117654143</v>
      </c>
      <c r="Y75" t="n">
        <v>9.782116979</v>
      </c>
      <c r="AB75" t="n">
        <v>1.708039123</v>
      </c>
      <c r="AC75" t="n">
        <v>6.760279622</v>
      </c>
      <c r="AE75" t="n">
        <v>4.309504193</v>
      </c>
      <c r="AF75" t="n">
        <v>5.690597963</v>
      </c>
      <c r="AG75" t="n">
        <v>4.75250966</v>
      </c>
      <c r="AH75" t="n">
        <v>0.8624123299999999</v>
      </c>
      <c r="AJ75" t="n">
        <v>5.770324987</v>
      </c>
      <c r="AK75" t="n">
        <v>3.831122158</v>
      </c>
      <c r="AL75" t="n">
        <v>5.263032089</v>
      </c>
      <c r="AN75" t="n">
        <v>5.287511098</v>
      </c>
      <c r="AP75" t="n">
        <v>7.510968374</v>
      </c>
      <c r="AT75" t="n">
        <v>2.194775346</v>
      </c>
      <c r="AV75" t="n">
        <v>6.346898404</v>
      </c>
      <c r="AW75" t="n">
        <v>5.584936856</v>
      </c>
    </row>
    <row r="76">
      <c r="A76" t="inlineStr">
        <is>
          <t>1965-Q4</t>
        </is>
      </c>
      <c r="B76" s="87" t="n">
        <v>24108</v>
      </c>
      <c r="D76" t="n">
        <v>2.36719807</v>
      </c>
      <c r="E76" t="n">
        <v>1.958314435</v>
      </c>
      <c r="F76" t="n">
        <v>2.971697898</v>
      </c>
      <c r="H76" t="n">
        <v>8.150395017999999</v>
      </c>
      <c r="I76" t="n">
        <v>3.425711145</v>
      </c>
      <c r="M76" t="n">
        <v>4.549872774</v>
      </c>
      <c r="N76" t="n">
        <v>2.891405765</v>
      </c>
      <c r="P76" t="n">
        <v>6.705244</v>
      </c>
      <c r="T76" t="n">
        <v>5.190231232</v>
      </c>
      <c r="U76" t="n">
        <v>5.650559413</v>
      </c>
      <c r="V76" t="n">
        <v>6.580241081</v>
      </c>
      <c r="X76" t="n">
        <v>1.207584771</v>
      </c>
      <c r="Y76" t="n">
        <v>8.50208958</v>
      </c>
      <c r="AB76" t="n">
        <v>1.162031714</v>
      </c>
      <c r="AC76" t="n">
        <v>8.073848152</v>
      </c>
      <c r="AE76" t="n">
        <v>6.32153055</v>
      </c>
      <c r="AF76" t="n">
        <v>6.007142001</v>
      </c>
      <c r="AG76" t="n">
        <v>3.053442617</v>
      </c>
      <c r="AH76" t="n">
        <v>1.025725976</v>
      </c>
      <c r="AJ76" t="n">
        <v>5.941480444</v>
      </c>
      <c r="AK76" t="n">
        <v>5.499010714</v>
      </c>
      <c r="AL76" t="n">
        <v>4.568888378</v>
      </c>
      <c r="AN76" t="n">
        <v>6.218829233</v>
      </c>
      <c r="AP76" t="n">
        <v>6.351470263</v>
      </c>
      <c r="AT76" t="n">
        <v>3.124282877</v>
      </c>
      <c r="AV76" t="n">
        <v>8.462164874000001</v>
      </c>
      <c r="AW76" t="n">
        <v>4.291390843</v>
      </c>
    </row>
    <row r="77">
      <c r="A77" t="inlineStr">
        <is>
          <t>1966-Q1</t>
        </is>
      </c>
      <c r="B77" s="87" t="n">
        <v>24198</v>
      </c>
      <c r="D77" t="n">
        <v>1.220479791</v>
      </c>
      <c r="E77" t="n">
        <v>6.314444341</v>
      </c>
      <c r="F77" t="n">
        <v>2.971085097</v>
      </c>
      <c r="H77" t="n">
        <v>6.856869393</v>
      </c>
      <c r="I77" t="n">
        <v>-0.441617997</v>
      </c>
      <c r="M77" t="n">
        <v>4.73437015</v>
      </c>
      <c r="N77" t="n">
        <v>2.695153835</v>
      </c>
      <c r="P77" t="n">
        <v>3.770686911</v>
      </c>
      <c r="T77" t="n">
        <v>0.972282941</v>
      </c>
      <c r="U77" t="n">
        <v>6.367614078</v>
      </c>
      <c r="V77" t="n">
        <v>6.853927901</v>
      </c>
      <c r="X77" t="n">
        <v>1.684226808</v>
      </c>
      <c r="Y77" t="n">
        <v>7.28346504</v>
      </c>
      <c r="AB77" t="n">
        <v>0.632172378</v>
      </c>
      <c r="AC77" t="n">
        <v>9.318345364000001</v>
      </c>
      <c r="AE77" t="n">
        <v>5.919711635</v>
      </c>
      <c r="AF77" t="n">
        <v>7.966393835</v>
      </c>
      <c r="AG77" t="n">
        <v>7.988937946</v>
      </c>
      <c r="AH77" t="n">
        <v>1.18992336</v>
      </c>
      <c r="AJ77" t="n">
        <v>6.103648188</v>
      </c>
      <c r="AK77" t="n">
        <v>-0.25207127</v>
      </c>
      <c r="AL77" t="n">
        <v>3.574913868</v>
      </c>
      <c r="AN77" t="n">
        <v>6.259928275</v>
      </c>
      <c r="AP77" t="n">
        <v>4.641394703</v>
      </c>
      <c r="AT77" t="n">
        <v>2.530094971</v>
      </c>
      <c r="AV77" t="n">
        <v>8.477495838999999</v>
      </c>
      <c r="AW77" t="n">
        <v>3.759659917</v>
      </c>
    </row>
    <row r="78">
      <c r="A78" t="inlineStr">
        <is>
          <t>1966-Q2</t>
        </is>
      </c>
      <c r="B78" s="87" t="n">
        <v>24289</v>
      </c>
      <c r="D78" t="n">
        <v>1.024816176</v>
      </c>
      <c r="E78" t="n">
        <v>5.625371444</v>
      </c>
      <c r="F78" t="n">
        <v>2.969128434</v>
      </c>
      <c r="H78" t="n">
        <v>8.086723845</v>
      </c>
      <c r="I78" t="n">
        <v>4.539785187</v>
      </c>
      <c r="M78" t="n">
        <v>3.424303762</v>
      </c>
      <c r="N78" t="n">
        <v>2.636285131</v>
      </c>
      <c r="P78" t="n">
        <v>8.669457866</v>
      </c>
      <c r="T78" t="n">
        <v>1.645746945</v>
      </c>
      <c r="U78" t="n">
        <v>5.355111501</v>
      </c>
      <c r="V78" t="n">
        <v>6.49378758</v>
      </c>
      <c r="X78" t="n">
        <v>2.204942543</v>
      </c>
      <c r="Y78" t="n">
        <v>6.143178555</v>
      </c>
      <c r="AB78" t="n">
        <v>0.105383703</v>
      </c>
      <c r="AC78" t="n">
        <v>10.536657195</v>
      </c>
      <c r="AE78" t="n">
        <v>5.328250977</v>
      </c>
      <c r="AF78" t="n">
        <v>10.806859365</v>
      </c>
      <c r="AG78" t="n">
        <v>14.418906359</v>
      </c>
      <c r="AH78" t="n">
        <v>1.349464532</v>
      </c>
      <c r="AJ78" t="n">
        <v>6.263107691</v>
      </c>
      <c r="AK78" t="n">
        <v>3.75271861</v>
      </c>
      <c r="AL78" t="n">
        <v>3.272870889</v>
      </c>
      <c r="AN78" t="n">
        <v>6.36195333</v>
      </c>
      <c r="AP78" t="n">
        <v>3.757119338</v>
      </c>
      <c r="AT78" t="n">
        <v>2.612348835</v>
      </c>
      <c r="AV78" t="n">
        <v>7.490136087</v>
      </c>
      <c r="AW78" t="n">
        <v>3.883849891</v>
      </c>
    </row>
    <row r="79">
      <c r="A79" t="inlineStr">
        <is>
          <t>1966-Q3</t>
        </is>
      </c>
      <c r="B79" s="87" t="n">
        <v>24381</v>
      </c>
      <c r="D79" t="n">
        <v>4.187070088</v>
      </c>
      <c r="E79" t="n">
        <v>3.819090473</v>
      </c>
      <c r="F79" t="n">
        <v>3.103288341</v>
      </c>
      <c r="H79" t="n">
        <v>6.608989432</v>
      </c>
      <c r="I79" t="n">
        <v>2.14424718</v>
      </c>
      <c r="M79" t="n">
        <v>2.866220447</v>
      </c>
      <c r="N79" t="n">
        <v>2.711722355</v>
      </c>
      <c r="P79" t="n">
        <v>9.708258212</v>
      </c>
      <c r="T79" t="n">
        <v>1.49622237</v>
      </c>
      <c r="U79" t="n">
        <v>5.038777761</v>
      </c>
      <c r="V79" t="n">
        <v>5.750585487</v>
      </c>
      <c r="X79" t="n">
        <v>1.686350584</v>
      </c>
      <c r="Y79" t="n">
        <v>5.543635989</v>
      </c>
      <c r="AB79" t="n">
        <v>0.61202429</v>
      </c>
      <c r="AC79" t="n">
        <v>9.377732145</v>
      </c>
      <c r="AE79" t="n">
        <v>6.880078292</v>
      </c>
      <c r="AF79" t="n">
        <v>10.986148697</v>
      </c>
      <c r="AG79" t="n">
        <v>13.337432054</v>
      </c>
      <c r="AH79" t="n">
        <v>1.190680844</v>
      </c>
      <c r="AJ79" t="n">
        <v>6.239657409</v>
      </c>
      <c r="AK79" t="n">
        <v>4.937033036</v>
      </c>
      <c r="AL79" t="n">
        <v>3.63544014</v>
      </c>
      <c r="AN79" t="n">
        <v>5.783258765</v>
      </c>
      <c r="AP79" t="n">
        <v>3.646398429</v>
      </c>
      <c r="AT79" t="n">
        <v>0.088233065</v>
      </c>
      <c r="AV79" t="n">
        <v>6.042874845</v>
      </c>
      <c r="AW79" t="n">
        <v>5.748257538</v>
      </c>
    </row>
    <row r="80">
      <c r="A80" t="inlineStr">
        <is>
          <t>1966-Q4</t>
        </is>
      </c>
      <c r="B80" s="87" t="n">
        <v>24473</v>
      </c>
      <c r="D80" t="n">
        <v>4.61801924</v>
      </c>
      <c r="E80" t="n">
        <v>4.274241416</v>
      </c>
      <c r="F80" t="n">
        <v>3.379550398</v>
      </c>
      <c r="H80" t="n">
        <v>5.322708959</v>
      </c>
      <c r="I80" t="n">
        <v>3.59051313</v>
      </c>
      <c r="M80" t="n">
        <v>0.657536009</v>
      </c>
      <c r="N80" t="n">
        <v>2.91883797</v>
      </c>
      <c r="P80" t="n">
        <v>6.812414143</v>
      </c>
      <c r="T80" t="n">
        <v>5.352346667</v>
      </c>
      <c r="U80" t="n">
        <v>4.162074119</v>
      </c>
      <c r="V80" t="n">
        <v>4.487973128</v>
      </c>
      <c r="X80" t="n">
        <v>0.633508559</v>
      </c>
      <c r="Y80" t="n">
        <v>5.485716</v>
      </c>
      <c r="AB80" t="n">
        <v>2.221086894</v>
      </c>
      <c r="AC80" t="n">
        <v>5.851204164</v>
      </c>
      <c r="AE80" t="n">
        <v>5.802716803</v>
      </c>
      <c r="AF80" t="n">
        <v>11.471788614</v>
      </c>
      <c r="AG80" t="n">
        <v>12.228569249</v>
      </c>
      <c r="AH80" t="n">
        <v>0.694544523</v>
      </c>
      <c r="AJ80" t="n">
        <v>6.028594206</v>
      </c>
      <c r="AK80" t="n">
        <v>2.540834896</v>
      </c>
      <c r="AL80" t="n">
        <v>4.645598806</v>
      </c>
      <c r="AN80" t="n">
        <v>4.666692501</v>
      </c>
      <c r="AP80" t="n">
        <v>4.277713759</v>
      </c>
      <c r="AT80" t="n">
        <v>3.10840747</v>
      </c>
      <c r="AV80" t="n">
        <v>4.505020174</v>
      </c>
      <c r="AW80" t="n">
        <v>4.360363048</v>
      </c>
    </row>
    <row r="81">
      <c r="A81" t="inlineStr">
        <is>
          <t>1967-Q1</t>
        </is>
      </c>
      <c r="B81" s="87" t="n">
        <v>24563</v>
      </c>
      <c r="D81" t="n">
        <v>9.016714696999999</v>
      </c>
      <c r="E81" t="n">
        <v>1.930249257</v>
      </c>
      <c r="F81" t="n">
        <v>3.648900655</v>
      </c>
      <c r="H81" t="n">
        <v>3.117191326</v>
      </c>
      <c r="I81" t="n">
        <v>7.949770593</v>
      </c>
      <c r="M81" t="n">
        <v>-1.629790537</v>
      </c>
      <c r="N81" t="n">
        <v>3.255343506</v>
      </c>
      <c r="P81" t="n">
        <v>7.840548426</v>
      </c>
      <c r="T81" t="n">
        <v>4.942012725</v>
      </c>
      <c r="U81" t="n">
        <v>4.999723198</v>
      </c>
      <c r="V81" t="n">
        <v>3.599191685</v>
      </c>
      <c r="X81" t="n">
        <v>1.821904985</v>
      </c>
      <c r="Y81" t="n">
        <v>5.436672468</v>
      </c>
      <c r="AB81" t="n">
        <v>3.822701683</v>
      </c>
      <c r="AC81" t="n">
        <v>2.528131274</v>
      </c>
      <c r="AE81" t="n">
        <v>6.879902345</v>
      </c>
      <c r="AF81" t="n">
        <v>11.443301697</v>
      </c>
      <c r="AG81" t="n">
        <v>9.310976925</v>
      </c>
      <c r="AH81" t="n">
        <v>0.209683213</v>
      </c>
      <c r="AJ81" t="n">
        <v>5.827578402</v>
      </c>
      <c r="AK81" t="n">
        <v>6.847092673</v>
      </c>
      <c r="AL81" t="n">
        <v>6.295465769</v>
      </c>
      <c r="AN81" t="n">
        <v>4.092388608</v>
      </c>
      <c r="AP81" t="n">
        <v>5.637748215</v>
      </c>
      <c r="AT81" t="n">
        <v>2.780279262</v>
      </c>
      <c r="AV81" t="n">
        <v>2.925036251</v>
      </c>
      <c r="AW81" t="n">
        <v>6.656582495</v>
      </c>
    </row>
    <row r="82">
      <c r="A82" t="inlineStr">
        <is>
          <t>1967-Q2</t>
        </is>
      </c>
      <c r="B82" s="87" t="n">
        <v>24654</v>
      </c>
      <c r="D82" t="n">
        <v>7.388663968</v>
      </c>
      <c r="E82" t="n">
        <v>2.930030802</v>
      </c>
      <c r="F82" t="n">
        <v>3.912870448</v>
      </c>
      <c r="H82" t="n">
        <v>3.101253371</v>
      </c>
      <c r="I82" t="n">
        <v>1.676302283</v>
      </c>
      <c r="M82" t="n">
        <v>-2.237879279</v>
      </c>
      <c r="N82" t="n">
        <v>3.454916878</v>
      </c>
      <c r="P82" t="n">
        <v>3.773644417</v>
      </c>
      <c r="T82" t="n">
        <v>3.677660328</v>
      </c>
      <c r="U82" t="n">
        <v>4.567421441</v>
      </c>
      <c r="V82" t="n">
        <v>3.371102252</v>
      </c>
      <c r="X82" t="n">
        <v>2.666325427</v>
      </c>
      <c r="Y82" t="n">
        <v>5.382741926</v>
      </c>
      <c r="AB82" t="n">
        <v>5.408445112</v>
      </c>
      <c r="AC82" t="n">
        <v>-0.593416448</v>
      </c>
      <c r="AE82" t="n">
        <v>7.6455601</v>
      </c>
      <c r="AF82" t="n">
        <v>10.132281283</v>
      </c>
      <c r="AG82" t="n">
        <v>5.084573662</v>
      </c>
      <c r="AH82" t="n">
        <v>-0.271576295</v>
      </c>
      <c r="AJ82" t="n">
        <v>5.632259403</v>
      </c>
      <c r="AK82" t="n">
        <v>4.844838143</v>
      </c>
      <c r="AL82" t="n">
        <v>6.930096169</v>
      </c>
      <c r="AN82" t="n">
        <v>3.567828922</v>
      </c>
      <c r="AP82" t="n">
        <v>6.942624099</v>
      </c>
      <c r="AT82" t="n">
        <v>3.810406434</v>
      </c>
      <c r="AV82" t="n">
        <v>2.637515281</v>
      </c>
      <c r="AW82" t="n">
        <v>5.676076147</v>
      </c>
    </row>
    <row r="83">
      <c r="A83" t="inlineStr">
        <is>
          <t>1967-Q3</t>
        </is>
      </c>
      <c r="B83" s="87" t="n">
        <v>24746</v>
      </c>
      <c r="D83" t="n">
        <v>6.396461156</v>
      </c>
      <c r="E83" t="n">
        <v>1.969745836</v>
      </c>
      <c r="F83" t="n">
        <v>4.002077606</v>
      </c>
      <c r="H83" t="n">
        <v>3.494948211</v>
      </c>
      <c r="I83" t="n">
        <v>1.772205274</v>
      </c>
      <c r="M83" t="n">
        <v>0</v>
      </c>
      <c r="N83" t="n">
        <v>3.519794933</v>
      </c>
      <c r="P83" t="n">
        <v>3.500479377</v>
      </c>
      <c r="T83" t="n">
        <v>1.95673609</v>
      </c>
      <c r="U83" t="n">
        <v>4.376943527</v>
      </c>
      <c r="V83" t="n">
        <v>3.769639064</v>
      </c>
      <c r="X83" t="n">
        <v>2.798958581</v>
      </c>
      <c r="Y83" t="n">
        <v>5.452097117</v>
      </c>
      <c r="AB83" t="n">
        <v>6.582321072</v>
      </c>
      <c r="AC83" t="n">
        <v>-2.783749775</v>
      </c>
      <c r="AE83" t="n">
        <v>6.30141378</v>
      </c>
      <c r="AF83" t="n">
        <v>11.24638467</v>
      </c>
      <c r="AG83" t="n">
        <v>11.359761663</v>
      </c>
      <c r="AH83" t="n">
        <v>-0.036789086</v>
      </c>
      <c r="AJ83" t="n">
        <v>5.833420987</v>
      </c>
      <c r="AK83" t="n">
        <v>4.445109756</v>
      </c>
      <c r="AL83" t="n">
        <v>6.569831344</v>
      </c>
      <c r="AN83" t="n">
        <v>3.871782017</v>
      </c>
      <c r="AP83" t="n">
        <v>8.180645555</v>
      </c>
      <c r="AT83" t="n">
        <v>4.836197755</v>
      </c>
      <c r="AV83" t="n">
        <v>2.738492797</v>
      </c>
      <c r="AW83" t="n">
        <v>9.378365174000001</v>
      </c>
    </row>
    <row r="84">
      <c r="A84" t="inlineStr">
        <is>
          <t>1967-Q4</t>
        </is>
      </c>
      <c r="B84" s="87" t="n">
        <v>24838</v>
      </c>
      <c r="D84" t="n">
        <v>6.621257896</v>
      </c>
      <c r="E84" t="n">
        <v>2.697595931</v>
      </c>
      <c r="F84" t="n">
        <v>3.907736492</v>
      </c>
      <c r="H84" t="n">
        <v>2.65787795</v>
      </c>
      <c r="I84" t="n">
        <v>1.130889688</v>
      </c>
      <c r="M84" t="n">
        <v>2.892640581</v>
      </c>
      <c r="N84" t="n">
        <v>3.452805233</v>
      </c>
      <c r="P84" t="n">
        <v>2.478592655</v>
      </c>
      <c r="T84" t="n">
        <v>-1.68227821</v>
      </c>
      <c r="U84" t="n">
        <v>4.822061724</v>
      </c>
      <c r="V84" t="n">
        <v>4.324802569</v>
      </c>
      <c r="X84" t="n">
        <v>3.759652453</v>
      </c>
      <c r="Y84" t="n">
        <v>5.648204716</v>
      </c>
      <c r="AB84" t="n">
        <v>7.289443583</v>
      </c>
      <c r="AC84" t="n">
        <v>-4.098472803</v>
      </c>
      <c r="AE84" t="n">
        <v>7.884903596</v>
      </c>
      <c r="AF84" t="n">
        <v>11.175461277</v>
      </c>
      <c r="AG84" t="n">
        <v>10.62251453</v>
      </c>
      <c r="AH84" t="n">
        <v>0.963930523</v>
      </c>
      <c r="AJ84" t="n">
        <v>6.441395722</v>
      </c>
      <c r="AK84" t="n">
        <v>5.052885411</v>
      </c>
      <c r="AL84" t="n">
        <v>5.258175608</v>
      </c>
      <c r="AN84" t="n">
        <v>4.293343738</v>
      </c>
      <c r="AP84" t="n">
        <v>9.34170357</v>
      </c>
      <c r="AT84" t="n">
        <v>2.106844941</v>
      </c>
      <c r="AV84" t="n">
        <v>2.670839761</v>
      </c>
      <c r="AW84" t="n">
        <v>7.040123665</v>
      </c>
    </row>
    <row r="85">
      <c r="A85" t="inlineStr">
        <is>
          <t>1968-Q1</t>
        </is>
      </c>
      <c r="B85" s="87" t="n">
        <v>24929</v>
      </c>
      <c r="D85" t="n">
        <v>1.703464027</v>
      </c>
      <c r="E85" t="n">
        <v>3.091996527</v>
      </c>
      <c r="F85" t="n">
        <v>3.818340183</v>
      </c>
      <c r="H85" t="n">
        <v>3.737145571</v>
      </c>
      <c r="I85" t="n">
        <v>-0.065956367</v>
      </c>
      <c r="M85" t="n">
        <v>4.617508884</v>
      </c>
      <c r="N85" t="n">
        <v>3.257472627</v>
      </c>
      <c r="P85" t="n">
        <v>4.377876104</v>
      </c>
      <c r="T85" t="n">
        <v>0.6244873440000001</v>
      </c>
      <c r="U85" t="n">
        <v>6.054590299</v>
      </c>
      <c r="V85" t="n">
        <v>5.291461732</v>
      </c>
      <c r="X85" t="n">
        <v>6.11604629</v>
      </c>
      <c r="Y85" t="n">
        <v>5.843291796</v>
      </c>
      <c r="AB85" t="n">
        <v>7.960987056</v>
      </c>
      <c r="AC85" t="n">
        <v>-5.394211259</v>
      </c>
      <c r="AE85" t="n">
        <v>6.031792487</v>
      </c>
      <c r="AF85" t="n">
        <v>10.889312772</v>
      </c>
      <c r="AG85" t="n">
        <v>13.825729552</v>
      </c>
      <c r="AH85" t="n">
        <v>1.968540785</v>
      </c>
      <c r="AJ85" t="n">
        <v>7.029301289</v>
      </c>
      <c r="AK85" t="n">
        <v>7.065278845</v>
      </c>
      <c r="AL85" t="n">
        <v>3.058504699</v>
      </c>
      <c r="AN85" t="n">
        <v>5.097219623</v>
      </c>
      <c r="AP85" t="n">
        <v>10.41790887</v>
      </c>
      <c r="AT85" t="n">
        <v>-0.6664072559999999</v>
      </c>
      <c r="AV85" t="n">
        <v>3.845214871</v>
      </c>
      <c r="AW85" t="n">
        <v>4.980981285</v>
      </c>
    </row>
    <row r="86">
      <c r="A86" t="inlineStr">
        <is>
          <t>1968-Q2</t>
        </is>
      </c>
      <c r="B86" s="87" t="n">
        <v>25020</v>
      </c>
      <c r="D86" t="n">
        <v>5.770473054</v>
      </c>
      <c r="E86" t="n">
        <v>3.425736769</v>
      </c>
      <c r="F86" t="n">
        <v>3.734144206</v>
      </c>
      <c r="H86" t="n">
        <v>4.360391734</v>
      </c>
      <c r="I86" t="n">
        <v>1.480760364</v>
      </c>
      <c r="M86" t="n">
        <v>5.761267217</v>
      </c>
      <c r="N86" t="n">
        <v>3.468764591</v>
      </c>
      <c r="P86" t="n">
        <v>6.267991786</v>
      </c>
      <c r="T86" t="n">
        <v>1.417281106</v>
      </c>
      <c r="U86" t="n">
        <v>-3.046591848</v>
      </c>
      <c r="V86" t="n">
        <v>5.479484304</v>
      </c>
      <c r="X86" t="n">
        <v>4.216287265</v>
      </c>
      <c r="Y86" t="n">
        <v>6.034791185</v>
      </c>
      <c r="AB86" t="n">
        <v>8.628158072</v>
      </c>
      <c r="AC86" t="n">
        <v>-6.725705081</v>
      </c>
      <c r="AE86" t="n">
        <v>5.973454093</v>
      </c>
      <c r="AF86" t="n">
        <v>11.668719373</v>
      </c>
      <c r="AG86" t="n">
        <v>13.138739029</v>
      </c>
      <c r="AH86" t="n">
        <v>2.96303208</v>
      </c>
      <c r="AJ86" t="n">
        <v>7.606982994</v>
      </c>
      <c r="AK86" t="n">
        <v>6.098563158</v>
      </c>
      <c r="AL86" t="n">
        <v>1.889273238</v>
      </c>
      <c r="AN86" t="n">
        <v>5.506519862</v>
      </c>
      <c r="AP86" t="n">
        <v>10.206450527</v>
      </c>
      <c r="AT86" t="n">
        <v>4.441642659</v>
      </c>
      <c r="AV86" t="n">
        <v>5.51558151</v>
      </c>
      <c r="AW86" t="n">
        <v>5.279118669</v>
      </c>
    </row>
    <row r="87">
      <c r="A87" t="inlineStr">
        <is>
          <t>1968-Q3</t>
        </is>
      </c>
      <c r="B87" s="87" t="n">
        <v>25112</v>
      </c>
      <c r="D87" t="n">
        <v>5.192861375</v>
      </c>
      <c r="E87" t="n">
        <v>5.997559071</v>
      </c>
      <c r="F87" t="n">
        <v>4.122067658</v>
      </c>
      <c r="H87" t="n">
        <v>5.4106085</v>
      </c>
      <c r="I87" t="n">
        <v>5.510627267</v>
      </c>
      <c r="M87" t="n">
        <v>5.534700242</v>
      </c>
      <c r="N87" t="n">
        <v>4.076454082</v>
      </c>
      <c r="P87" t="n">
        <v>5.318367219</v>
      </c>
      <c r="T87" t="n">
        <v>2.316299546</v>
      </c>
      <c r="U87" t="n">
        <v>6.957438518</v>
      </c>
      <c r="V87" t="n">
        <v>6.25482159</v>
      </c>
      <c r="X87" t="n">
        <v>5.795785294</v>
      </c>
      <c r="Y87" t="n">
        <v>6.746827129</v>
      </c>
      <c r="AB87" t="n">
        <v>8.577224612</v>
      </c>
      <c r="AC87" t="n">
        <v>-6.172334619</v>
      </c>
      <c r="AE87" t="n">
        <v>6.874522889</v>
      </c>
      <c r="AF87" t="n">
        <v>10.369641908</v>
      </c>
      <c r="AG87" t="n">
        <v>14.21700907</v>
      </c>
      <c r="AH87" t="n">
        <v>4.67629448</v>
      </c>
      <c r="AJ87" t="n">
        <v>7.54069153</v>
      </c>
      <c r="AK87" t="n">
        <v>4.986113557</v>
      </c>
      <c r="AL87" t="n">
        <v>1.685966386</v>
      </c>
      <c r="AN87" t="n">
        <v>6.212061268</v>
      </c>
      <c r="AP87" t="n">
        <v>8.788009085000001</v>
      </c>
      <c r="AT87" t="n">
        <v>6.908329117</v>
      </c>
      <c r="AV87" t="n">
        <v>5.336668233</v>
      </c>
      <c r="AW87" t="n">
        <v>1.320678553</v>
      </c>
    </row>
    <row r="88">
      <c r="A88" t="inlineStr">
        <is>
          <t>1968-Q4</t>
        </is>
      </c>
      <c r="B88" s="87" t="n">
        <v>25204</v>
      </c>
      <c r="D88" t="n">
        <v>8.172938219000001</v>
      </c>
      <c r="E88" t="n">
        <v>5.252432914</v>
      </c>
      <c r="F88" t="n">
        <v>4.995953916</v>
      </c>
      <c r="H88" t="n">
        <v>6.435475599</v>
      </c>
      <c r="I88" t="n">
        <v>7.524885244</v>
      </c>
      <c r="M88" t="n">
        <v>5.767579384</v>
      </c>
      <c r="N88" t="n">
        <v>5.071583791</v>
      </c>
      <c r="P88" t="n">
        <v>10.381103957</v>
      </c>
      <c r="T88" t="n">
        <v>4.872273641</v>
      </c>
      <c r="U88" t="n">
        <v>7.01025557</v>
      </c>
      <c r="V88" t="n">
        <v>6.674441882</v>
      </c>
      <c r="X88" t="n">
        <v>5.682086051</v>
      </c>
      <c r="Y88" t="n">
        <v>7.982468312</v>
      </c>
      <c r="AB88" t="n">
        <v>7.817075521</v>
      </c>
      <c r="AC88" t="n">
        <v>-3.556261768</v>
      </c>
      <c r="AE88" t="n">
        <v>7.257052077</v>
      </c>
      <c r="AF88" t="n">
        <v>14.445485764</v>
      </c>
      <c r="AG88" t="n">
        <v>11.531282406</v>
      </c>
      <c r="AH88" t="n">
        <v>7.09424257</v>
      </c>
      <c r="AJ88" t="n">
        <v>6.834903722</v>
      </c>
      <c r="AK88" t="n">
        <v>7.516450622</v>
      </c>
      <c r="AL88" t="n">
        <v>2.416678176</v>
      </c>
      <c r="AN88" t="n">
        <v>6.766163661</v>
      </c>
      <c r="AP88" t="n">
        <v>6.257647541</v>
      </c>
      <c r="AT88" t="n">
        <v>3.906173779</v>
      </c>
      <c r="AV88" t="n">
        <v>4.95956536</v>
      </c>
      <c r="AW88" t="n">
        <v>5.145436461</v>
      </c>
    </row>
    <row r="89">
      <c r="A89" t="inlineStr">
        <is>
          <t>1969-Q1</t>
        </is>
      </c>
      <c r="B89" s="87" t="n">
        <v>25294</v>
      </c>
      <c r="D89" t="n">
        <v>8.38921639</v>
      </c>
      <c r="E89" t="n">
        <v>4.950315158</v>
      </c>
      <c r="F89" t="n">
        <v>5.851068068</v>
      </c>
      <c r="H89" t="n">
        <v>6.941110413</v>
      </c>
      <c r="I89" t="n">
        <v>3.310148754</v>
      </c>
      <c r="M89" t="n">
        <v>7.174887892</v>
      </c>
      <c r="N89" t="n">
        <v>6.446420688</v>
      </c>
      <c r="P89" t="n">
        <v>11.909356618</v>
      </c>
      <c r="T89" t="n">
        <v>8.892996454</v>
      </c>
      <c r="U89" t="n">
        <v>4.175764548</v>
      </c>
      <c r="V89" t="n">
        <v>5.973734063</v>
      </c>
      <c r="X89" t="n">
        <v>1.70513001</v>
      </c>
      <c r="Y89" t="n">
        <v>9.173695217000001</v>
      </c>
      <c r="AB89" t="n">
        <v>7.092007268</v>
      </c>
      <c r="AC89" t="n">
        <v>-0.850472472</v>
      </c>
      <c r="AE89" t="n">
        <v>8.672652972</v>
      </c>
      <c r="AF89" t="n">
        <v>12.761530267</v>
      </c>
      <c r="AG89" t="n">
        <v>10.218171576</v>
      </c>
      <c r="AH89" t="n">
        <v>9.437634371</v>
      </c>
      <c r="AJ89" t="n">
        <v>6.164891315</v>
      </c>
      <c r="AK89" t="n">
        <v>4.456164096</v>
      </c>
      <c r="AL89" t="n">
        <v>4.07878292</v>
      </c>
      <c r="AN89" t="n">
        <v>6.162342078</v>
      </c>
      <c r="AP89" t="n">
        <v>2.689879993</v>
      </c>
      <c r="AT89" t="n">
        <v>5.22821098</v>
      </c>
      <c r="AV89" t="n">
        <v>4.471598105</v>
      </c>
      <c r="AW89" t="n">
        <v>4.190433764</v>
      </c>
    </row>
    <row r="90">
      <c r="A90" t="inlineStr">
        <is>
          <t>1969-Q2</t>
        </is>
      </c>
      <c r="B90" s="87" t="n">
        <v>25385</v>
      </c>
      <c r="D90" t="n">
        <v>6.438855404</v>
      </c>
      <c r="E90" t="n">
        <v>5.686384345</v>
      </c>
      <c r="F90" t="n">
        <v>6.67499965</v>
      </c>
      <c r="H90" t="n">
        <v>4.624843343</v>
      </c>
      <c r="I90" t="n">
        <v>6.356659597</v>
      </c>
      <c r="M90" t="n">
        <v>7.71280633</v>
      </c>
      <c r="N90" t="n">
        <v>6.936691676</v>
      </c>
      <c r="P90" t="n">
        <v>8.247020152999999</v>
      </c>
      <c r="T90" t="n">
        <v>8.162703614</v>
      </c>
      <c r="U90" t="n">
        <v>15.486192588</v>
      </c>
      <c r="V90" t="n">
        <v>6.135268497</v>
      </c>
      <c r="X90" t="n">
        <v>2.917672386</v>
      </c>
      <c r="Y90" t="n">
        <v>10.310386762</v>
      </c>
      <c r="AB90" t="n">
        <v>6.393462502</v>
      </c>
      <c r="AC90" t="n">
        <v>1.940155508</v>
      </c>
      <c r="AE90" t="n">
        <v>8.365126942</v>
      </c>
      <c r="AF90" t="n">
        <v>12.216026566</v>
      </c>
      <c r="AG90" t="n">
        <v>12.369490488</v>
      </c>
      <c r="AH90" t="n">
        <v>11.731351725</v>
      </c>
      <c r="AJ90" t="n">
        <v>5.510473781</v>
      </c>
      <c r="AK90" t="n">
        <v>5.974732605</v>
      </c>
      <c r="AL90" t="n">
        <v>4.912590552</v>
      </c>
      <c r="AN90" t="n">
        <v>6.185635613</v>
      </c>
      <c r="AP90" t="n">
        <v>0.549384166</v>
      </c>
      <c r="AT90" t="n">
        <v>2.382584362</v>
      </c>
      <c r="AV90" t="n">
        <v>3.067141538</v>
      </c>
      <c r="AW90" t="n">
        <v>3.643046824</v>
      </c>
    </row>
    <row r="91">
      <c r="A91" t="inlineStr">
        <is>
          <t>1969-Q3</t>
        </is>
      </c>
      <c r="B91" s="87" t="n">
        <v>25477</v>
      </c>
      <c r="D91" t="n">
        <v>6.791166444</v>
      </c>
      <c r="E91" t="n">
        <v>6.303681067</v>
      </c>
      <c r="F91" t="n">
        <v>7.033819708</v>
      </c>
      <c r="H91" t="n">
        <v>4.321373881</v>
      </c>
      <c r="I91" t="n">
        <v>7.802289589</v>
      </c>
      <c r="M91" t="n">
        <v>7.663339108</v>
      </c>
      <c r="N91" t="n">
        <v>6.565325656</v>
      </c>
      <c r="P91" t="n">
        <v>9.384354079</v>
      </c>
      <c r="T91" t="n">
        <v>10.853669782</v>
      </c>
      <c r="U91" t="n">
        <v>4.673238494</v>
      </c>
      <c r="V91" t="n">
        <v>5.017955521</v>
      </c>
      <c r="X91" t="n">
        <v>1.493396744</v>
      </c>
      <c r="Y91" t="n">
        <v>10.466986037</v>
      </c>
      <c r="AB91" t="n">
        <v>5.539777563</v>
      </c>
      <c r="AC91" t="n">
        <v>3.819850419</v>
      </c>
      <c r="AE91" t="n">
        <v>6.073814681</v>
      </c>
      <c r="AF91" t="n">
        <v>12.360262526</v>
      </c>
      <c r="AG91" t="n">
        <v>15.500480646</v>
      </c>
      <c r="AH91" t="n">
        <v>11.139335249</v>
      </c>
      <c r="AJ91" t="n">
        <v>5.479421526</v>
      </c>
      <c r="AK91" t="n">
        <v>7.796379743</v>
      </c>
      <c r="AL91" t="n">
        <v>4.917631611</v>
      </c>
      <c r="AN91" t="n">
        <v>5.466865486</v>
      </c>
      <c r="AP91" t="n">
        <v>1.413080435</v>
      </c>
      <c r="AT91" t="n">
        <v>5.545896747</v>
      </c>
      <c r="AV91" t="n">
        <v>2.950097041</v>
      </c>
      <c r="AW91" t="n">
        <v>7.218940101</v>
      </c>
    </row>
    <row r="92">
      <c r="A92" t="inlineStr">
        <is>
          <t>1969-Q4</t>
        </is>
      </c>
      <c r="B92" s="87" t="n">
        <v>25569</v>
      </c>
      <c r="D92" t="n">
        <v>5.325573421</v>
      </c>
      <c r="E92" t="n">
        <v>6.432192405</v>
      </c>
      <c r="F92" t="n">
        <v>6.911449231</v>
      </c>
      <c r="H92" t="n">
        <v>4.373345887</v>
      </c>
      <c r="I92" t="n">
        <v>5.007674597</v>
      </c>
      <c r="M92" t="n">
        <v>7.692303547</v>
      </c>
      <c r="N92" t="n">
        <v>5.371658006</v>
      </c>
      <c r="P92" t="n">
        <v>6.300111424</v>
      </c>
      <c r="T92" t="n">
        <v>10.432124647</v>
      </c>
      <c r="U92" t="n">
        <v>4.430436575</v>
      </c>
      <c r="V92" t="n">
        <v>4.040735931</v>
      </c>
      <c r="X92" t="n">
        <v>1.568258824</v>
      </c>
      <c r="Y92" t="n">
        <v>9.637789725999999</v>
      </c>
      <c r="AB92" t="n">
        <v>4.50596377</v>
      </c>
      <c r="AC92" t="n">
        <v>4.654050018</v>
      </c>
      <c r="AE92" t="n">
        <v>1.552414557</v>
      </c>
      <c r="AF92" t="n">
        <v>10.452610449</v>
      </c>
      <c r="AG92" t="n">
        <v>19.868867814</v>
      </c>
      <c r="AH92" t="n">
        <v>7.677501243</v>
      </c>
      <c r="AJ92" t="n">
        <v>6.069005197</v>
      </c>
      <c r="AK92" t="n">
        <v>7.439867661</v>
      </c>
      <c r="AL92" t="n">
        <v>4.113432797</v>
      </c>
      <c r="AN92" t="n">
        <v>4.568280236</v>
      </c>
      <c r="AP92" t="n">
        <v>3.82646095</v>
      </c>
      <c r="AT92" t="n">
        <v>6.883655394</v>
      </c>
      <c r="AV92" t="n">
        <v>2.046645083</v>
      </c>
      <c r="AW92" t="n">
        <v>3.809053319</v>
      </c>
    </row>
    <row r="93">
      <c r="A93" t="inlineStr">
        <is>
          <t>1970-Q1</t>
        </is>
      </c>
      <c r="B93" s="87" t="n">
        <v>25659</v>
      </c>
      <c r="D93" t="n">
        <v>8.267467291000001</v>
      </c>
      <c r="E93" t="n">
        <v>7.395607973</v>
      </c>
      <c r="F93" t="n">
        <v>6.780990349</v>
      </c>
      <c r="H93" t="n">
        <v>3.691399175</v>
      </c>
      <c r="I93" t="n">
        <v>9.730185706</v>
      </c>
      <c r="M93" t="n">
        <v>3.372586353</v>
      </c>
      <c r="N93" t="n">
        <v>3.409019702</v>
      </c>
      <c r="P93" t="n">
        <v>4.577155814</v>
      </c>
      <c r="T93" t="n">
        <v>6.198175872</v>
      </c>
      <c r="U93" t="n">
        <v>6.231298358</v>
      </c>
      <c r="V93" t="n">
        <v>3.442699636</v>
      </c>
      <c r="X93" t="n">
        <v>1.177147056</v>
      </c>
      <c r="Y93" t="n">
        <v>7.899130229</v>
      </c>
      <c r="AB93" t="n">
        <v>4.737700024</v>
      </c>
      <c r="AC93" t="n">
        <v>0.957151579</v>
      </c>
      <c r="AE93" t="n">
        <v>5.982116267</v>
      </c>
      <c r="AF93" t="n">
        <v>12.844536368</v>
      </c>
      <c r="AG93" t="n">
        <v>12.10800823</v>
      </c>
      <c r="AH93" t="n">
        <v>5.064038509</v>
      </c>
      <c r="AJ93" t="n">
        <v>6.629729216</v>
      </c>
      <c r="AK93" t="n">
        <v>5.451396488</v>
      </c>
      <c r="AL93" t="n">
        <v>2.538372103</v>
      </c>
      <c r="AN93" t="n">
        <v>4.082750702</v>
      </c>
      <c r="AP93" t="n">
        <v>7.491879766</v>
      </c>
      <c r="AT93" t="n">
        <v>8.781951851000001</v>
      </c>
      <c r="AV93" t="n">
        <v>0.324934603</v>
      </c>
      <c r="AW93" t="n">
        <v>5.286849847</v>
      </c>
    </row>
    <row r="94">
      <c r="A94" t="inlineStr">
        <is>
          <t>1970-Q2</t>
        </is>
      </c>
      <c r="B94" s="87" t="n">
        <v>25750</v>
      </c>
      <c r="D94" t="n">
        <v>8.299391397000001</v>
      </c>
      <c r="E94" t="n">
        <v>8.132038636000001</v>
      </c>
      <c r="F94" t="n">
        <v>6.668750619</v>
      </c>
      <c r="H94" t="n">
        <v>3.178680395</v>
      </c>
      <c r="I94" t="n">
        <v>7.258085805</v>
      </c>
      <c r="M94" t="n">
        <v>6.120867916</v>
      </c>
      <c r="N94" t="n">
        <v>2.096540576</v>
      </c>
      <c r="P94" t="n">
        <v>5.098377176</v>
      </c>
      <c r="T94" t="n">
        <v>8.848863767999999</v>
      </c>
      <c r="U94" t="n">
        <v>4.996378068</v>
      </c>
      <c r="V94" t="n">
        <v>3.436041267</v>
      </c>
      <c r="X94" t="n">
        <v>2.752027045</v>
      </c>
      <c r="Y94" t="n">
        <v>9.125804564999999</v>
      </c>
      <c r="AB94" t="n">
        <v>2.635779581</v>
      </c>
      <c r="AC94" t="n">
        <v>6.290574409</v>
      </c>
      <c r="AE94" t="n">
        <v>4.862220846</v>
      </c>
      <c r="AF94" t="n">
        <v>10.98153819</v>
      </c>
      <c r="AG94" t="n">
        <v>12.724290157</v>
      </c>
      <c r="AH94" t="n">
        <v>1.533094794</v>
      </c>
      <c r="AJ94" t="n">
        <v>7.181340692</v>
      </c>
      <c r="AK94" t="n">
        <v>6.659421098</v>
      </c>
      <c r="AL94" t="n">
        <v>1.70924371</v>
      </c>
      <c r="AN94" t="n">
        <v>4.102229454</v>
      </c>
      <c r="AP94" t="n">
        <v>10.913052805</v>
      </c>
      <c r="AT94" t="n">
        <v>6.79729883</v>
      </c>
      <c r="AV94" t="n">
        <v>0.162835451</v>
      </c>
      <c r="AW94" t="n">
        <v>7.525998533</v>
      </c>
    </row>
    <row r="95">
      <c r="A95" t="inlineStr">
        <is>
          <t>1970-Q3</t>
        </is>
      </c>
      <c r="B95" s="87" t="n">
        <v>25842</v>
      </c>
      <c r="D95" t="n">
        <v>6.307481634</v>
      </c>
      <c r="E95" t="n">
        <v>7.635446134</v>
      </c>
      <c r="F95" t="n">
        <v>6.148273164</v>
      </c>
      <c r="H95" t="n">
        <v>3.136628399</v>
      </c>
      <c r="I95" t="n">
        <v>4.414113024</v>
      </c>
      <c r="M95" t="n">
        <v>5.82953727</v>
      </c>
      <c r="N95" t="n">
        <v>1.387056399</v>
      </c>
      <c r="P95" t="n">
        <v>3.701023587</v>
      </c>
      <c r="T95" t="n">
        <v>7.891059781</v>
      </c>
      <c r="U95" t="n">
        <v>5.44556343</v>
      </c>
      <c r="V95" t="n">
        <v>3.799010827</v>
      </c>
      <c r="X95" t="n">
        <v>3.203404076</v>
      </c>
      <c r="Y95" t="n">
        <v>8.759931791</v>
      </c>
      <c r="AB95" t="n">
        <v>1.645343858</v>
      </c>
      <c r="AC95" t="n">
        <v>10.047954045</v>
      </c>
      <c r="AE95" t="n">
        <v>6.710902356</v>
      </c>
      <c r="AF95" t="n">
        <v>11.290849578</v>
      </c>
      <c r="AG95" t="n">
        <v>4.960290713</v>
      </c>
      <c r="AH95" t="n">
        <v>-0.008191354</v>
      </c>
      <c r="AJ95" t="n">
        <v>6.853289384</v>
      </c>
      <c r="AK95" t="n">
        <v>5.829976517</v>
      </c>
      <c r="AL95" t="n">
        <v>1.59044565</v>
      </c>
      <c r="AN95" t="n">
        <v>4.153916447</v>
      </c>
      <c r="AP95" t="n">
        <v>9.496946693</v>
      </c>
      <c r="AT95" t="n">
        <v>5.853065562</v>
      </c>
      <c r="AV95" t="n">
        <v>0.422581476</v>
      </c>
      <c r="AW95" t="n">
        <v>1.642860733</v>
      </c>
    </row>
    <row r="96">
      <c r="A96" t="inlineStr">
        <is>
          <t>1970-Q4</t>
        </is>
      </c>
      <c r="B96" s="87" t="n">
        <v>25934</v>
      </c>
      <c r="D96" t="n">
        <v>4.407867963</v>
      </c>
      <c r="E96" t="n">
        <v>7.874498883</v>
      </c>
      <c r="F96" t="n">
        <v>5.213218572</v>
      </c>
      <c r="H96" t="n">
        <v>1.86252244</v>
      </c>
      <c r="I96" t="n">
        <v>5.071641148</v>
      </c>
      <c r="M96" t="n">
        <v>5.111265622</v>
      </c>
      <c r="N96" t="n">
        <v>1.252016091</v>
      </c>
      <c r="P96" t="n">
        <v>3.362136729</v>
      </c>
      <c r="T96" t="n">
        <v>7.386272909</v>
      </c>
      <c r="U96" t="n">
        <v>6.261521475</v>
      </c>
      <c r="V96" t="n">
        <v>3.08784855</v>
      </c>
      <c r="X96" t="n">
        <v>3.617758861</v>
      </c>
      <c r="Y96" t="n">
        <v>6.093205954</v>
      </c>
      <c r="AB96" t="n">
        <v>1.678856697</v>
      </c>
      <c r="AC96" t="n">
        <v>12.314070416</v>
      </c>
      <c r="AE96" t="n">
        <v>9.034176950000001</v>
      </c>
      <c r="AF96" t="n">
        <v>6.765415354</v>
      </c>
      <c r="AG96" t="n">
        <v>10.81840433</v>
      </c>
      <c r="AH96" t="n">
        <v>0.365600335</v>
      </c>
      <c r="AJ96" t="n">
        <v>5.628723942</v>
      </c>
      <c r="AK96" t="n">
        <v>4.877153525</v>
      </c>
      <c r="AL96" t="n">
        <v>2.163655875</v>
      </c>
      <c r="AN96" t="n">
        <v>3.503269327</v>
      </c>
      <c r="AP96" t="n">
        <v>8.573941264</v>
      </c>
      <c r="AT96" t="n">
        <v>5.583959611</v>
      </c>
      <c r="AV96" t="n">
        <v>-0.166703591</v>
      </c>
      <c r="AW96" t="n">
        <v>6.658863094</v>
      </c>
    </row>
    <row r="97">
      <c r="A97" t="inlineStr">
        <is>
          <t>1971-Q1</t>
        </is>
      </c>
      <c r="B97" s="87" t="n">
        <v>26024</v>
      </c>
      <c r="D97" t="n">
        <v>3.519061584</v>
      </c>
      <c r="E97" t="n">
        <v>6.057112964</v>
      </c>
      <c r="F97" t="n">
        <v>4.319317325</v>
      </c>
      <c r="H97" t="n">
        <v>0.62791108</v>
      </c>
      <c r="I97" t="n">
        <v>4.16347731</v>
      </c>
      <c r="M97" t="n">
        <v>4.763644266</v>
      </c>
      <c r="N97" t="n">
        <v>1.679226286</v>
      </c>
      <c r="P97" t="n">
        <v>2.257438171</v>
      </c>
      <c r="T97" t="n">
        <v>1.510871282</v>
      </c>
      <c r="U97" t="n">
        <v>4.403152179</v>
      </c>
      <c r="V97" t="n">
        <v>3.324304777</v>
      </c>
      <c r="X97" t="n">
        <v>3.762931624</v>
      </c>
      <c r="Y97" t="n">
        <v>7.803711654</v>
      </c>
      <c r="AB97" t="n">
        <v>0.967777613</v>
      </c>
      <c r="AC97" t="n">
        <v>18.749203011</v>
      </c>
      <c r="AE97" t="n">
        <v>2.327837554</v>
      </c>
      <c r="AF97" t="n">
        <v>4.534988705</v>
      </c>
      <c r="AG97" t="n">
        <v>13.360842095</v>
      </c>
      <c r="AH97" t="n">
        <v>0.524477482</v>
      </c>
      <c r="AJ97" t="n">
        <v>4.462871718</v>
      </c>
      <c r="AK97" t="n">
        <v>6.985689414</v>
      </c>
      <c r="AL97" t="n">
        <v>3.426122144</v>
      </c>
      <c r="AN97" t="n">
        <v>3.566099023</v>
      </c>
      <c r="AP97" t="n">
        <v>5.47193606</v>
      </c>
      <c r="AT97" t="n">
        <v>3.05815547</v>
      </c>
      <c r="AV97" t="n">
        <v>2.697236849</v>
      </c>
      <c r="AW97" t="n">
        <v>5.957883758</v>
      </c>
    </row>
    <row r="98">
      <c r="A98" t="inlineStr">
        <is>
          <t>1971-Q2</t>
        </is>
      </c>
      <c r="B98" s="87" t="n">
        <v>26115</v>
      </c>
      <c r="D98" t="n">
        <v>1.916930132</v>
      </c>
      <c r="E98" t="n">
        <v>5.606185481</v>
      </c>
      <c r="F98" t="n">
        <v>3.45634763</v>
      </c>
      <c r="H98" t="n">
        <v>3.550955667</v>
      </c>
      <c r="I98" t="n">
        <v>4.579348355</v>
      </c>
      <c r="M98" t="n">
        <v>2.872243992</v>
      </c>
      <c r="N98" t="n">
        <v>2.244777508</v>
      </c>
      <c r="P98" t="n">
        <v>4.086707919</v>
      </c>
      <c r="T98" t="n">
        <v>4.093867534</v>
      </c>
      <c r="U98" t="n">
        <v>4.980469914</v>
      </c>
      <c r="V98" t="n">
        <v>3.422889895</v>
      </c>
      <c r="X98" t="n">
        <v>3.187250996</v>
      </c>
      <c r="Y98" t="n">
        <v>6.375619088</v>
      </c>
      <c r="AB98" t="n">
        <v>2.880248039</v>
      </c>
      <c r="AC98" t="n">
        <v>14.396529955</v>
      </c>
      <c r="AE98" t="n">
        <v>2.014957053</v>
      </c>
      <c r="AF98" t="n">
        <v>4.948614972</v>
      </c>
      <c r="AG98" t="n">
        <v>12.528585154</v>
      </c>
      <c r="AH98" t="n">
        <v>2.064750722</v>
      </c>
      <c r="AJ98" t="n">
        <v>3.341550471</v>
      </c>
      <c r="AK98" t="n">
        <v>5.037089548</v>
      </c>
      <c r="AL98" t="n">
        <v>4.39247574</v>
      </c>
      <c r="AN98" t="n">
        <v>3.588445248</v>
      </c>
      <c r="AP98" t="n">
        <v>6.46671997</v>
      </c>
      <c r="AT98" t="n">
        <v>1.06801577</v>
      </c>
      <c r="AV98" t="n">
        <v>3.106613002</v>
      </c>
      <c r="AW98" t="n">
        <v>2.992432488</v>
      </c>
    </row>
    <row r="99">
      <c r="A99" t="inlineStr">
        <is>
          <t>1971-Q3</t>
        </is>
      </c>
      <c r="B99" s="87" t="n">
        <v>26207</v>
      </c>
      <c r="D99" t="n">
        <v>5.337917229</v>
      </c>
      <c r="E99" t="n">
        <v>5.262499685</v>
      </c>
      <c r="F99" t="n">
        <v>3.317883862</v>
      </c>
      <c r="H99" t="n">
        <v>5.342377002</v>
      </c>
      <c r="I99" t="n">
        <v>3.775545549</v>
      </c>
      <c r="M99" t="n">
        <v>2.733086207</v>
      </c>
      <c r="N99" t="n">
        <v>2.94575616</v>
      </c>
      <c r="P99" t="n">
        <v>5.462798808</v>
      </c>
      <c r="T99" t="n">
        <v>2.158805829</v>
      </c>
      <c r="U99" t="n">
        <v>5.242837937</v>
      </c>
      <c r="V99" t="n">
        <v>3.26666185</v>
      </c>
      <c r="X99" t="n">
        <v>3.987111749</v>
      </c>
      <c r="Y99" t="n">
        <v>9.266260319000001</v>
      </c>
      <c r="AB99" t="n">
        <v>4.437009478</v>
      </c>
      <c r="AC99" t="n">
        <v>11.137927823</v>
      </c>
      <c r="AE99" t="n">
        <v>1.473349145</v>
      </c>
      <c r="AF99" t="n">
        <v>3.453962834</v>
      </c>
      <c r="AG99" t="n">
        <v>12.052848479</v>
      </c>
      <c r="AH99" t="n">
        <v>3.445930649</v>
      </c>
      <c r="AJ99" t="n">
        <v>3.596275919</v>
      </c>
      <c r="AK99" t="n">
        <v>4.151754574</v>
      </c>
      <c r="AL99" t="n">
        <v>5.057073903</v>
      </c>
      <c r="AN99" t="n">
        <v>3.569726261</v>
      </c>
      <c r="AP99" t="n">
        <v>6.397823273</v>
      </c>
      <c r="AT99" t="n">
        <v>-0.005447593</v>
      </c>
      <c r="AV99" t="n">
        <v>3.005894811</v>
      </c>
      <c r="AW99" t="n">
        <v>5.55263699</v>
      </c>
    </row>
    <row r="100">
      <c r="A100" t="inlineStr">
        <is>
          <t>1971-Q4</t>
        </is>
      </c>
      <c r="B100" s="87" t="n">
        <v>26299</v>
      </c>
      <c r="D100" t="n">
        <v>4.500688616</v>
      </c>
      <c r="E100" t="n">
        <v>3.592101647</v>
      </c>
      <c r="F100" t="n">
        <v>3.929017504</v>
      </c>
      <c r="H100" t="n">
        <v>6.317615271</v>
      </c>
      <c r="I100" t="n">
        <v>4.131836637</v>
      </c>
      <c r="M100" t="n">
        <v>1.783876414</v>
      </c>
      <c r="N100" t="n">
        <v>3.778477462</v>
      </c>
      <c r="P100" t="n">
        <v>6.744114122</v>
      </c>
      <c r="T100" t="n">
        <v>0.515540379</v>
      </c>
      <c r="U100" t="n">
        <v>4.5036371</v>
      </c>
      <c r="V100" t="n">
        <v>3.900803144</v>
      </c>
      <c r="X100" t="n">
        <v>3.485895948</v>
      </c>
      <c r="Y100" t="n">
        <v>7.896438455</v>
      </c>
      <c r="AB100" t="n">
        <v>5.597021278</v>
      </c>
      <c r="AC100" t="n">
        <v>8.758612512999999</v>
      </c>
      <c r="AE100" t="n">
        <v>1.932219673</v>
      </c>
      <c r="AF100" t="n">
        <v>4.733731222</v>
      </c>
      <c r="AG100" t="n">
        <v>4.818664938</v>
      </c>
      <c r="AH100" t="n">
        <v>4.639125518</v>
      </c>
      <c r="AJ100" t="n">
        <v>5.276770586</v>
      </c>
      <c r="AK100" t="n">
        <v>0.9054898179999999</v>
      </c>
      <c r="AL100" t="n">
        <v>5.419882117</v>
      </c>
      <c r="AN100" t="n">
        <v>4.044230475</v>
      </c>
      <c r="AP100" t="n">
        <v>8.121720145999999</v>
      </c>
      <c r="AT100" t="n">
        <v>-1.441770522</v>
      </c>
      <c r="AV100" t="n">
        <v>4.367204801</v>
      </c>
      <c r="AW100" t="n">
        <v>2.697885433</v>
      </c>
    </row>
    <row r="101">
      <c r="A101" t="inlineStr">
        <is>
          <t>1972-Q1</t>
        </is>
      </c>
      <c r="B101" s="87" t="n">
        <v>26390</v>
      </c>
      <c r="D101" t="n">
        <v>1.99840812</v>
      </c>
      <c r="E101" t="n">
        <v>6.783442596</v>
      </c>
      <c r="F101" t="n">
        <v>4.532774112</v>
      </c>
      <c r="H101" t="n">
        <v>6.557448905</v>
      </c>
      <c r="I101" t="n">
        <v>3.928824502</v>
      </c>
      <c r="M101" t="n">
        <v>3.882471449</v>
      </c>
      <c r="N101" t="n">
        <v>4.738447137</v>
      </c>
      <c r="P101" t="n">
        <v>7.635505773</v>
      </c>
      <c r="T101" t="n">
        <v>10.593136979</v>
      </c>
      <c r="U101" t="n">
        <v>5.735934281</v>
      </c>
      <c r="V101" t="n">
        <v>4.432483085</v>
      </c>
      <c r="X101" t="n">
        <v>4.118891013</v>
      </c>
      <c r="Y101" t="n">
        <v>10.467548834</v>
      </c>
      <c r="AB101" t="n">
        <v>6.326890062</v>
      </c>
      <c r="AC101" t="n">
        <v>7.157446898</v>
      </c>
      <c r="AE101" t="n">
        <v>3.600250233</v>
      </c>
      <c r="AF101" t="n">
        <v>7.169685695</v>
      </c>
      <c r="AG101" t="n">
        <v>5.732198374</v>
      </c>
      <c r="AH101" t="n">
        <v>5.610938151</v>
      </c>
      <c r="AJ101" t="n">
        <v>6.927996572</v>
      </c>
      <c r="AK101" t="n">
        <v>3.277890555</v>
      </c>
      <c r="AL101" t="n">
        <v>5.486455766</v>
      </c>
      <c r="AN101" t="n">
        <v>4.70590221</v>
      </c>
      <c r="AP101" t="n">
        <v>8.089314908</v>
      </c>
      <c r="AT101" t="n">
        <v>0.115212672</v>
      </c>
      <c r="AV101" t="n">
        <v>3.476072128</v>
      </c>
      <c r="AW101" t="n">
        <v>0.6024105</v>
      </c>
    </row>
    <row r="102">
      <c r="A102" t="inlineStr">
        <is>
          <t>1972-Q2</t>
        </is>
      </c>
      <c r="B102" s="87" t="n">
        <v>26481</v>
      </c>
      <c r="D102" t="n">
        <v>3.835894289</v>
      </c>
      <c r="E102" t="n">
        <v>4.4918439</v>
      </c>
      <c r="F102" t="n">
        <v>5.123917827</v>
      </c>
      <c r="H102" t="n">
        <v>6.484376464</v>
      </c>
      <c r="I102" t="n">
        <v>2.593712056</v>
      </c>
      <c r="M102" t="n">
        <v>3.408694186</v>
      </c>
      <c r="N102" t="n">
        <v>5.333643076</v>
      </c>
      <c r="P102" t="n">
        <v>8.070736524999999</v>
      </c>
      <c r="T102" t="n">
        <v>4.199543725</v>
      </c>
      <c r="U102" t="n">
        <v>4.242856656</v>
      </c>
      <c r="V102" t="n">
        <v>5.115585651</v>
      </c>
      <c r="X102" t="n">
        <v>4.988915182</v>
      </c>
      <c r="Y102" t="n">
        <v>11.188845642</v>
      </c>
      <c r="AB102" t="n">
        <v>6.680442187</v>
      </c>
      <c r="AC102" t="n">
        <v>6.164898247</v>
      </c>
      <c r="AE102" t="n">
        <v>3.118160203</v>
      </c>
      <c r="AF102" t="n">
        <v>7.453256148</v>
      </c>
      <c r="AG102" t="n">
        <v>5.423043315</v>
      </c>
      <c r="AH102" t="n">
        <v>6.389703324</v>
      </c>
      <c r="AJ102" t="n">
        <v>8.549659181000001</v>
      </c>
      <c r="AK102" t="n">
        <v>2.870336209</v>
      </c>
      <c r="AL102" t="n">
        <v>5.383602137</v>
      </c>
      <c r="AN102" t="n">
        <v>5.305273082</v>
      </c>
      <c r="AP102" t="n">
        <v>5.986622547</v>
      </c>
      <c r="AT102" t="n">
        <v>1.499043691</v>
      </c>
      <c r="AV102" t="n">
        <v>5.255186457</v>
      </c>
      <c r="AW102" t="n">
        <v>2.490415309</v>
      </c>
    </row>
    <row r="103">
      <c r="A103" t="inlineStr">
        <is>
          <t>1972-Q3</t>
        </is>
      </c>
      <c r="B103" s="87" t="n">
        <v>26573</v>
      </c>
      <c r="D103" t="n">
        <v>0.165251016</v>
      </c>
      <c r="E103" t="n">
        <v>4.2334192</v>
      </c>
      <c r="F103" t="n">
        <v>5.54800966</v>
      </c>
      <c r="H103" t="n">
        <v>3.892603208</v>
      </c>
      <c r="I103" t="n">
        <v>2.821710999</v>
      </c>
      <c r="M103" t="n">
        <v>4.024253738</v>
      </c>
      <c r="N103" t="n">
        <v>5.568553889</v>
      </c>
      <c r="P103" t="n">
        <v>8.449559418</v>
      </c>
      <c r="T103" t="n">
        <v>6.460207456</v>
      </c>
      <c r="U103" t="n">
        <v>3.481126981</v>
      </c>
      <c r="V103" t="n">
        <v>5.080243246</v>
      </c>
      <c r="X103" t="n">
        <v>3.43529573</v>
      </c>
      <c r="Y103" t="n">
        <v>5.575954432</v>
      </c>
      <c r="AB103" t="n">
        <v>6.650550358</v>
      </c>
      <c r="AC103" t="n">
        <v>5.712407076</v>
      </c>
      <c r="AE103" t="n">
        <v>2.999652835</v>
      </c>
      <c r="AF103" t="n">
        <v>8.425770557</v>
      </c>
      <c r="AG103" t="n">
        <v>6.953982319</v>
      </c>
      <c r="AH103" t="n">
        <v>6.96563392</v>
      </c>
      <c r="AJ103" t="n">
        <v>9.294404825999999</v>
      </c>
      <c r="AK103" t="n">
        <v>2.336628829</v>
      </c>
      <c r="AL103" t="n">
        <v>5.117879505</v>
      </c>
      <c r="AN103" t="n">
        <v>5.245039667</v>
      </c>
      <c r="AP103" t="n">
        <v>10.538172441</v>
      </c>
      <c r="AT103" t="n">
        <v>2.517171289</v>
      </c>
      <c r="AV103" t="n">
        <v>5.381938705</v>
      </c>
      <c r="AW103" t="n">
        <v>1.234980502</v>
      </c>
    </row>
    <row r="104">
      <c r="A104" t="inlineStr">
        <is>
          <t>1972-Q4</t>
        </is>
      </c>
      <c r="B104" s="87" t="n">
        <v>26665</v>
      </c>
      <c r="D104" t="n">
        <v>1.553317585</v>
      </c>
      <c r="E104" t="n">
        <v>9.334166487999999</v>
      </c>
      <c r="F104" t="n">
        <v>5.796531616</v>
      </c>
      <c r="H104" t="n">
        <v>5.191091523</v>
      </c>
      <c r="I104" t="n">
        <v>3.858307849</v>
      </c>
      <c r="M104" t="n">
        <v>5.729688259</v>
      </c>
      <c r="N104" t="n">
        <v>5.45262613</v>
      </c>
      <c r="P104" t="n">
        <v>8.414972023000001</v>
      </c>
      <c r="T104" t="n">
        <v>9.32866441</v>
      </c>
      <c r="U104" t="n">
        <v>4.305488626</v>
      </c>
      <c r="V104" t="n">
        <v>6.43179885</v>
      </c>
      <c r="X104" t="n">
        <v>4.639698066</v>
      </c>
      <c r="Y104" t="n">
        <v>13.531978138</v>
      </c>
      <c r="AB104" t="n">
        <v>6.302842549</v>
      </c>
      <c r="AC104" t="n">
        <v>5.720283321</v>
      </c>
      <c r="AE104" t="n">
        <v>2.908209485</v>
      </c>
      <c r="AF104" t="n">
        <v>10.149895291</v>
      </c>
      <c r="AG104" t="n">
        <v>10.669786169</v>
      </c>
      <c r="AH104" t="n">
        <v>7.389353828</v>
      </c>
      <c r="AJ104" t="n">
        <v>9.130326572</v>
      </c>
      <c r="AK104" t="n">
        <v>4.768047131</v>
      </c>
      <c r="AL104" t="n">
        <v>4.695961427</v>
      </c>
      <c r="AN104" t="n">
        <v>6.53179744</v>
      </c>
      <c r="AP104" t="n">
        <v>7.459234831</v>
      </c>
      <c r="AT104" t="n">
        <v>5.297122961</v>
      </c>
      <c r="AV104" t="n">
        <v>6.894475887</v>
      </c>
      <c r="AW104" t="n">
        <v>2.292610116</v>
      </c>
    </row>
    <row r="105">
      <c r="A105" t="inlineStr">
        <is>
          <t>1973-Q1</t>
        </is>
      </c>
      <c r="B105" s="87" t="n">
        <v>26755</v>
      </c>
      <c r="D105" t="n">
        <v>5.45402675</v>
      </c>
      <c r="E105" t="n">
        <v>4.384871825</v>
      </c>
      <c r="F105" t="n">
        <v>6.036291991</v>
      </c>
      <c r="H105" t="n">
        <v>8.316440699999999</v>
      </c>
      <c r="I105" t="n">
        <v>3.426767677</v>
      </c>
      <c r="M105" t="n">
        <v>7.083373504</v>
      </c>
      <c r="N105" t="n">
        <v>4.999812648</v>
      </c>
      <c r="P105" t="n">
        <v>8.647695077</v>
      </c>
      <c r="T105" t="n">
        <v>7.938035706</v>
      </c>
      <c r="U105" t="n">
        <v>5.008155566</v>
      </c>
      <c r="V105" t="n">
        <v>7.522142005</v>
      </c>
      <c r="X105" t="n">
        <v>9.710147044999999</v>
      </c>
      <c r="Y105" t="n">
        <v>8.446655106</v>
      </c>
      <c r="AB105" t="n">
        <v>5.742335772</v>
      </c>
      <c r="AC105" t="n">
        <v>6.057461101</v>
      </c>
      <c r="AE105" t="n">
        <v>2.70126782</v>
      </c>
      <c r="AF105" t="n">
        <v>10.242340331</v>
      </c>
      <c r="AG105" t="n">
        <v>12.709984152</v>
      </c>
      <c r="AH105" t="n">
        <v>7.745145939</v>
      </c>
      <c r="AJ105" t="n">
        <v>8.968920915</v>
      </c>
      <c r="AK105" t="n">
        <v>5.081741624</v>
      </c>
      <c r="AL105" t="n">
        <v>4.124373764</v>
      </c>
      <c r="AN105" t="n">
        <v>7.363909275</v>
      </c>
      <c r="AP105" t="n">
        <v>11.813054079</v>
      </c>
      <c r="AT105" t="n">
        <v>5.497766282</v>
      </c>
      <c r="AV105" t="n">
        <v>7.561888292</v>
      </c>
      <c r="AW105" t="n">
        <v>4.22628983</v>
      </c>
    </row>
    <row r="106">
      <c r="A106" t="inlineStr">
        <is>
          <t>1973-Q2</t>
        </is>
      </c>
      <c r="B106" s="87" t="n">
        <v>26846</v>
      </c>
      <c r="D106" t="n">
        <v>3.341267236</v>
      </c>
      <c r="E106" t="n">
        <v>6.561680025</v>
      </c>
      <c r="F106" t="n">
        <v>6.260628281</v>
      </c>
      <c r="H106" t="n">
        <v>6.477854583</v>
      </c>
      <c r="I106" t="n">
        <v>3.041825095</v>
      </c>
      <c r="M106" t="n">
        <v>6.141301924</v>
      </c>
      <c r="N106" t="n">
        <v>4.273546097</v>
      </c>
      <c r="P106" t="n">
        <v>8.032030638</v>
      </c>
      <c r="T106" t="n">
        <v>4.647223679</v>
      </c>
      <c r="U106" t="n">
        <v>5.736429605</v>
      </c>
      <c r="V106" t="n">
        <v>6.709065727</v>
      </c>
      <c r="X106" t="n">
        <v>7.027650316</v>
      </c>
      <c r="Y106" t="n">
        <v>8.950726693</v>
      </c>
      <c r="AB106" t="n">
        <v>5.063198451</v>
      </c>
      <c r="AC106" t="n">
        <v>6.54849837</v>
      </c>
      <c r="AE106" t="n">
        <v>5.826845156</v>
      </c>
      <c r="AF106" t="n">
        <v>9.195429088999999</v>
      </c>
      <c r="AG106" t="n">
        <v>14.074814338</v>
      </c>
      <c r="AH106" t="n">
        <v>8.104062002999999</v>
      </c>
      <c r="AJ106" t="n">
        <v>8.808347221</v>
      </c>
      <c r="AK106" t="n">
        <v>4.256390223</v>
      </c>
      <c r="AL106" t="n">
        <v>3.895978212</v>
      </c>
      <c r="AN106" t="n">
        <v>6.628104695</v>
      </c>
      <c r="AP106" t="n">
        <v>12.001911494</v>
      </c>
      <c r="AT106" t="n">
        <v>5.335992147</v>
      </c>
      <c r="AV106" t="n">
        <v>6.319660016</v>
      </c>
      <c r="AW106" t="n">
        <v>2.688449427</v>
      </c>
    </row>
    <row r="107">
      <c r="A107" t="inlineStr">
        <is>
          <t>1973-Q3</t>
        </is>
      </c>
      <c r="B107" s="87" t="n">
        <v>26938</v>
      </c>
      <c r="D107" t="n">
        <v>4.914706173</v>
      </c>
      <c r="E107" t="n">
        <v>5.557916687</v>
      </c>
      <c r="F107" t="n">
        <v>6.237782624</v>
      </c>
      <c r="H107" t="n">
        <v>6.56627871</v>
      </c>
      <c r="I107" t="n">
        <v>3.126326567</v>
      </c>
      <c r="M107" t="n">
        <v>4.058740116</v>
      </c>
      <c r="N107" t="n">
        <v>3.282936599</v>
      </c>
      <c r="P107" t="n">
        <v>7.455669682</v>
      </c>
      <c r="T107" t="n">
        <v>6.997950474</v>
      </c>
      <c r="U107" t="n">
        <v>5.705915379</v>
      </c>
      <c r="V107" t="n">
        <v>5.511298221</v>
      </c>
      <c r="X107" t="n">
        <v>5.730470543</v>
      </c>
      <c r="Y107" t="n">
        <v>10.284249248</v>
      </c>
      <c r="AB107" t="n">
        <v>4.361901091</v>
      </c>
      <c r="AC107" t="n">
        <v>7.09479329</v>
      </c>
      <c r="AE107" t="n">
        <v>7.741488901</v>
      </c>
      <c r="AF107" t="n">
        <v>7.225179803</v>
      </c>
      <c r="AG107" t="n">
        <v>17.937618817</v>
      </c>
      <c r="AH107" t="n">
        <v>8.550822404</v>
      </c>
      <c r="AJ107" t="n">
        <v>8.344813460999999</v>
      </c>
      <c r="AK107" t="n">
        <v>3.342688489</v>
      </c>
      <c r="AL107" t="n">
        <v>3.997632477</v>
      </c>
      <c r="AN107" t="n">
        <v>5.662561746</v>
      </c>
      <c r="AP107" t="n">
        <v>9.956853771</v>
      </c>
      <c r="AT107" t="n">
        <v>3.218574002</v>
      </c>
      <c r="AV107" t="n">
        <v>4.771087308</v>
      </c>
      <c r="AW107" t="n">
        <v>5.593100555</v>
      </c>
    </row>
    <row r="108">
      <c r="A108" t="inlineStr">
        <is>
          <t>1973-Q4</t>
        </is>
      </c>
      <c r="B108" s="87" t="n">
        <v>27030</v>
      </c>
      <c r="D108" t="n">
        <v>6.4063533</v>
      </c>
      <c r="E108" t="n">
        <v>3.137523123</v>
      </c>
      <c r="F108" t="n">
        <v>5.956897262</v>
      </c>
      <c r="H108" t="n">
        <v>6.045193601</v>
      </c>
      <c r="I108" t="n">
        <v>3.123619768</v>
      </c>
      <c r="M108" t="n">
        <v>2.721523921</v>
      </c>
      <c r="N108" t="n">
        <v>2.035219768</v>
      </c>
      <c r="P108" t="n">
        <v>7.102054451</v>
      </c>
      <c r="T108" t="n">
        <v>6.8023052</v>
      </c>
      <c r="U108" t="n">
        <v>5.30879932</v>
      </c>
      <c r="V108" t="n">
        <v>4.745133885</v>
      </c>
      <c r="X108" t="n">
        <v>3.658087636</v>
      </c>
      <c r="Y108" t="n">
        <v>4.866873588</v>
      </c>
      <c r="AB108" t="n">
        <v>3.767364181</v>
      </c>
      <c r="AC108" t="n">
        <v>7.489307722</v>
      </c>
      <c r="AE108" t="n">
        <v>9.851129010999999</v>
      </c>
      <c r="AF108" t="n">
        <v>5.88643622</v>
      </c>
      <c r="AG108" t="n">
        <v>14.765352641</v>
      </c>
      <c r="AH108" t="n">
        <v>8.817274607</v>
      </c>
      <c r="AJ108" t="n">
        <v>7.565879121</v>
      </c>
      <c r="AK108" t="n">
        <v>6.057570619</v>
      </c>
      <c r="AL108" t="n">
        <v>4.419165851</v>
      </c>
      <c r="AN108" t="n">
        <v>5.015693545</v>
      </c>
      <c r="AP108" t="n">
        <v>11.108521497</v>
      </c>
      <c r="AT108" t="n">
        <v>2.874429106</v>
      </c>
      <c r="AV108" t="n">
        <v>4.023756399</v>
      </c>
      <c r="AW108" t="n">
        <v>5.754146053</v>
      </c>
    </row>
    <row r="109">
      <c r="A109" t="inlineStr">
        <is>
          <t>1974-Q1</t>
        </is>
      </c>
      <c r="B109" s="87" t="n">
        <v>27120</v>
      </c>
      <c r="D109" t="n">
        <v>3.746081255</v>
      </c>
      <c r="E109" t="n">
        <v>6.72998585</v>
      </c>
      <c r="F109" t="n">
        <v>5.669970186</v>
      </c>
      <c r="H109" t="n">
        <v>4.112689578</v>
      </c>
      <c r="I109" t="n">
        <v>4.11162927</v>
      </c>
      <c r="M109" t="n">
        <v>2.177398816</v>
      </c>
      <c r="N109" t="n">
        <v>0.535938033</v>
      </c>
      <c r="P109" t="n">
        <v>6.95237158</v>
      </c>
      <c r="T109" t="n">
        <v>2.516084155</v>
      </c>
      <c r="U109" t="n">
        <v>4.242213872</v>
      </c>
      <c r="V109" t="n">
        <v>1.297464571</v>
      </c>
      <c r="X109" t="n">
        <v>-3.948554254</v>
      </c>
      <c r="Y109" t="n">
        <v>2.39006943</v>
      </c>
      <c r="AB109" t="n">
        <v>3.469965459</v>
      </c>
      <c r="AC109" t="n">
        <v>7.456262358</v>
      </c>
      <c r="AE109" t="n">
        <v>9.752601475000001</v>
      </c>
      <c r="AF109" t="n">
        <v>-1.060991167</v>
      </c>
      <c r="AG109" t="n">
        <v>15.729428052</v>
      </c>
      <c r="AH109" t="n">
        <v>8.322580733000001</v>
      </c>
      <c r="AJ109" t="n">
        <v>6.817828806</v>
      </c>
      <c r="AK109" t="n">
        <v>3.401066581</v>
      </c>
      <c r="AL109" t="n">
        <v>5.153280819</v>
      </c>
      <c r="AN109" t="n">
        <v>2.168205741</v>
      </c>
      <c r="AP109" t="n">
        <v>7.423312598</v>
      </c>
      <c r="AT109" t="n">
        <v>1.651081784</v>
      </c>
      <c r="AV109" t="n">
        <v>0.638773877</v>
      </c>
      <c r="AW109" t="n">
        <v>6.358559004</v>
      </c>
    </row>
    <row r="110">
      <c r="A110" t="inlineStr">
        <is>
          <t>1974-Q2</t>
        </is>
      </c>
      <c r="B110" s="87" t="n">
        <v>27211</v>
      </c>
      <c r="D110" t="n">
        <v>1.449436507</v>
      </c>
      <c r="E110" t="n">
        <v>4.148174543</v>
      </c>
      <c r="F110" t="n">
        <v>5.410428579</v>
      </c>
      <c r="H110" t="n">
        <v>4.12266096</v>
      </c>
      <c r="I110" t="n">
        <v>4.518462404</v>
      </c>
      <c r="M110" t="n">
        <v>1.349933281</v>
      </c>
      <c r="N110" t="n">
        <v>-0.640620477</v>
      </c>
      <c r="P110" t="n">
        <v>6.406806426</v>
      </c>
      <c r="T110" t="n">
        <v>6.107621937</v>
      </c>
      <c r="U110" t="n">
        <v>3.644339898</v>
      </c>
      <c r="V110" t="n">
        <v>0.701420254</v>
      </c>
      <c r="X110" t="n">
        <v>-2.706285552</v>
      </c>
      <c r="Y110" t="n">
        <v>-6.246949732</v>
      </c>
      <c r="AB110" t="n">
        <v>3.623729712</v>
      </c>
      <c r="AC110" t="n">
        <v>6.817870917</v>
      </c>
      <c r="AE110" t="n">
        <v>7.577067803</v>
      </c>
      <c r="AF110" t="n">
        <v>-1.2513629</v>
      </c>
      <c r="AG110" t="n">
        <v>10.769639573</v>
      </c>
      <c r="AH110" t="n">
        <v>6.64676454</v>
      </c>
      <c r="AJ110" t="n">
        <v>6.113170653</v>
      </c>
      <c r="AK110" t="n">
        <v>4.931947787</v>
      </c>
      <c r="AL110" t="n">
        <v>5.458178875</v>
      </c>
      <c r="AN110" t="n">
        <v>1.524155352</v>
      </c>
      <c r="AP110" t="n">
        <v>3.059633965</v>
      </c>
      <c r="AT110" t="n">
        <v>3.344256693</v>
      </c>
      <c r="AV110" t="n">
        <v>-0.208418196</v>
      </c>
      <c r="AW110" t="n">
        <v>8.302041149000001</v>
      </c>
    </row>
    <row r="111">
      <c r="A111" t="inlineStr">
        <is>
          <t>1974-Q3</t>
        </is>
      </c>
      <c r="B111" s="87" t="n">
        <v>27303</v>
      </c>
      <c r="D111" t="n">
        <v>1.633827623</v>
      </c>
      <c r="E111" t="n">
        <v>4.218951548</v>
      </c>
      <c r="F111" t="n">
        <v>4.099800264</v>
      </c>
      <c r="H111" t="n">
        <v>3.655894336</v>
      </c>
      <c r="I111" t="n">
        <v>1.050872902</v>
      </c>
      <c r="M111" t="n">
        <v>1.018885974</v>
      </c>
      <c r="N111" t="n">
        <v>-1.513912865</v>
      </c>
      <c r="P111" t="n">
        <v>5.416587407</v>
      </c>
      <c r="T111" t="n">
        <v>2.854346181</v>
      </c>
      <c r="U111" t="n">
        <v>3.731282303</v>
      </c>
      <c r="V111" t="n">
        <v>0.517328284</v>
      </c>
      <c r="X111" t="n">
        <v>-1.165975884</v>
      </c>
      <c r="Y111" t="n">
        <v>-12.868925366</v>
      </c>
      <c r="AB111" t="n">
        <v>4.380450547</v>
      </c>
      <c r="AC111" t="n">
        <v>5.359664145</v>
      </c>
      <c r="AE111" t="n">
        <v>4.43356282</v>
      </c>
      <c r="AF111" t="n">
        <v>-0.278584561</v>
      </c>
      <c r="AG111" t="n">
        <v>7.049420615</v>
      </c>
      <c r="AH111" t="n">
        <v>3.328337049</v>
      </c>
      <c r="AJ111" t="n">
        <v>5.765248132</v>
      </c>
      <c r="AK111" t="n">
        <v>6.531924848</v>
      </c>
      <c r="AL111" t="n">
        <v>5.344784575</v>
      </c>
      <c r="AN111" t="n">
        <v>1.175444279</v>
      </c>
      <c r="AP111" t="n">
        <v>-1.58756096</v>
      </c>
      <c r="AT111" t="n">
        <v>3.987333879</v>
      </c>
      <c r="AV111" t="n">
        <v>-0.629000493</v>
      </c>
      <c r="AW111" t="n">
        <v>6.449967037</v>
      </c>
    </row>
    <row r="112">
      <c r="A112" t="inlineStr">
        <is>
          <t>1974-Q4</t>
        </is>
      </c>
      <c r="B112" s="87" t="n">
        <v>27395</v>
      </c>
      <c r="D112" t="n">
        <v>-0.741746441</v>
      </c>
      <c r="E112" t="n">
        <v>0.811034795</v>
      </c>
      <c r="F112" t="n">
        <v>1.710719665</v>
      </c>
      <c r="H112" t="n">
        <v>1.282311335</v>
      </c>
      <c r="I112" t="n">
        <v>-4.247269613</v>
      </c>
      <c r="M112" t="n">
        <v>-0.504300806</v>
      </c>
      <c r="N112" t="n">
        <v>-2.096447449</v>
      </c>
      <c r="P112" t="n">
        <v>3.778734288</v>
      </c>
      <c r="T112" t="n">
        <v>0.98022855</v>
      </c>
      <c r="U112" t="n">
        <v>0.875242259</v>
      </c>
      <c r="V112" t="n">
        <v>-1.294820266</v>
      </c>
      <c r="X112" t="n">
        <v>-2.185278925</v>
      </c>
      <c r="Y112" t="n">
        <v>-8.673941932</v>
      </c>
      <c r="AB112" t="n">
        <v>5.537773463</v>
      </c>
      <c r="AC112" t="n">
        <v>3.320999794</v>
      </c>
      <c r="AE112" t="n">
        <v>-0.187525713</v>
      </c>
      <c r="AF112" t="n">
        <v>-2.030072027</v>
      </c>
      <c r="AG112" t="n">
        <v>5.162476244</v>
      </c>
      <c r="AH112" t="n">
        <v>-1.104735304</v>
      </c>
      <c r="AJ112" t="n">
        <v>5.779068666</v>
      </c>
      <c r="AK112" t="n">
        <v>1.109599027</v>
      </c>
      <c r="AL112" t="n">
        <v>4.828196759</v>
      </c>
      <c r="AN112" t="n">
        <v>-0.570956082</v>
      </c>
      <c r="AP112" t="n">
        <v>-3.87999106</v>
      </c>
      <c r="AT112" t="n">
        <v>3.982725193</v>
      </c>
      <c r="AV112" t="n">
        <v>-1.945449394</v>
      </c>
      <c r="AW112" t="n">
        <v>3.452454161</v>
      </c>
    </row>
    <row r="113">
      <c r="A113" t="inlineStr">
        <is>
          <t>1975-Q1</t>
        </is>
      </c>
      <c r="B113" s="87" t="n">
        <v>27485</v>
      </c>
      <c r="D113" t="n">
        <v>-0.368904637</v>
      </c>
      <c r="E113" t="n">
        <v>-1.044334184</v>
      </c>
      <c r="F113" t="n">
        <v>-0.581804679</v>
      </c>
      <c r="H113" t="n">
        <v>-0.094838177</v>
      </c>
      <c r="I113" t="n">
        <v>-7.633498276</v>
      </c>
      <c r="M113" t="n">
        <v>-1.907951274</v>
      </c>
      <c r="N113" t="n">
        <v>-2.394189435</v>
      </c>
      <c r="P113" t="n">
        <v>1.533483615</v>
      </c>
      <c r="T113" t="n">
        <v>3.199966447</v>
      </c>
      <c r="U113" t="n">
        <v>-0.532775695</v>
      </c>
      <c r="V113" t="n">
        <v>-1.223302516</v>
      </c>
      <c r="X113" t="n">
        <v>0.62860233</v>
      </c>
      <c r="Y113" t="n">
        <v>0.606172687</v>
      </c>
      <c r="AB113" t="n">
        <v>6.501056443</v>
      </c>
      <c r="AC113" t="n">
        <v>1.374701187</v>
      </c>
      <c r="AE113" t="n">
        <v>-2.712864172</v>
      </c>
      <c r="AF113" t="n">
        <v>1.58869303</v>
      </c>
      <c r="AG113" t="n">
        <v>2.375727578</v>
      </c>
      <c r="AH113" t="n">
        <v>-5.222749255</v>
      </c>
      <c r="AJ113" t="n">
        <v>5.794445526</v>
      </c>
      <c r="AK113" t="n">
        <v>-1.442402164</v>
      </c>
      <c r="AL113" t="n">
        <v>3.927129577</v>
      </c>
      <c r="AN113" t="n">
        <v>-0.647052166</v>
      </c>
      <c r="AP113" t="n">
        <v>-6.303166738</v>
      </c>
      <c r="AT113" t="n">
        <v>5.206673055</v>
      </c>
      <c r="AV113" t="n">
        <v>-2.299047595</v>
      </c>
      <c r="AW113" t="n">
        <v>1.148133398</v>
      </c>
    </row>
    <row r="114">
      <c r="A114" t="inlineStr">
        <is>
          <t>1975-Q2</t>
        </is>
      </c>
      <c r="B114" s="87" t="n">
        <v>27576</v>
      </c>
      <c r="D114" t="n">
        <v>4.902298491</v>
      </c>
      <c r="E114" t="n">
        <v>-1.64934345</v>
      </c>
      <c r="F114" t="n">
        <v>-2.814652665</v>
      </c>
      <c r="H114" t="n">
        <v>0.108099839</v>
      </c>
      <c r="I114" t="n">
        <v>-8.898760813999999</v>
      </c>
      <c r="M114" t="n">
        <v>-2.325179236</v>
      </c>
      <c r="N114" t="n">
        <v>-1.822995884</v>
      </c>
      <c r="P114" t="n">
        <v>0.183236163</v>
      </c>
      <c r="T114" t="n">
        <v>2.151917847</v>
      </c>
      <c r="U114" t="n">
        <v>-0.778119228</v>
      </c>
      <c r="V114" t="n">
        <v>-1.192104328</v>
      </c>
      <c r="X114" t="n">
        <v>-2.424753355</v>
      </c>
      <c r="Y114" t="n">
        <v>5.125368732</v>
      </c>
      <c r="AB114" t="n">
        <v>6.733337849</v>
      </c>
      <c r="AC114" t="n">
        <v>0.089497653</v>
      </c>
      <c r="AE114" t="n">
        <v>-3.682962782</v>
      </c>
      <c r="AF114" t="n">
        <v>3.101463212</v>
      </c>
      <c r="AG114" t="n">
        <v>7.478859936</v>
      </c>
      <c r="AH114" t="n">
        <v>-7.857971723</v>
      </c>
      <c r="AJ114" t="n">
        <v>5.807360462</v>
      </c>
      <c r="AK114" t="n">
        <v>-1.223998983</v>
      </c>
      <c r="AL114" t="n">
        <v>3.673353337</v>
      </c>
      <c r="AN114" t="n">
        <v>-0.57743738</v>
      </c>
      <c r="AP114" t="n">
        <v>-5.785300664</v>
      </c>
      <c r="AT114" t="n">
        <v>2.25114989</v>
      </c>
      <c r="AV114" t="n">
        <v>-1.8342624</v>
      </c>
      <c r="AW114" t="n">
        <v>1.496718934</v>
      </c>
    </row>
    <row r="115">
      <c r="A115" t="inlineStr">
        <is>
          <t>1975-Q3</t>
        </is>
      </c>
      <c r="B115" s="87" t="n">
        <v>27668</v>
      </c>
      <c r="D115" t="n">
        <v>2.530480257</v>
      </c>
      <c r="E115" t="n">
        <v>-1.165647572</v>
      </c>
      <c r="F115" t="n">
        <v>-2.482813109</v>
      </c>
      <c r="H115" t="n">
        <v>2.077805015</v>
      </c>
      <c r="I115" t="n">
        <v>-7.696547097</v>
      </c>
      <c r="M115" t="n">
        <v>-1.262668305</v>
      </c>
      <c r="N115" t="n">
        <v>-0.368750891</v>
      </c>
      <c r="P115" t="n">
        <v>-0.08420925999999999</v>
      </c>
      <c r="T115" t="n">
        <v>-0.018385691</v>
      </c>
      <c r="U115" t="n">
        <v>-1.324733724</v>
      </c>
      <c r="V115" t="n">
        <v>0.120279598</v>
      </c>
      <c r="X115" t="n">
        <v>-3.368913968</v>
      </c>
      <c r="Y115" t="n">
        <v>10.405549626</v>
      </c>
      <c r="AB115" t="n">
        <v>5.735039783</v>
      </c>
      <c r="AC115" t="n">
        <v>-0.010132152</v>
      </c>
      <c r="AE115" t="n">
        <v>-2.476470864</v>
      </c>
      <c r="AF115" t="n">
        <v>2.957395645</v>
      </c>
      <c r="AG115" t="n">
        <v>8.851621666</v>
      </c>
      <c r="AH115" t="n">
        <v>-7.897842155</v>
      </c>
      <c r="AJ115" t="n">
        <v>5.62137158</v>
      </c>
      <c r="AK115" t="n">
        <v>-1.43776782</v>
      </c>
      <c r="AL115" t="n">
        <v>4.040834227</v>
      </c>
      <c r="AN115" t="n">
        <v>0.492262775</v>
      </c>
      <c r="AP115" t="n">
        <v>-4.095495491</v>
      </c>
      <c r="AT115" t="n">
        <v>1.749971306</v>
      </c>
      <c r="AV115" t="n">
        <v>0.798684869</v>
      </c>
      <c r="AW115" t="n">
        <v>1.163621992</v>
      </c>
    </row>
    <row r="116">
      <c r="A116" t="inlineStr">
        <is>
          <t>1975-Q4</t>
        </is>
      </c>
      <c r="B116" s="87" t="n">
        <v>27760</v>
      </c>
      <c r="D116" t="n">
        <v>0.8833007470000001</v>
      </c>
      <c r="E116" t="n">
        <v>2.436947936</v>
      </c>
      <c r="F116" t="n">
        <v>0.598638212</v>
      </c>
      <c r="H116" t="n">
        <v>3.749756915</v>
      </c>
      <c r="I116" t="n">
        <v>-4.959992048</v>
      </c>
      <c r="M116" t="n">
        <v>1.965095402</v>
      </c>
      <c r="N116" t="n">
        <v>1.986956326</v>
      </c>
      <c r="P116" t="n">
        <v>0.551506499</v>
      </c>
      <c r="T116" t="n">
        <v>-1.011039568</v>
      </c>
      <c r="U116" t="n">
        <v>1.541171217</v>
      </c>
      <c r="V116" t="n">
        <v>2.326635396</v>
      </c>
      <c r="X116" t="n">
        <v>-0.810269232</v>
      </c>
      <c r="Y116" t="n">
        <v>9.978394109</v>
      </c>
      <c r="AB116" t="n">
        <v>3.732117574</v>
      </c>
      <c r="AC116" t="n">
        <v>1.140161252</v>
      </c>
      <c r="AE116" t="n">
        <v>0.721574321</v>
      </c>
      <c r="AF116" t="n">
        <v>4.607339564</v>
      </c>
      <c r="AG116" t="n">
        <v>12.594433252</v>
      </c>
      <c r="AH116" t="n">
        <v>-5.271563677</v>
      </c>
      <c r="AJ116" t="n">
        <v>5.231910732</v>
      </c>
      <c r="AK116" t="n">
        <v>3.758282458</v>
      </c>
      <c r="AL116" t="n">
        <v>5.012146626</v>
      </c>
      <c r="AN116" t="n">
        <v>2.496785719</v>
      </c>
      <c r="AP116" t="n">
        <v>-1.082823198</v>
      </c>
      <c r="AT116" t="n">
        <v>1.665345573</v>
      </c>
      <c r="AV116" t="n">
        <v>2.554017472</v>
      </c>
      <c r="AW116" t="n">
        <v>2.969626851</v>
      </c>
    </row>
    <row r="117">
      <c r="A117" t="inlineStr">
        <is>
          <t>1976-Q1</t>
        </is>
      </c>
      <c r="B117" s="87" t="n">
        <v>27851</v>
      </c>
      <c r="D117" t="n">
        <v>4.924367807</v>
      </c>
      <c r="E117" t="n">
        <v>1.922441045</v>
      </c>
      <c r="F117" t="n">
        <v>3.722735746</v>
      </c>
      <c r="H117" t="n">
        <v>6.215022608</v>
      </c>
      <c r="I117" t="n">
        <v>-2.980754583</v>
      </c>
      <c r="M117" t="n">
        <v>3.478330696</v>
      </c>
      <c r="N117" t="n">
        <v>5.266924825</v>
      </c>
      <c r="P117" t="n">
        <v>2.063101297</v>
      </c>
      <c r="T117" t="n">
        <v>-2.209725062</v>
      </c>
      <c r="U117" t="n">
        <v>3.497157817</v>
      </c>
      <c r="V117" t="n">
        <v>4.87110239</v>
      </c>
      <c r="X117" t="n">
        <v>0.768902179</v>
      </c>
      <c r="Y117" t="n">
        <v>5.226608934</v>
      </c>
      <c r="AB117" t="n">
        <v>1.679887617</v>
      </c>
      <c r="AC117" t="n">
        <v>3.070076298</v>
      </c>
      <c r="AE117" t="n">
        <v>4.310715425</v>
      </c>
      <c r="AF117" t="n">
        <v>5.355842509</v>
      </c>
      <c r="AG117" t="n">
        <v>14.231044506</v>
      </c>
      <c r="AH117" t="n">
        <v>-1.242034388</v>
      </c>
      <c r="AJ117" t="n">
        <v>4.856796612</v>
      </c>
      <c r="AK117" t="n">
        <v>6.036234579</v>
      </c>
      <c r="AL117" t="n">
        <v>6.577837946</v>
      </c>
      <c r="AN117" t="n">
        <v>4.718652112</v>
      </c>
      <c r="AP117" t="n">
        <v>3.349627086</v>
      </c>
      <c r="AT117" t="n">
        <v>-0.663092793</v>
      </c>
      <c r="AV117" t="n">
        <v>6.152389362</v>
      </c>
      <c r="AW117" t="n">
        <v>4.742459791</v>
      </c>
    </row>
    <row r="118">
      <c r="A118" t="inlineStr">
        <is>
          <t>1976-Q2</t>
        </is>
      </c>
      <c r="B118" s="87" t="n">
        <v>27942</v>
      </c>
      <c r="D118" t="n">
        <v>2.029134763</v>
      </c>
      <c r="E118" t="n">
        <v>4.884411473</v>
      </c>
      <c r="F118" t="n">
        <v>6.890961039</v>
      </c>
      <c r="H118" t="n">
        <v>7.121118411</v>
      </c>
      <c r="I118" t="n">
        <v>-1.426958218</v>
      </c>
      <c r="M118" t="n">
        <v>5.545306249</v>
      </c>
      <c r="N118" t="n">
        <v>7.073892514</v>
      </c>
      <c r="P118" t="n">
        <v>3.326984703</v>
      </c>
      <c r="T118" t="n">
        <v>-0.984037988</v>
      </c>
      <c r="U118" t="n">
        <v>4.467073387</v>
      </c>
      <c r="V118" t="n">
        <v>5.292103698</v>
      </c>
      <c r="X118" t="n">
        <v>2.325288151</v>
      </c>
      <c r="Y118" t="n">
        <v>6.845895145</v>
      </c>
      <c r="AB118" t="n">
        <v>0.440981288</v>
      </c>
      <c r="AC118" t="n">
        <v>5.225471005</v>
      </c>
      <c r="AE118" t="n">
        <v>6.250915436</v>
      </c>
      <c r="AF118" t="n">
        <v>3.676519037</v>
      </c>
      <c r="AG118" t="n">
        <v>14.339221259</v>
      </c>
      <c r="AH118" t="n">
        <v>2.598132897</v>
      </c>
      <c r="AJ118" t="n">
        <v>4.500615207</v>
      </c>
      <c r="AK118" t="n">
        <v>4.706246212</v>
      </c>
      <c r="AL118" t="n">
        <v>7.287679831</v>
      </c>
      <c r="AN118" t="n">
        <v>5.229486133</v>
      </c>
      <c r="AP118" t="n">
        <v>7.52532039</v>
      </c>
      <c r="AT118" t="n">
        <v>2.272782084</v>
      </c>
      <c r="AV118" t="n">
        <v>6.172588458</v>
      </c>
      <c r="AW118" t="n">
        <v>0.9131645779999999</v>
      </c>
    </row>
    <row r="119">
      <c r="A119" t="inlineStr">
        <is>
          <t>1976-Q3</t>
        </is>
      </c>
      <c r="B119" s="87" t="n">
        <v>28034</v>
      </c>
      <c r="D119" t="n">
        <v>3.993662052</v>
      </c>
      <c r="E119" t="n">
        <v>6.271508978</v>
      </c>
      <c r="F119" t="n">
        <v>7.279997082</v>
      </c>
      <c r="H119" t="n">
        <v>5.614778399</v>
      </c>
      <c r="I119" t="n">
        <v>1.360296981</v>
      </c>
      <c r="M119" t="n">
        <v>4.440716158</v>
      </c>
      <c r="N119" t="n">
        <v>7.36809117</v>
      </c>
      <c r="P119" t="n">
        <v>3.875385657</v>
      </c>
      <c r="T119" t="n">
        <v>1.045094982</v>
      </c>
      <c r="U119" t="n">
        <v>4.556114014</v>
      </c>
      <c r="V119" t="n">
        <v>4.85247272</v>
      </c>
      <c r="X119" t="n">
        <v>3.991114194</v>
      </c>
      <c r="Y119" t="n">
        <v>6.115115473</v>
      </c>
      <c r="AB119" t="n">
        <v>0.768950094</v>
      </c>
      <c r="AC119" t="n">
        <v>7.102798108</v>
      </c>
      <c r="AE119" t="n">
        <v>7.424281855</v>
      </c>
      <c r="AF119" t="n">
        <v>3.951115114</v>
      </c>
      <c r="AG119" t="n">
        <v>13.318980132</v>
      </c>
      <c r="AH119" t="n">
        <v>4.60216931</v>
      </c>
      <c r="AJ119" t="n">
        <v>4.065831915</v>
      </c>
      <c r="AK119" t="n">
        <v>7.791267048</v>
      </c>
      <c r="AL119" t="n">
        <v>7.159553529</v>
      </c>
      <c r="AN119" t="n">
        <v>5.009416778</v>
      </c>
      <c r="AP119" t="n">
        <v>7.910616693</v>
      </c>
      <c r="AT119" t="n">
        <v>0.800237079</v>
      </c>
      <c r="AV119" t="n">
        <v>4.958636996</v>
      </c>
      <c r="AW119" t="n">
        <v>2.493509168</v>
      </c>
    </row>
    <row r="120">
      <c r="A120" t="inlineStr">
        <is>
          <t>1976-Q4</t>
        </is>
      </c>
      <c r="B120" s="87" t="n">
        <v>28126</v>
      </c>
      <c r="D120" t="n">
        <v>6.508150509</v>
      </c>
      <c r="E120" t="n">
        <v>5.218309742</v>
      </c>
      <c r="F120" t="n">
        <v>4.752457414</v>
      </c>
      <c r="H120" t="n">
        <v>4.612139388</v>
      </c>
      <c r="I120" t="n">
        <v>3.231710505</v>
      </c>
      <c r="M120" t="n">
        <v>4.324485654</v>
      </c>
      <c r="N120" t="n">
        <v>6.182643389</v>
      </c>
      <c r="P120" t="n">
        <v>3.942491631</v>
      </c>
      <c r="T120" t="n">
        <v>2.886129089</v>
      </c>
      <c r="U120" t="n">
        <v>4.448313606</v>
      </c>
      <c r="V120" t="n">
        <v>4.491986951</v>
      </c>
      <c r="X120" t="n">
        <v>4.990756143</v>
      </c>
      <c r="Y120" t="n">
        <v>9.151230856</v>
      </c>
      <c r="AB120" t="n">
        <v>2.689777818</v>
      </c>
      <c r="AC120" t="n">
        <v>8.400060607</v>
      </c>
      <c r="AE120" t="n">
        <v>8.076918196999999</v>
      </c>
      <c r="AF120" t="n">
        <v>2.991759099</v>
      </c>
      <c r="AG120" t="n">
        <v>11.163297055</v>
      </c>
      <c r="AH120" t="n">
        <v>4.293492259</v>
      </c>
      <c r="AJ120" t="n">
        <v>3.561167642</v>
      </c>
      <c r="AK120" t="n">
        <v>2.07399742</v>
      </c>
      <c r="AL120" t="n">
        <v>6.229763951</v>
      </c>
      <c r="AN120" t="n">
        <v>4.57385481</v>
      </c>
      <c r="AP120" t="n">
        <v>8.820955651</v>
      </c>
      <c r="AT120" t="n">
        <v>-0.931264277</v>
      </c>
      <c r="AV120" t="n">
        <v>4.314806638</v>
      </c>
      <c r="AW120" t="n">
        <v>0.91245953</v>
      </c>
    </row>
    <row r="121">
      <c r="A121" t="inlineStr">
        <is>
          <t>1977-Q1</t>
        </is>
      </c>
      <c r="B121" s="87" t="n">
        <v>28216</v>
      </c>
      <c r="D121" t="n">
        <v>1.447520946</v>
      </c>
      <c r="E121" t="n">
        <v>5.799577139</v>
      </c>
      <c r="F121" t="n">
        <v>2.337542678</v>
      </c>
      <c r="H121" t="n">
        <v>4.292545966</v>
      </c>
      <c r="I121" t="n">
        <v>3.263372763</v>
      </c>
      <c r="M121" t="n">
        <v>4.278412874</v>
      </c>
      <c r="N121" t="n">
        <v>2.377721966</v>
      </c>
      <c r="P121" t="n">
        <v>3.734998594</v>
      </c>
      <c r="T121" t="n">
        <v>1.62067964</v>
      </c>
      <c r="U121" t="n">
        <v>4.075391261</v>
      </c>
      <c r="V121" t="n">
        <v>3.896362418</v>
      </c>
      <c r="X121" t="n">
        <v>3.302383459</v>
      </c>
      <c r="Y121" t="n">
        <v>5.192158385</v>
      </c>
      <c r="AB121" t="n">
        <v>5.398533313</v>
      </c>
      <c r="AC121" t="n">
        <v>9.081297430999999</v>
      </c>
      <c r="AE121" t="n">
        <v>6.24781825</v>
      </c>
      <c r="AF121" t="n">
        <v>4.360184065</v>
      </c>
      <c r="AG121" t="n">
        <v>9.123660589</v>
      </c>
      <c r="AH121" t="n">
        <v>2.751792826</v>
      </c>
      <c r="AJ121" t="n">
        <v>3.082236927</v>
      </c>
      <c r="AK121" t="n">
        <v>3.118296191</v>
      </c>
      <c r="AL121" t="n">
        <v>4.550338998</v>
      </c>
      <c r="AN121" t="n">
        <v>3.824890675</v>
      </c>
      <c r="AP121" t="n">
        <v>7.245682769</v>
      </c>
      <c r="AT121" t="n">
        <v>-1.30067347</v>
      </c>
      <c r="AV121" t="n">
        <v>3.225964642</v>
      </c>
      <c r="AW121" t="n">
        <v>-0.614192603</v>
      </c>
    </row>
    <row r="122">
      <c r="A122" t="inlineStr">
        <is>
          <t>1977-Q2</t>
        </is>
      </c>
      <c r="B122" s="87" t="n">
        <v>28307</v>
      </c>
      <c r="D122" t="n">
        <v>2.56661571</v>
      </c>
      <c r="E122" t="n">
        <v>5.363639176</v>
      </c>
      <c r="F122" t="n">
        <v>0.035551218</v>
      </c>
      <c r="H122" t="n">
        <v>2.632092498</v>
      </c>
      <c r="I122" t="n">
        <v>2.731201833</v>
      </c>
      <c r="M122" t="n">
        <v>3.334567951</v>
      </c>
      <c r="N122" t="n">
        <v>0.487077713</v>
      </c>
      <c r="P122" t="n">
        <v>3.016516231</v>
      </c>
      <c r="T122" t="n">
        <v>0.959149477</v>
      </c>
      <c r="U122" t="n">
        <v>3.296345013</v>
      </c>
      <c r="V122" t="n">
        <v>3.951197411</v>
      </c>
      <c r="X122" t="n">
        <v>2.694623077</v>
      </c>
      <c r="Y122" t="n">
        <v>0.832287342</v>
      </c>
      <c r="AB122" t="n">
        <v>7.964070236</v>
      </c>
      <c r="AC122" t="n">
        <v>9.214734126</v>
      </c>
      <c r="AE122" t="n">
        <v>3.780384463</v>
      </c>
      <c r="AF122" t="n">
        <v>4.477404983</v>
      </c>
      <c r="AG122" t="n">
        <v>9.400601473</v>
      </c>
      <c r="AH122" t="n">
        <v>1.238973608</v>
      </c>
      <c r="AJ122" t="n">
        <v>2.600360199</v>
      </c>
      <c r="AK122" t="n">
        <v>3.029880182</v>
      </c>
      <c r="AL122" t="n">
        <v>3.51414277</v>
      </c>
      <c r="AN122" t="n">
        <v>3.668047386</v>
      </c>
      <c r="AP122" t="n">
        <v>5.572512458</v>
      </c>
      <c r="AT122" t="n">
        <v>-2.034098144</v>
      </c>
      <c r="AV122" t="n">
        <v>4.466324098</v>
      </c>
      <c r="AW122" t="n">
        <v>1.506490138</v>
      </c>
    </row>
    <row r="123">
      <c r="A123" t="inlineStr">
        <is>
          <t>1977-Q3</t>
        </is>
      </c>
      <c r="B123" s="87" t="n">
        <v>28399</v>
      </c>
      <c r="D123" t="n">
        <v>1.30815219</v>
      </c>
      <c r="E123" t="n">
        <v>3.323848768</v>
      </c>
      <c r="F123" t="n">
        <v>-0.520530811</v>
      </c>
      <c r="H123" t="n">
        <v>2.717564616</v>
      </c>
      <c r="I123" t="n">
        <v>1.844026124</v>
      </c>
      <c r="M123" t="n">
        <v>3.273852452</v>
      </c>
      <c r="N123" t="n">
        <v>2.577650909</v>
      </c>
      <c r="P123" t="n">
        <v>2.365980875</v>
      </c>
      <c r="T123" t="n">
        <v>0.462857143</v>
      </c>
      <c r="U123" t="n">
        <v>3.281465739</v>
      </c>
      <c r="V123" t="n">
        <v>4.055947858</v>
      </c>
      <c r="X123" t="n">
        <v>2.095182298</v>
      </c>
      <c r="Y123" t="n">
        <v>3.776461968</v>
      </c>
      <c r="AB123" t="n">
        <v>9.55994718</v>
      </c>
      <c r="AC123" t="n">
        <v>8.871008445999999</v>
      </c>
      <c r="AE123" t="n">
        <v>0.261570378</v>
      </c>
      <c r="AF123" t="n">
        <v>3.731141929</v>
      </c>
      <c r="AG123" t="n">
        <v>13.767454664</v>
      </c>
      <c r="AH123" t="n">
        <v>0.769561074</v>
      </c>
      <c r="AJ123" t="n">
        <v>3.185988957</v>
      </c>
      <c r="AK123" t="n">
        <v>0.33538187</v>
      </c>
      <c r="AL123" t="n">
        <v>3.077261624</v>
      </c>
      <c r="AN123" t="n">
        <v>3.704446927</v>
      </c>
      <c r="AP123" t="n">
        <v>6.140318332</v>
      </c>
      <c r="AT123" t="n">
        <v>-1.359968742</v>
      </c>
      <c r="AV123" t="n">
        <v>5.770897368</v>
      </c>
      <c r="AW123" t="n">
        <v>-1.235059012</v>
      </c>
    </row>
    <row r="124">
      <c r="A124" t="inlineStr">
        <is>
          <t>1977-Q4</t>
        </is>
      </c>
      <c r="B124" s="87" t="n">
        <v>28491</v>
      </c>
      <c r="D124" t="n">
        <v>0.115794016</v>
      </c>
      <c r="E124" t="n">
        <v>4.285985599</v>
      </c>
      <c r="F124" t="n">
        <v>0.695457505</v>
      </c>
      <c r="H124" t="n">
        <v>4.127065204</v>
      </c>
      <c r="I124" t="n">
        <v>0.653462337</v>
      </c>
      <c r="M124" t="n">
        <v>3.141081054</v>
      </c>
      <c r="N124" t="n">
        <v>1.057324915</v>
      </c>
      <c r="P124" t="n">
        <v>2.264557872</v>
      </c>
      <c r="T124" t="n">
        <v>-0.600702709</v>
      </c>
      <c r="U124" t="n">
        <v>2.243418531</v>
      </c>
      <c r="V124" t="n">
        <v>3.772836858</v>
      </c>
      <c r="X124" t="n">
        <v>1.680568428</v>
      </c>
      <c r="Y124" t="n">
        <v>2.049624419</v>
      </c>
      <c r="AB124" t="n">
        <v>9.860412962</v>
      </c>
      <c r="AC124" t="n">
        <v>8.156572062</v>
      </c>
      <c r="AE124" t="n">
        <v>-0.603535217</v>
      </c>
      <c r="AF124" t="n">
        <v>5.013334504</v>
      </c>
      <c r="AG124" t="n">
        <v>16.7414241</v>
      </c>
      <c r="AH124" t="n">
        <v>1.544720763</v>
      </c>
      <c r="AJ124" t="n">
        <v>4.878946385</v>
      </c>
      <c r="AK124" t="n">
        <v>3.080803236</v>
      </c>
      <c r="AL124" t="n">
        <v>3.21184464</v>
      </c>
      <c r="AN124" t="n">
        <v>3.566724897</v>
      </c>
      <c r="AP124" t="n">
        <v>3.56440774</v>
      </c>
      <c r="AT124" t="n">
        <v>-1.487679529</v>
      </c>
      <c r="AV124" t="n">
        <v>5.012028563</v>
      </c>
      <c r="AW124" t="n">
        <v>0.002963558</v>
      </c>
    </row>
    <row r="125">
      <c r="A125" t="inlineStr">
        <is>
          <t>1978-Q1</t>
        </is>
      </c>
      <c r="B125" s="87" t="n">
        <v>28581</v>
      </c>
      <c r="D125" t="n">
        <v>1.374796601</v>
      </c>
      <c r="E125" t="n">
        <v>-0.463073247</v>
      </c>
      <c r="F125" t="n">
        <v>1.912088428</v>
      </c>
      <c r="H125" t="n">
        <v>3.530374962</v>
      </c>
      <c r="I125" t="n">
        <v>0.699460199</v>
      </c>
      <c r="M125" t="n">
        <v>2.689233198</v>
      </c>
      <c r="N125" t="n">
        <v>0.331433003</v>
      </c>
      <c r="P125" t="n">
        <v>2.094121339</v>
      </c>
      <c r="T125" t="n">
        <v>1.349033954</v>
      </c>
      <c r="U125" t="n">
        <v>2.530302089</v>
      </c>
      <c r="V125" t="n">
        <v>3.489928812</v>
      </c>
      <c r="X125" t="n">
        <v>2.559656183</v>
      </c>
      <c r="Y125" t="n">
        <v>6.544884214</v>
      </c>
      <c r="AB125" t="n">
        <v>9.178467506</v>
      </c>
      <c r="AC125" t="n">
        <v>7.250965489</v>
      </c>
      <c r="AE125" t="n">
        <v>0.980897016</v>
      </c>
      <c r="AF125" t="n">
        <v>4.70701906</v>
      </c>
      <c r="AG125" t="n">
        <v>14.64883629</v>
      </c>
      <c r="AH125" t="n">
        <v>2.927871291</v>
      </c>
      <c r="AJ125" t="n">
        <v>6.536367346</v>
      </c>
      <c r="AK125" t="n">
        <v>2.102771747</v>
      </c>
      <c r="AL125" t="n">
        <v>4.234916583</v>
      </c>
      <c r="AN125" t="n">
        <v>3.460876749</v>
      </c>
      <c r="AP125" t="n">
        <v>3.112201535</v>
      </c>
      <c r="AT125" t="n">
        <v>2.188154652</v>
      </c>
      <c r="AV125" t="n">
        <v>4.117062342</v>
      </c>
      <c r="AW125" t="n">
        <v>1.869821189</v>
      </c>
    </row>
    <row r="126">
      <c r="A126" t="inlineStr">
        <is>
          <t>1978-Q2</t>
        </is>
      </c>
      <c r="B126" s="87" t="n">
        <v>28672</v>
      </c>
      <c r="D126" t="n">
        <v>0.78088229</v>
      </c>
      <c r="E126" t="n">
        <v>-0.013271792</v>
      </c>
      <c r="F126" t="n">
        <v>3.121929803</v>
      </c>
      <c r="H126" t="n">
        <v>3.683557616</v>
      </c>
      <c r="I126" t="n">
        <v>0.932660872</v>
      </c>
      <c r="M126" t="n">
        <v>2.515066682</v>
      </c>
      <c r="N126" t="n">
        <v>2.588564186</v>
      </c>
      <c r="P126" t="n">
        <v>1.838992317</v>
      </c>
      <c r="T126" t="n">
        <v>2.186230184</v>
      </c>
      <c r="U126" t="n">
        <v>3.783741131</v>
      </c>
      <c r="V126" t="n">
        <v>4.825982032</v>
      </c>
      <c r="X126" t="n">
        <v>4.507415325</v>
      </c>
      <c r="Y126" t="n">
        <v>8.828711505999999</v>
      </c>
      <c r="AB126" t="n">
        <v>7.982756921</v>
      </c>
      <c r="AC126" t="n">
        <v>6.346614553</v>
      </c>
      <c r="AE126" t="n">
        <v>3.302878796</v>
      </c>
      <c r="AF126" t="n">
        <v>4.985894642</v>
      </c>
      <c r="AG126" t="n">
        <v>12.476476443</v>
      </c>
      <c r="AH126" t="n">
        <v>4.212193346</v>
      </c>
      <c r="AJ126" t="n">
        <v>8.163617638</v>
      </c>
      <c r="AK126" t="n">
        <v>2.276549971</v>
      </c>
      <c r="AL126" t="n">
        <v>5.17838168</v>
      </c>
      <c r="AN126" t="n">
        <v>4.595773408</v>
      </c>
      <c r="AP126" t="n">
        <v>2.691383137</v>
      </c>
      <c r="AT126" t="n">
        <v>2.741741366</v>
      </c>
      <c r="AV126" t="n">
        <v>6.078147799</v>
      </c>
      <c r="AW126" t="n">
        <v>3.73902868</v>
      </c>
    </row>
    <row r="127">
      <c r="A127" t="inlineStr">
        <is>
          <t>1978-Q3</t>
        </is>
      </c>
      <c r="B127" s="87" t="n">
        <v>28764</v>
      </c>
      <c r="D127" t="n">
        <v>2.751537982</v>
      </c>
      <c r="E127" t="n">
        <v>0.328067382</v>
      </c>
      <c r="F127" t="n">
        <v>3.462551233</v>
      </c>
      <c r="H127" t="n">
        <v>4.122424382</v>
      </c>
      <c r="I127" t="n">
        <v>0.186093298</v>
      </c>
      <c r="M127" t="n">
        <v>3.889417618</v>
      </c>
      <c r="N127" t="n">
        <v>0.9320767</v>
      </c>
      <c r="P127" t="n">
        <v>1.377153129</v>
      </c>
      <c r="T127" t="n">
        <v>2.002161424</v>
      </c>
      <c r="U127" t="n">
        <v>3.219253297</v>
      </c>
      <c r="V127" t="n">
        <v>4.889831216</v>
      </c>
      <c r="X127" t="n">
        <v>5.230887397</v>
      </c>
      <c r="Y127" t="n">
        <v>4.990077093</v>
      </c>
      <c r="AB127" t="n">
        <v>6.567177225</v>
      </c>
      <c r="AC127" t="n">
        <v>5.559060552</v>
      </c>
      <c r="AE127" t="n">
        <v>4.826971991</v>
      </c>
      <c r="AF127" t="n">
        <v>5.623636677</v>
      </c>
      <c r="AG127" t="n">
        <v>8.073385808999999</v>
      </c>
      <c r="AH127" t="n">
        <v>4.757326416</v>
      </c>
      <c r="AJ127" t="n">
        <v>9.061140082</v>
      </c>
      <c r="AK127" t="n">
        <v>2.387880199</v>
      </c>
      <c r="AL127" t="n">
        <v>5.510585233</v>
      </c>
      <c r="AN127" t="n">
        <v>4.576233389</v>
      </c>
      <c r="AP127" t="n">
        <v>2.216226293</v>
      </c>
      <c r="AT127" t="n">
        <v>0.479186537</v>
      </c>
      <c r="AV127" t="n">
        <v>5.245773422</v>
      </c>
      <c r="AW127" t="n">
        <v>3.020486778</v>
      </c>
    </row>
    <row r="128">
      <c r="A128" t="inlineStr">
        <is>
          <t>1978-Q4</t>
        </is>
      </c>
      <c r="B128" s="87" t="n">
        <v>28856</v>
      </c>
      <c r="D128" t="n">
        <v>3.934598171</v>
      </c>
      <c r="E128" t="n">
        <v>-1.280610262</v>
      </c>
      <c r="F128" t="n">
        <v>2.871340067</v>
      </c>
      <c r="H128" t="n">
        <v>3.400652085</v>
      </c>
      <c r="I128" t="n">
        <v>0.636638148</v>
      </c>
      <c r="M128" t="n">
        <v>3.326126341</v>
      </c>
      <c r="N128" t="n">
        <v>2.057135403</v>
      </c>
      <c r="P128" t="n">
        <v>0.555360281</v>
      </c>
      <c r="T128" t="n">
        <v>4.464082098</v>
      </c>
      <c r="U128" t="n">
        <v>3.860698903</v>
      </c>
      <c r="V128" t="n">
        <v>5.458248866</v>
      </c>
      <c r="X128" t="n">
        <v>4.40368406</v>
      </c>
      <c r="Y128" t="n">
        <v>8.564743994000001</v>
      </c>
      <c r="AB128" t="n">
        <v>5.175964888</v>
      </c>
      <c r="AC128" t="n">
        <v>4.981397323</v>
      </c>
      <c r="AE128" t="n">
        <v>5.520204454</v>
      </c>
      <c r="AF128" t="n">
        <v>5.713887583</v>
      </c>
      <c r="AG128" t="n">
        <v>9.145261237</v>
      </c>
      <c r="AH128" t="n">
        <v>4.393652312</v>
      </c>
      <c r="AJ128" t="n">
        <v>9.181234344</v>
      </c>
      <c r="AK128" t="n">
        <v>3.157530826</v>
      </c>
      <c r="AL128" t="n">
        <v>4.5539899</v>
      </c>
      <c r="AN128" t="n">
        <v>5.094545029</v>
      </c>
      <c r="AP128" t="n">
        <v>3.245361669</v>
      </c>
      <c r="AT128" t="n">
        <v>2.723852448</v>
      </c>
      <c r="AV128" t="n">
        <v>6.658095883</v>
      </c>
      <c r="AW128" t="n">
        <v>3.427018117</v>
      </c>
    </row>
    <row r="129">
      <c r="A129" t="inlineStr">
        <is>
          <t>1979-Q1</t>
        </is>
      </c>
      <c r="B129" s="87" t="n">
        <v>28946</v>
      </c>
      <c r="D129" t="n">
        <v>6.032416391</v>
      </c>
      <c r="E129" t="n">
        <v>5.628107332</v>
      </c>
      <c r="F129" t="n">
        <v>2.294732966</v>
      </c>
      <c r="H129" t="n">
        <v>3.391524817</v>
      </c>
      <c r="I129" t="n">
        <v>1.379136781</v>
      </c>
      <c r="M129" t="n">
        <v>3.029295309</v>
      </c>
      <c r="N129" t="n">
        <v>5.002205628</v>
      </c>
      <c r="P129" t="n">
        <v>-0.227752239</v>
      </c>
      <c r="T129" t="n">
        <v>5.442752397</v>
      </c>
      <c r="U129" t="n">
        <v>3.31871786</v>
      </c>
      <c r="V129" t="n">
        <v>5.138605135</v>
      </c>
      <c r="X129" t="n">
        <v>3.121329587</v>
      </c>
      <c r="Y129" t="n">
        <v>4.909771051</v>
      </c>
      <c r="AB129" t="n">
        <v>3.98656435</v>
      </c>
      <c r="AC129" t="n">
        <v>4.663518204</v>
      </c>
      <c r="AE129" t="n">
        <v>5.46380889</v>
      </c>
      <c r="AF129" t="n">
        <v>5.305508259</v>
      </c>
      <c r="AG129" t="n">
        <v>14.972238618</v>
      </c>
      <c r="AH129" t="n">
        <v>3.508400237</v>
      </c>
      <c r="AJ129" t="n">
        <v>9.284450731</v>
      </c>
      <c r="AK129" t="n">
        <v>-2.151423426</v>
      </c>
      <c r="AL129" t="n">
        <v>2.526457113</v>
      </c>
      <c r="AN129" t="n">
        <v>4.864559828</v>
      </c>
      <c r="AP129" t="n">
        <v>3.843736535</v>
      </c>
      <c r="AT129" t="n">
        <v>3.170025801</v>
      </c>
      <c r="AV129" t="n">
        <v>6.509913089</v>
      </c>
      <c r="AW129" t="n">
        <v>3.53490338</v>
      </c>
    </row>
    <row r="130">
      <c r="A130" t="inlineStr">
        <is>
          <t>1979-Q2</t>
        </is>
      </c>
      <c r="B130" s="87" t="n">
        <v>29037</v>
      </c>
      <c r="D130" t="n">
        <v>3.480728271</v>
      </c>
      <c r="E130" t="n">
        <v>5.010548479</v>
      </c>
      <c r="F130" t="n">
        <v>1.733960769</v>
      </c>
      <c r="H130" t="n">
        <v>4.070355699</v>
      </c>
      <c r="I130" t="n">
        <v>1.717514124</v>
      </c>
      <c r="M130" t="n">
        <v>5.809207278</v>
      </c>
      <c r="N130" t="n">
        <v>4.54903364</v>
      </c>
      <c r="P130" t="n">
        <v>-0.27470229</v>
      </c>
      <c r="T130" t="n">
        <v>7.191262952</v>
      </c>
      <c r="U130" t="n">
        <v>2.600581717</v>
      </c>
      <c r="V130" t="n">
        <v>4.083803859</v>
      </c>
      <c r="X130" t="n">
        <v>6.41295519</v>
      </c>
      <c r="Y130" t="n">
        <v>5.999014536</v>
      </c>
      <c r="AB130" t="n">
        <v>3.105040959</v>
      </c>
      <c r="AC130" t="n">
        <v>4.610314163</v>
      </c>
      <c r="AE130" t="n">
        <v>4.424342369</v>
      </c>
      <c r="AF130" t="n">
        <v>6.197364223</v>
      </c>
      <c r="AG130" t="n">
        <v>12.377489255</v>
      </c>
      <c r="AH130" t="n">
        <v>2.547963554</v>
      </c>
      <c r="AJ130" t="n">
        <v>9.392878676</v>
      </c>
      <c r="AK130" t="n">
        <v>3.357937813</v>
      </c>
      <c r="AL130" t="n">
        <v>3.907446248</v>
      </c>
      <c r="AN130" t="n">
        <v>4.095590932</v>
      </c>
      <c r="AP130" t="n">
        <v>5.54859592</v>
      </c>
      <c r="AT130" t="n">
        <v>3.218484733</v>
      </c>
      <c r="AV130" t="n">
        <v>2.656855063</v>
      </c>
      <c r="AW130" t="n">
        <v>2.227984745</v>
      </c>
    </row>
    <row r="131">
      <c r="A131" t="inlineStr">
        <is>
          <t>1979-Q3</t>
        </is>
      </c>
      <c r="B131" s="87" t="n">
        <v>29129</v>
      </c>
      <c r="D131" t="n">
        <v>2.878590397</v>
      </c>
      <c r="E131" t="n">
        <v>5.241970225</v>
      </c>
      <c r="F131" t="n">
        <v>2.046962049</v>
      </c>
      <c r="H131" t="n">
        <v>3.799728143</v>
      </c>
      <c r="I131" t="n">
        <v>2.638118427</v>
      </c>
      <c r="M131" t="n">
        <v>4.439655589</v>
      </c>
      <c r="N131" t="n">
        <v>2.193385698</v>
      </c>
      <c r="P131" t="n">
        <v>0.087956887</v>
      </c>
      <c r="T131" t="n">
        <v>7.639547203</v>
      </c>
      <c r="U131" t="n">
        <v>3.864765295</v>
      </c>
      <c r="V131" t="n">
        <v>3.600916507</v>
      </c>
      <c r="X131" t="n">
        <v>2.623023713</v>
      </c>
      <c r="Y131" t="n">
        <v>3.607844563</v>
      </c>
      <c r="AB131" t="n">
        <v>2.642082307</v>
      </c>
      <c r="AC131" t="n">
        <v>4.852699152</v>
      </c>
      <c r="AE131" t="n">
        <v>5.67522968</v>
      </c>
      <c r="AF131" t="n">
        <v>5.641055737</v>
      </c>
      <c r="AG131" t="n">
        <v>7.272683028</v>
      </c>
      <c r="AH131" t="n">
        <v>1.850604319</v>
      </c>
      <c r="AJ131" t="n">
        <v>9.214405183</v>
      </c>
      <c r="AK131" t="n">
        <v>3.158213819</v>
      </c>
      <c r="AL131" t="n">
        <v>5.352512619</v>
      </c>
      <c r="AN131" t="n">
        <v>3.662575642</v>
      </c>
      <c r="AP131" t="n">
        <v>6.380889649</v>
      </c>
      <c r="AT131" t="n">
        <v>5.682722854</v>
      </c>
      <c r="AV131" t="n">
        <v>2.389915413</v>
      </c>
      <c r="AW131" t="n">
        <v>4.111071621</v>
      </c>
    </row>
    <row r="132">
      <c r="A132" t="inlineStr">
        <is>
          <t>1979-Q4</t>
        </is>
      </c>
      <c r="B132" s="87" t="n">
        <v>29221</v>
      </c>
      <c r="D132" t="n">
        <v>4.002681818</v>
      </c>
      <c r="E132" t="n">
        <v>5.935875973</v>
      </c>
      <c r="F132" t="n">
        <v>3.280563428</v>
      </c>
      <c r="H132" t="n">
        <v>3.582273058</v>
      </c>
      <c r="I132" t="n">
        <v>3.808166429</v>
      </c>
      <c r="M132" t="n">
        <v>3.865566592</v>
      </c>
      <c r="N132" t="n">
        <v>2.507184819</v>
      </c>
      <c r="P132" t="n">
        <v>0.5886465319999999</v>
      </c>
      <c r="T132" t="n">
        <v>6.609179719</v>
      </c>
      <c r="U132" t="n">
        <v>3.184112137</v>
      </c>
      <c r="V132" t="n">
        <v>2.897130875</v>
      </c>
      <c r="X132" t="n">
        <v>2.760409738</v>
      </c>
      <c r="Y132" t="n">
        <v>-1.127246204</v>
      </c>
      <c r="AB132" t="n">
        <v>2.585266415</v>
      </c>
      <c r="AC132" t="n">
        <v>5.303513954</v>
      </c>
      <c r="AE132" t="n">
        <v>6.539234287</v>
      </c>
      <c r="AF132" t="n">
        <v>4.590912203</v>
      </c>
      <c r="AG132" t="n">
        <v>0.807386062</v>
      </c>
      <c r="AH132" t="n">
        <v>1.509830774</v>
      </c>
      <c r="AJ132" t="n">
        <v>8.749299132999999</v>
      </c>
      <c r="AK132" t="n">
        <v>2.938000372</v>
      </c>
      <c r="AL132" t="n">
        <v>6.157774573</v>
      </c>
      <c r="AN132" t="n">
        <v>3.010788821</v>
      </c>
      <c r="AP132" t="n">
        <v>6.74494611</v>
      </c>
      <c r="AT132" t="n">
        <v>4.099979004</v>
      </c>
      <c r="AV132" t="n">
        <v>1.284557672</v>
      </c>
      <c r="AW132" t="n">
        <v>5.289307971</v>
      </c>
    </row>
    <row r="133">
      <c r="A133" t="inlineStr">
        <is>
          <t>1980-Q1</t>
        </is>
      </c>
      <c r="B133" s="87" t="n">
        <v>29312</v>
      </c>
      <c r="D133" t="n">
        <v>1.680660961</v>
      </c>
      <c r="E133" t="n">
        <v>4.645217994</v>
      </c>
      <c r="F133" t="n">
        <v>6.781734867</v>
      </c>
      <c r="H133" t="n">
        <v>3.446916792</v>
      </c>
      <c r="I133" t="n">
        <v>5.021502261</v>
      </c>
      <c r="M133" t="n">
        <v>4.568469121</v>
      </c>
      <c r="N133" t="n">
        <v>3.124879976</v>
      </c>
      <c r="P133" t="n">
        <v>1.423891899</v>
      </c>
      <c r="T133" t="n">
        <v>6.236961754</v>
      </c>
      <c r="U133" t="n">
        <v>3.498868213</v>
      </c>
      <c r="V133" t="n">
        <v>2.692446726</v>
      </c>
      <c r="X133" t="n">
        <v>2.144871666</v>
      </c>
      <c r="Y133" t="n">
        <v>1.81587071</v>
      </c>
      <c r="AB133" t="n">
        <v>2.778646765</v>
      </c>
      <c r="AC133" t="n">
        <v>5.752256199</v>
      </c>
      <c r="AE133" t="n">
        <v>4.689559323</v>
      </c>
      <c r="AF133" t="n">
        <v>3.443939632</v>
      </c>
      <c r="AG133" t="n">
        <v>-2.66574512</v>
      </c>
      <c r="AH133" t="n">
        <v>1.348101552</v>
      </c>
      <c r="AJ133" t="n">
        <v>9.274204115</v>
      </c>
      <c r="AK133" t="n">
        <v>8.186000978999999</v>
      </c>
      <c r="AL133" t="n">
        <v>10.76198005</v>
      </c>
      <c r="AN133" t="n">
        <v>3.004404642</v>
      </c>
      <c r="AP133" t="n">
        <v>7.284454126</v>
      </c>
      <c r="AT133" t="n">
        <v>5.185021438</v>
      </c>
      <c r="AV133" t="n">
        <v>1.420775266</v>
      </c>
      <c r="AW133" t="n">
        <v>5.603966755</v>
      </c>
    </row>
    <row r="134">
      <c r="A134" t="inlineStr">
        <is>
          <t>1980-Q2</t>
        </is>
      </c>
      <c r="B134" s="87" t="n">
        <v>29403</v>
      </c>
      <c r="D134" t="n">
        <v>3.609135667</v>
      </c>
      <c r="E134" t="n">
        <v>2.229748822</v>
      </c>
      <c r="F134" t="n">
        <v>5.695113661</v>
      </c>
      <c r="H134" t="n">
        <v>2.039494392</v>
      </c>
      <c r="I134" t="n">
        <v>4.810227938</v>
      </c>
      <c r="M134" t="n">
        <v>0.76620879</v>
      </c>
      <c r="N134" t="n">
        <v>-1.21976052</v>
      </c>
      <c r="P134" t="n">
        <v>1.610681873</v>
      </c>
      <c r="T134" t="n">
        <v>3.286483097</v>
      </c>
      <c r="U134" t="n">
        <v>1.952557675</v>
      </c>
      <c r="V134" t="n">
        <v>0.210046955</v>
      </c>
      <c r="X134" t="n">
        <v>-4.11183356</v>
      </c>
      <c r="Y134" t="n">
        <v>0.433302897</v>
      </c>
      <c r="AB134" t="n">
        <v>3.040938231</v>
      </c>
      <c r="AC134" t="n">
        <v>6.004412324</v>
      </c>
      <c r="AE134" t="n">
        <v>4.740438214</v>
      </c>
      <c r="AF134" t="n">
        <v>1.052248035</v>
      </c>
      <c r="AG134" t="n">
        <v>-3.917118286</v>
      </c>
      <c r="AH134" t="n">
        <v>1.152266108</v>
      </c>
      <c r="AJ134" t="n">
        <v>7.60676692</v>
      </c>
      <c r="AK134" t="n">
        <v>0.338575393</v>
      </c>
      <c r="AL134" t="n">
        <v>5.348965978</v>
      </c>
      <c r="AN134" t="n">
        <v>0.67837897</v>
      </c>
      <c r="AP134" t="n">
        <v>5.022777987</v>
      </c>
      <c r="AT134" t="n">
        <v>-1.412399589</v>
      </c>
      <c r="AV134" t="n">
        <v>-0.775062713</v>
      </c>
      <c r="AW134" t="n">
        <v>6.920808722</v>
      </c>
    </row>
    <row r="135">
      <c r="A135" t="inlineStr">
        <is>
          <t>1980-Q3</t>
        </is>
      </c>
      <c r="B135" s="87" t="n">
        <v>29495</v>
      </c>
      <c r="D135" t="n">
        <v>3.196411997</v>
      </c>
      <c r="E135" t="n">
        <v>1.866624677</v>
      </c>
      <c r="F135" t="n">
        <v>3.671015497</v>
      </c>
      <c r="H135" t="n">
        <v>1.221901043</v>
      </c>
      <c r="I135" t="n">
        <v>4.310899024</v>
      </c>
      <c r="M135" t="n">
        <v>0.366439143</v>
      </c>
      <c r="N135" t="n">
        <v>-1.876250217</v>
      </c>
      <c r="P135" t="n">
        <v>0.964948963</v>
      </c>
      <c r="T135" t="n">
        <v>7.516966275</v>
      </c>
      <c r="U135" t="n">
        <v>0.71042974</v>
      </c>
      <c r="V135" t="n">
        <v>-0.06677453799999999</v>
      </c>
      <c r="X135" t="n">
        <v>-2.024182275</v>
      </c>
      <c r="Y135" t="n">
        <v>0.556101326</v>
      </c>
      <c r="AB135" t="n">
        <v>3.220023578</v>
      </c>
      <c r="AC135" t="n">
        <v>5.868468226</v>
      </c>
      <c r="AE135" t="n">
        <v>3.044983074</v>
      </c>
      <c r="AF135" t="n">
        <v>2.533761582</v>
      </c>
      <c r="AG135" t="n">
        <v>0.688488071</v>
      </c>
      <c r="AH135" t="n">
        <v>0.741006783</v>
      </c>
      <c r="AJ135" t="n">
        <v>7.699434116</v>
      </c>
      <c r="AK135" t="n">
        <v>-1.067033976</v>
      </c>
      <c r="AL135" t="n">
        <v>0.822588198</v>
      </c>
      <c r="AN135" t="n">
        <v>0.485207859</v>
      </c>
      <c r="AP135" t="n">
        <v>3.290390703</v>
      </c>
      <c r="AT135" t="n">
        <v>2.04903702</v>
      </c>
      <c r="AV135" t="n">
        <v>-1.623797431</v>
      </c>
      <c r="AW135" t="n">
        <v>7.945617909</v>
      </c>
    </row>
    <row r="136">
      <c r="A136" t="inlineStr">
        <is>
          <t>1980-Q4</t>
        </is>
      </c>
      <c r="B136" s="87" t="n">
        <v>29587</v>
      </c>
      <c r="D136" t="n">
        <v>2.987326293</v>
      </c>
      <c r="E136" t="n">
        <v>0.586043241</v>
      </c>
      <c r="F136" t="n">
        <v>1.852922115</v>
      </c>
      <c r="H136" t="n">
        <v>1.940387982</v>
      </c>
      <c r="I136" t="n">
        <v>3.371854952</v>
      </c>
      <c r="M136" t="n">
        <v>-0.377486719</v>
      </c>
      <c r="N136" t="n">
        <v>-1.749837429</v>
      </c>
      <c r="P136" t="n">
        <v>1.194843181</v>
      </c>
      <c r="T136" t="n">
        <v>3.358247159</v>
      </c>
      <c r="U136" t="n">
        <v>0.380149609</v>
      </c>
      <c r="V136" t="n">
        <v>0.521018619</v>
      </c>
      <c r="X136" t="n">
        <v>-4.091284226</v>
      </c>
      <c r="Y136" t="n">
        <v>-0.114009791</v>
      </c>
      <c r="AB136" t="n">
        <v>3.272443636</v>
      </c>
      <c r="AC136" t="n">
        <v>5.375815118</v>
      </c>
      <c r="AE136" t="n">
        <v>1.533254334</v>
      </c>
      <c r="AF136" t="n">
        <v>4.259939594</v>
      </c>
      <c r="AG136" t="n">
        <v>-0.58646568</v>
      </c>
      <c r="AH136" t="n">
        <v>0.129266312</v>
      </c>
      <c r="AJ136" t="n">
        <v>8.732685103</v>
      </c>
      <c r="AK136" t="n">
        <v>-0.305672117</v>
      </c>
      <c r="AL136" t="n">
        <v>2.084170492</v>
      </c>
      <c r="AN136" t="n">
        <v>0.967948132</v>
      </c>
      <c r="AP136" t="n">
        <v>2.891256401</v>
      </c>
      <c r="AT136" t="n">
        <v>-0.054837886</v>
      </c>
      <c r="AV136" t="n">
        <v>-0.039131615</v>
      </c>
      <c r="AW136" t="n">
        <v>6.012703734</v>
      </c>
    </row>
    <row r="137">
      <c r="A137" t="inlineStr">
        <is>
          <t>1981-Q1</t>
        </is>
      </c>
      <c r="B137" s="87" t="n">
        <v>29677</v>
      </c>
      <c r="D137" t="n">
        <v>2.922649375</v>
      </c>
      <c r="E137" t="n">
        <v>-1.167911439</v>
      </c>
      <c r="F137" t="n">
        <v>-1.818304235</v>
      </c>
      <c r="H137" t="n">
        <v>3.462674128</v>
      </c>
      <c r="I137" t="n">
        <v>1.332675023</v>
      </c>
      <c r="M137" t="n">
        <v>0.006600282</v>
      </c>
      <c r="N137" t="n">
        <v>-3.080016289</v>
      </c>
      <c r="P137" t="n">
        <v>-0.047428331</v>
      </c>
      <c r="T137" t="n">
        <v>1.465183022</v>
      </c>
      <c r="U137" t="n">
        <v>-0.335795374</v>
      </c>
      <c r="V137" t="n">
        <v>1.363933576</v>
      </c>
      <c r="X137" t="n">
        <v>-3.221023653</v>
      </c>
      <c r="Y137" t="n">
        <v>-5.30505699</v>
      </c>
      <c r="AB137" t="n">
        <v>3.264339435</v>
      </c>
      <c r="AC137" t="n">
        <v>4.763864728</v>
      </c>
      <c r="AE137" t="n">
        <v>1.139704129</v>
      </c>
      <c r="AF137" t="n">
        <v>4.499370078</v>
      </c>
      <c r="AG137" t="n">
        <v>2.595365468</v>
      </c>
      <c r="AH137" t="n">
        <v>-0.459210064</v>
      </c>
      <c r="AJ137" t="n">
        <v>8.165443786999999</v>
      </c>
      <c r="AK137" t="n">
        <v>-1.208918488</v>
      </c>
      <c r="AL137" t="n">
        <v>-0.066195579</v>
      </c>
      <c r="AN137" t="n">
        <v>1.443852729</v>
      </c>
      <c r="AP137" t="n">
        <v>1.749246704</v>
      </c>
      <c r="AT137" t="n">
        <v>-2.490940076</v>
      </c>
      <c r="AV137" t="n">
        <v>1.599979772</v>
      </c>
      <c r="AW137" t="n">
        <v>5.168764428</v>
      </c>
    </row>
    <row r="138">
      <c r="A138" t="inlineStr">
        <is>
          <t>1981-Q2</t>
        </is>
      </c>
      <c r="B138" s="87" t="n">
        <v>29768</v>
      </c>
      <c r="D138" t="n">
        <v>4.245700181</v>
      </c>
      <c r="E138" t="n">
        <v>0.884962023</v>
      </c>
      <c r="F138" t="n">
        <v>0.281220272</v>
      </c>
      <c r="H138" t="n">
        <v>4.658821175</v>
      </c>
      <c r="I138" t="n">
        <v>2.018691457</v>
      </c>
      <c r="M138" t="n">
        <v>0.403350474</v>
      </c>
      <c r="N138" t="n">
        <v>-1.275445534</v>
      </c>
      <c r="P138" t="n">
        <v>-0.496310496</v>
      </c>
      <c r="T138" t="n">
        <v>3.136382032</v>
      </c>
      <c r="U138" t="n">
        <v>0.871281243</v>
      </c>
      <c r="V138" t="n">
        <v>2.571474445</v>
      </c>
      <c r="X138" t="n">
        <v>-1.025673085</v>
      </c>
      <c r="Y138" t="n">
        <v>-5.593758265</v>
      </c>
      <c r="AB138" t="n">
        <v>3.262883526</v>
      </c>
      <c r="AC138" t="n">
        <v>4.24977325</v>
      </c>
      <c r="AE138" t="n">
        <v>0.556555755</v>
      </c>
      <c r="AF138" t="n">
        <v>6.338764794</v>
      </c>
      <c r="AG138" t="n">
        <v>5.643580267</v>
      </c>
      <c r="AH138" t="n">
        <v>-0.811655451</v>
      </c>
      <c r="AJ138" t="n">
        <v>10.248938249</v>
      </c>
      <c r="AK138" t="n">
        <v>0.628768462</v>
      </c>
      <c r="AL138" t="n">
        <v>2.441079548</v>
      </c>
      <c r="AN138" t="n">
        <v>2.746910822</v>
      </c>
      <c r="AP138" t="n">
        <v>1.857852665</v>
      </c>
      <c r="AT138" t="n">
        <v>2.326810765</v>
      </c>
      <c r="AV138" t="n">
        <v>2.968700707</v>
      </c>
      <c r="AW138" t="n">
        <v>5.460639508</v>
      </c>
    </row>
    <row r="139">
      <c r="A139" t="inlineStr">
        <is>
          <t>1981-Q3</t>
        </is>
      </c>
      <c r="B139" s="87" t="n">
        <v>29860</v>
      </c>
      <c r="D139" t="n">
        <v>5.781212046</v>
      </c>
      <c r="E139" t="n">
        <v>0.292267152</v>
      </c>
      <c r="F139" t="n">
        <v>0.838777975</v>
      </c>
      <c r="H139" t="n">
        <v>3.838463089</v>
      </c>
      <c r="I139" t="n">
        <v>2.07751805</v>
      </c>
      <c r="M139" t="n">
        <v>1.068809572</v>
      </c>
      <c r="N139" t="n">
        <v>0.665803992</v>
      </c>
      <c r="P139" t="n">
        <v>0.344054838</v>
      </c>
      <c r="T139" t="n">
        <v>-1.276862292</v>
      </c>
      <c r="U139" t="n">
        <v>1.61024747</v>
      </c>
      <c r="V139" t="n">
        <v>2.948556033</v>
      </c>
      <c r="X139" t="n">
        <v>0.16062414</v>
      </c>
      <c r="Y139" t="n">
        <v>2.477277089</v>
      </c>
      <c r="AB139" t="n">
        <v>3.339522435</v>
      </c>
      <c r="AC139" t="n">
        <v>4.033520581</v>
      </c>
      <c r="AE139" t="n">
        <v>0.519012229</v>
      </c>
      <c r="AF139" t="n">
        <v>3.77769997</v>
      </c>
      <c r="AG139" t="n">
        <v>7.996962979</v>
      </c>
      <c r="AH139" t="n">
        <v>-0.725291694</v>
      </c>
      <c r="AJ139" t="n">
        <v>8.483372977</v>
      </c>
      <c r="AK139" t="n">
        <v>0.382409178</v>
      </c>
      <c r="AL139" t="n">
        <v>3.019395838</v>
      </c>
      <c r="AN139" t="n">
        <v>3.107421979</v>
      </c>
      <c r="AP139" t="n">
        <v>2.032554575</v>
      </c>
      <c r="AT139" t="n">
        <v>-0.659633112</v>
      </c>
      <c r="AV139" t="n">
        <v>4.325765021</v>
      </c>
      <c r="AW139" t="n">
        <v>5.194572768</v>
      </c>
    </row>
    <row r="140">
      <c r="A140" t="inlineStr">
        <is>
          <t>1981-Q4</t>
        </is>
      </c>
      <c r="B140" s="87" t="n">
        <v>29952</v>
      </c>
      <c r="D140" t="n">
        <v>3.573087943</v>
      </c>
      <c r="E140" t="n">
        <v>-0.395863295</v>
      </c>
      <c r="F140" t="n">
        <v>1.316051784</v>
      </c>
      <c r="H140" t="n">
        <v>1.955909127</v>
      </c>
      <c r="I140" t="n">
        <v>1.008741394</v>
      </c>
      <c r="M140" t="n">
        <v>1.123386978</v>
      </c>
      <c r="N140" t="n">
        <v>0.216510364</v>
      </c>
      <c r="P140" t="n">
        <v>-0.334207077</v>
      </c>
      <c r="T140" t="n">
        <v>1.882119861</v>
      </c>
      <c r="U140" t="n">
        <v>2.257816451</v>
      </c>
      <c r="V140" t="n">
        <v>1.494037283</v>
      </c>
      <c r="X140" t="n">
        <v>1.391144425</v>
      </c>
      <c r="Y140" t="n">
        <v>2.544648852</v>
      </c>
      <c r="AB140" t="n">
        <v>3.431785831</v>
      </c>
      <c r="AC140" t="n">
        <v>4.028297519</v>
      </c>
      <c r="AE140" t="n">
        <v>0.478490283</v>
      </c>
      <c r="AF140" t="n">
        <v>2.359574253</v>
      </c>
      <c r="AG140" t="n">
        <v>12.811298021</v>
      </c>
      <c r="AH140" t="n">
        <v>-0.206537816</v>
      </c>
      <c r="AJ140" t="n">
        <v>7.31911819</v>
      </c>
      <c r="AK140" t="n">
        <v>-1.816070683</v>
      </c>
      <c r="AL140" t="n">
        <v>0.815816246</v>
      </c>
      <c r="AN140" t="n">
        <v>1.857439086</v>
      </c>
      <c r="AP140" t="n">
        <v>0.8444154820000001</v>
      </c>
      <c r="AT140" t="n">
        <v>0.18589722</v>
      </c>
      <c r="AV140" t="n">
        <v>1.299901157</v>
      </c>
      <c r="AW140" t="n">
        <v>5.613476113</v>
      </c>
    </row>
    <row r="141">
      <c r="A141" t="inlineStr">
        <is>
          <t>1982-Q1</t>
        </is>
      </c>
      <c r="B141" s="87" t="n">
        <v>30042</v>
      </c>
      <c r="D141" t="n">
        <v>2.334985567</v>
      </c>
      <c r="E141" t="n">
        <v>2.333176552</v>
      </c>
      <c r="F141" t="n">
        <v>1.428611638</v>
      </c>
      <c r="H141" t="n">
        <v>-1.416253252</v>
      </c>
      <c r="I141" t="n">
        <v>0.364897987</v>
      </c>
      <c r="M141" t="n">
        <v>0.308726571</v>
      </c>
      <c r="N141" t="n">
        <v>1.378547221</v>
      </c>
      <c r="P141" t="n">
        <v>0.645858597</v>
      </c>
      <c r="T141" t="n">
        <v>2.709408495</v>
      </c>
      <c r="U141" t="n">
        <v>2.690586053</v>
      </c>
      <c r="V141" t="n">
        <v>-0.019575095</v>
      </c>
      <c r="X141" t="n">
        <v>1.626973576</v>
      </c>
      <c r="Y141" t="n">
        <v>2.581970722</v>
      </c>
      <c r="AB141" t="n">
        <v>3.352210381</v>
      </c>
      <c r="AC141" t="n">
        <v>3.87020604</v>
      </c>
      <c r="AE141" t="n">
        <v>1.015064378</v>
      </c>
      <c r="AF141" t="n">
        <v>3.294956071</v>
      </c>
      <c r="AG141" t="n">
        <v>9.087773178000001</v>
      </c>
      <c r="AH141" t="n">
        <v>0.49845716</v>
      </c>
      <c r="AJ141" t="n">
        <v>2.952408048</v>
      </c>
      <c r="AK141" t="n">
        <v>0.06961236899999999</v>
      </c>
      <c r="AL141" t="n">
        <v>-0.168188174</v>
      </c>
      <c r="AN141" t="n">
        <v>0.503542723</v>
      </c>
      <c r="AP141" t="n">
        <v>2.831411312</v>
      </c>
      <c r="AT141" t="n">
        <v>-0.142823336</v>
      </c>
      <c r="AV141" t="n">
        <v>-2.190348982</v>
      </c>
      <c r="AW141" t="n">
        <v>3.351452457</v>
      </c>
    </row>
    <row r="142">
      <c r="A142" t="inlineStr">
        <is>
          <t>1982-Q2</t>
        </is>
      </c>
      <c r="B142" s="87" t="n">
        <v>30133</v>
      </c>
      <c r="D142" t="n">
        <v>1.685965901</v>
      </c>
      <c r="E142" t="n">
        <v>1.610946582</v>
      </c>
      <c r="F142" t="n">
        <v>0.240429213</v>
      </c>
      <c r="H142" t="n">
        <v>-3.640056899</v>
      </c>
      <c r="I142" t="n">
        <v>-1.236579414</v>
      </c>
      <c r="M142" t="n">
        <v>-0.059283061</v>
      </c>
      <c r="N142" t="n">
        <v>3.33666144</v>
      </c>
      <c r="P142" t="n">
        <v>1.140082339</v>
      </c>
      <c r="T142" t="n">
        <v>2.521090838</v>
      </c>
      <c r="U142" t="n">
        <v>2.680348791</v>
      </c>
      <c r="V142" t="n">
        <v>0.294363883</v>
      </c>
      <c r="X142" t="n">
        <v>2.464638979</v>
      </c>
      <c r="Y142" t="n">
        <v>0.590068637</v>
      </c>
      <c r="AB142" t="n">
        <v>2.948930184</v>
      </c>
      <c r="AC142" t="n">
        <v>3.237227685</v>
      </c>
      <c r="AE142" t="n">
        <v>0.531971372</v>
      </c>
      <c r="AF142" t="n">
        <v>2.746764067</v>
      </c>
      <c r="AG142" t="n">
        <v>9.016197517</v>
      </c>
      <c r="AH142" t="n">
        <v>1.122658544</v>
      </c>
      <c r="AJ142" t="n">
        <v>0.505059441</v>
      </c>
      <c r="AK142" t="n">
        <v>-2.339942097</v>
      </c>
      <c r="AL142" t="n">
        <v>-0.5706172819999999</v>
      </c>
      <c r="AN142" t="n">
        <v>0.538561365</v>
      </c>
      <c r="AP142" t="n">
        <v>1.36695612</v>
      </c>
      <c r="AT142" t="n">
        <v>2.02975177</v>
      </c>
      <c r="AV142" t="n">
        <v>-1.010568147</v>
      </c>
      <c r="AW142" t="n">
        <v>0.298692939</v>
      </c>
    </row>
    <row r="143">
      <c r="A143" t="inlineStr">
        <is>
          <t>1982-Q3</t>
        </is>
      </c>
      <c r="B143" s="87" t="n">
        <v>30225</v>
      </c>
      <c r="D143" t="n">
        <v>-0.988661118</v>
      </c>
      <c r="E143" t="n">
        <v>1.612748872</v>
      </c>
      <c r="F143" t="n">
        <v>0.785574479</v>
      </c>
      <c r="H143" t="n">
        <v>-3.619406541</v>
      </c>
      <c r="I143" t="n">
        <v>-2.495189913</v>
      </c>
      <c r="M143" t="n">
        <v>-1.307091516</v>
      </c>
      <c r="N143" t="n">
        <v>3.76960473</v>
      </c>
      <c r="P143" t="n">
        <v>1.370186939</v>
      </c>
      <c r="T143" t="n">
        <v>3.123627312</v>
      </c>
      <c r="U143" t="n">
        <v>2.087893757</v>
      </c>
      <c r="V143" t="n">
        <v>-0.539242617</v>
      </c>
      <c r="X143" t="n">
        <v>1.604498594</v>
      </c>
      <c r="Y143" t="n">
        <v>-3.200490288</v>
      </c>
      <c r="AB143" t="n">
        <v>2.05463539</v>
      </c>
      <c r="AC143" t="n">
        <v>1.80260906</v>
      </c>
      <c r="AE143" t="n">
        <v>0.431689076</v>
      </c>
      <c r="AF143" t="n">
        <v>3.425808121</v>
      </c>
      <c r="AG143" t="n">
        <v>6.830068155</v>
      </c>
      <c r="AH143" t="n">
        <v>1.43532509</v>
      </c>
      <c r="AJ143" t="n">
        <v>-0.736684843</v>
      </c>
      <c r="AK143" t="n">
        <v>-0.345815996</v>
      </c>
      <c r="AL143" t="n">
        <v>0.655342942</v>
      </c>
      <c r="AN143" t="n">
        <v>-0.252698486</v>
      </c>
      <c r="AP143" t="n">
        <v>2.00699983</v>
      </c>
      <c r="AT143" t="n">
        <v>-0.004190578</v>
      </c>
      <c r="AV143" t="n">
        <v>-2.555921433</v>
      </c>
      <c r="AW143" t="n">
        <v>-1.165397177</v>
      </c>
    </row>
    <row r="144">
      <c r="A144" t="inlineStr">
        <is>
          <t>1982-Q4</t>
        </is>
      </c>
      <c r="B144" s="87" t="n">
        <v>30317</v>
      </c>
      <c r="D144" t="n">
        <v>-2.165095545</v>
      </c>
      <c r="E144" t="n">
        <v>2.079607386</v>
      </c>
      <c r="F144" t="n">
        <v>-0.120160379</v>
      </c>
      <c r="H144" t="n">
        <v>-4.069449539</v>
      </c>
      <c r="I144" t="n">
        <v>-2.362026584</v>
      </c>
      <c r="M144" t="n">
        <v>-0.9925852979999999</v>
      </c>
      <c r="N144" t="n">
        <v>3.596938927</v>
      </c>
      <c r="P144" t="n">
        <v>1.829180091</v>
      </c>
      <c r="T144" t="n">
        <v>4.020418085</v>
      </c>
      <c r="U144" t="n">
        <v>2.128358694</v>
      </c>
      <c r="V144" t="n">
        <v>0.044071211</v>
      </c>
      <c r="X144" t="n">
        <v>2.187470098</v>
      </c>
      <c r="Y144" t="n">
        <v>-4.296798271</v>
      </c>
      <c r="AB144" t="n">
        <v>0.81496269</v>
      </c>
      <c r="AC144" t="n">
        <v>-0.222357353</v>
      </c>
      <c r="AE144" t="n">
        <v>-0.666571911</v>
      </c>
      <c r="AF144" t="n">
        <v>4.10312509</v>
      </c>
      <c r="AG144" t="n">
        <v>8.489928544</v>
      </c>
      <c r="AH144" t="n">
        <v>1.468967163</v>
      </c>
      <c r="AJ144" t="n">
        <v>-4.623492747</v>
      </c>
      <c r="AK144" t="n">
        <v>-2.516722717</v>
      </c>
      <c r="AL144" t="n">
        <v>1.003063082</v>
      </c>
      <c r="AN144" t="n">
        <v>0.012333975</v>
      </c>
      <c r="AP144" t="n">
        <v>2.335787302</v>
      </c>
      <c r="AT144" t="n">
        <v>3.101433116</v>
      </c>
      <c r="AV144" t="n">
        <v>-1.443156179</v>
      </c>
      <c r="AW144" t="n">
        <v>-3.854637026</v>
      </c>
    </row>
    <row r="145">
      <c r="A145" t="inlineStr">
        <is>
          <t>1983-Q1</t>
        </is>
      </c>
      <c r="B145" s="87" t="n">
        <v>30407</v>
      </c>
      <c r="D145" t="n">
        <v>-2.348927936</v>
      </c>
      <c r="E145" t="n">
        <v>1.264709721</v>
      </c>
      <c r="F145" t="n">
        <v>-0.235342511</v>
      </c>
      <c r="H145" t="n">
        <v>-1.303643384</v>
      </c>
      <c r="I145" t="n">
        <v>-0.7653686119999999</v>
      </c>
      <c r="M145" t="n">
        <v>-0.468227457</v>
      </c>
      <c r="N145" t="n">
        <v>2.774982482</v>
      </c>
      <c r="P145" t="n">
        <v>1.782393462</v>
      </c>
      <c r="T145" t="n">
        <v>3.497922505</v>
      </c>
      <c r="U145" t="n">
        <v>1.793294288</v>
      </c>
      <c r="V145" t="n">
        <v>1.350552938</v>
      </c>
      <c r="X145" t="n">
        <v>3.895381191</v>
      </c>
      <c r="Y145" t="n">
        <v>-3.583529451</v>
      </c>
      <c r="AB145" t="n">
        <v>-0.303196618</v>
      </c>
      <c r="AC145" t="n">
        <v>-2.081205123</v>
      </c>
      <c r="AE145" t="n">
        <v>-0.349283248</v>
      </c>
      <c r="AF145" t="n">
        <v>2.596482338</v>
      </c>
      <c r="AG145" t="n">
        <v>12.532870913</v>
      </c>
      <c r="AH145" t="n">
        <v>1.563836604</v>
      </c>
      <c r="AJ145" t="n">
        <v>-3.468731128</v>
      </c>
      <c r="AK145" t="n">
        <v>-2.619631677</v>
      </c>
      <c r="AL145" t="n">
        <v>2.198594341</v>
      </c>
      <c r="AN145" t="n">
        <v>1.110901256</v>
      </c>
      <c r="AP145" t="n">
        <v>0.83359598</v>
      </c>
      <c r="AT145" t="n">
        <v>1.646215938</v>
      </c>
      <c r="AV145" t="n">
        <v>1.431455577</v>
      </c>
      <c r="AW145" t="n">
        <v>-4.453499234</v>
      </c>
    </row>
    <row r="146">
      <c r="A146" t="inlineStr">
        <is>
          <t>1983-Q2</t>
        </is>
      </c>
      <c r="B146" s="87" t="n">
        <v>30498</v>
      </c>
      <c r="D146" t="n">
        <v>-3.399454593</v>
      </c>
      <c r="E146" t="n">
        <v>2.28966339</v>
      </c>
      <c r="F146" t="n">
        <v>-0.456438712</v>
      </c>
      <c r="H146" t="n">
        <v>1.814321126</v>
      </c>
      <c r="I146" t="n">
        <v>-0.006041961</v>
      </c>
      <c r="M146" t="n">
        <v>1.202617374</v>
      </c>
      <c r="N146" t="n">
        <v>3.240899376</v>
      </c>
      <c r="P146" t="n">
        <v>2.023536165</v>
      </c>
      <c r="T146" t="n">
        <v>3.564252225</v>
      </c>
      <c r="U146" t="n">
        <v>1.10982088</v>
      </c>
      <c r="V146" t="n">
        <v>2.424508148</v>
      </c>
      <c r="X146" t="n">
        <v>3.664129666</v>
      </c>
      <c r="Y146" t="n">
        <v>-2.590123414</v>
      </c>
      <c r="AB146" t="n">
        <v>-0.887906019</v>
      </c>
      <c r="AC146" t="n">
        <v>-3.109203814</v>
      </c>
      <c r="AE146" t="n">
        <v>-0.185625127</v>
      </c>
      <c r="AF146" t="n">
        <v>2.66311157</v>
      </c>
      <c r="AG146" t="n">
        <v>13.345797969</v>
      </c>
      <c r="AH146" t="n">
        <v>2.057655532</v>
      </c>
      <c r="AJ146" t="n">
        <v>-5.553618924</v>
      </c>
      <c r="AK146" t="n">
        <v>2.519841642</v>
      </c>
      <c r="AL146" t="n">
        <v>3.31557781</v>
      </c>
      <c r="AN146" t="n">
        <v>1.971310388</v>
      </c>
      <c r="AP146" t="n">
        <v>1.293490896</v>
      </c>
      <c r="AT146" t="n">
        <v>0.328368334</v>
      </c>
      <c r="AV146" t="n">
        <v>3.268532884</v>
      </c>
      <c r="AW146" t="n">
        <v>-3.249435611</v>
      </c>
    </row>
    <row r="147">
      <c r="A147" t="inlineStr">
        <is>
          <t>1983-Q3</t>
        </is>
      </c>
      <c r="B147" s="87" t="n">
        <v>30590</v>
      </c>
      <c r="D147" t="n">
        <v>-0.033848584</v>
      </c>
      <c r="E147" t="n">
        <v>3.217143003</v>
      </c>
      <c r="F147" t="n">
        <v>0.261423772</v>
      </c>
      <c r="H147" t="n">
        <v>3.863388063</v>
      </c>
      <c r="I147" t="n">
        <v>1.202043234</v>
      </c>
      <c r="M147" t="n">
        <v>1.999914709</v>
      </c>
      <c r="N147" t="n">
        <v>0.865698671</v>
      </c>
      <c r="P147" t="n">
        <v>1.490332279</v>
      </c>
      <c r="T147" t="n">
        <v>3.393440295</v>
      </c>
      <c r="U147" t="n">
        <v>1.143480262</v>
      </c>
      <c r="V147" t="n">
        <v>4.069637986</v>
      </c>
      <c r="X147" t="n">
        <v>4.531683659</v>
      </c>
      <c r="Y147" t="n">
        <v>0.735126009</v>
      </c>
      <c r="AB147" t="n">
        <v>-0.535380313</v>
      </c>
      <c r="AC147" t="n">
        <v>-2.658711581</v>
      </c>
      <c r="AE147" t="n">
        <v>1.727558523</v>
      </c>
      <c r="AF147" t="n">
        <v>3.745838338</v>
      </c>
      <c r="AG147" t="n">
        <v>15.166445026</v>
      </c>
      <c r="AH147" t="n">
        <v>3.275449908</v>
      </c>
      <c r="AJ147" t="n">
        <v>-4.079716111</v>
      </c>
      <c r="AK147" t="n">
        <v>2.89118171</v>
      </c>
      <c r="AL147" t="n">
        <v>4.774649541</v>
      </c>
      <c r="AN147" t="n">
        <v>3.472448315</v>
      </c>
      <c r="AP147" t="n">
        <v>-0.682358487</v>
      </c>
      <c r="AT147" t="n">
        <v>2.734841712</v>
      </c>
      <c r="AV147" t="n">
        <v>5.737169685</v>
      </c>
      <c r="AW147" t="n">
        <v>-2.109084591</v>
      </c>
    </row>
    <row r="148">
      <c r="A148" t="inlineStr">
        <is>
          <t>1983-Q4</t>
        </is>
      </c>
      <c r="B148" s="87" t="n">
        <v>30682</v>
      </c>
      <c r="D148" t="n">
        <v>3.266974896</v>
      </c>
      <c r="E148" t="n">
        <v>4.446017386</v>
      </c>
      <c r="F148" t="n">
        <v>2.02778772</v>
      </c>
      <c r="H148" t="n">
        <v>6.151657594</v>
      </c>
      <c r="I148" t="n">
        <v>1.862218692</v>
      </c>
      <c r="M148" t="n">
        <v>3.16368421</v>
      </c>
      <c r="N148" t="n">
        <v>3.204697437</v>
      </c>
      <c r="P148" t="n">
        <v>1.787282401</v>
      </c>
      <c r="T148" t="n">
        <v>1.850726737</v>
      </c>
      <c r="U148" t="n">
        <v>1.182140523</v>
      </c>
      <c r="V148" t="n">
        <v>5.34837795</v>
      </c>
      <c r="X148" t="n">
        <v>4.692887997</v>
      </c>
      <c r="Y148" t="n">
        <v>1.210939504</v>
      </c>
      <c r="AB148" t="n">
        <v>0.752352581</v>
      </c>
      <c r="AC148" t="n">
        <v>-0.738434772</v>
      </c>
      <c r="AE148" t="n">
        <v>4.285885422</v>
      </c>
      <c r="AF148" t="n">
        <v>3.176430465</v>
      </c>
      <c r="AG148" t="n">
        <v>12.452149351</v>
      </c>
      <c r="AH148" t="n">
        <v>5.03940664</v>
      </c>
      <c r="AJ148" t="n">
        <v>-0.7995198</v>
      </c>
      <c r="AK148" t="n">
        <v>4.361589203</v>
      </c>
      <c r="AL148" t="n">
        <v>4.479574447</v>
      </c>
      <c r="AN148" t="n">
        <v>4.743832901</v>
      </c>
      <c r="AP148" t="n">
        <v>-2.12369048</v>
      </c>
      <c r="AT148" t="n">
        <v>2.801680378</v>
      </c>
      <c r="AV148" t="n">
        <v>7.899974981</v>
      </c>
      <c r="AW148" t="n">
        <v>2.541563112</v>
      </c>
    </row>
    <row r="149">
      <c r="A149" t="inlineStr">
        <is>
          <t>1984-Q1</t>
        </is>
      </c>
      <c r="B149" s="87" t="n">
        <v>30773</v>
      </c>
      <c r="D149" t="n">
        <v>6.937725167</v>
      </c>
      <c r="E149" t="n">
        <v>1.833783074</v>
      </c>
      <c r="F149" t="n">
        <v>2.422061448</v>
      </c>
      <c r="H149" t="n">
        <v>6.20124233</v>
      </c>
      <c r="I149" t="n">
        <v>2.181416351</v>
      </c>
      <c r="M149" t="n">
        <v>3.589300546</v>
      </c>
      <c r="N149" t="n">
        <v>4.00999926</v>
      </c>
      <c r="P149" t="n">
        <v>2.255561703</v>
      </c>
      <c r="T149" t="n">
        <v>3.337690225</v>
      </c>
      <c r="U149" t="n">
        <v>1.258923976</v>
      </c>
      <c r="V149" t="n">
        <v>5.75991031</v>
      </c>
      <c r="X149" t="n">
        <v>3.505504081</v>
      </c>
      <c r="Y149" t="n">
        <v>1.779593533</v>
      </c>
      <c r="AB149" t="n">
        <v>2.494814195</v>
      </c>
      <c r="AC149" t="n">
        <v>1.844814931</v>
      </c>
      <c r="AE149" t="n">
        <v>3.790992921</v>
      </c>
      <c r="AF149" t="n">
        <v>4.29891577</v>
      </c>
      <c r="AG149" t="n">
        <v>12.399203782</v>
      </c>
      <c r="AH149" t="n">
        <v>6.615597506</v>
      </c>
      <c r="AJ149" t="n">
        <v>2.697849923</v>
      </c>
      <c r="AK149" t="n">
        <v>5.23545446</v>
      </c>
      <c r="AL149" t="n">
        <v>5.289537947</v>
      </c>
      <c r="AN149" t="n">
        <v>5.410381262</v>
      </c>
      <c r="AP149" t="n">
        <v>-3.765904581</v>
      </c>
      <c r="AT149" t="n">
        <v>6.32476122</v>
      </c>
      <c r="AV149" t="n">
        <v>8.578275462000001</v>
      </c>
      <c r="AW149" t="n">
        <v>5.916250836</v>
      </c>
    </row>
    <row r="150">
      <c r="A150" t="inlineStr">
        <is>
          <t>1984-Q2</t>
        </is>
      </c>
      <c r="B150" s="87" t="n">
        <v>30864</v>
      </c>
      <c r="D150" t="n">
        <v>8.337522719000001</v>
      </c>
      <c r="E150" t="n">
        <v>-0.191219446</v>
      </c>
      <c r="F150" t="n">
        <v>2.530255302</v>
      </c>
      <c r="H150" t="n">
        <v>6.191322382</v>
      </c>
      <c r="I150" t="n">
        <v>2.498528404</v>
      </c>
      <c r="M150" t="n">
        <v>0.895351673</v>
      </c>
      <c r="N150" t="n">
        <v>3.627576356</v>
      </c>
      <c r="P150" t="n">
        <v>1.314594816</v>
      </c>
      <c r="T150" t="n">
        <v>2.402180441</v>
      </c>
      <c r="U150" t="n">
        <v>1.664939574</v>
      </c>
      <c r="V150" t="n">
        <v>5.27326223</v>
      </c>
      <c r="X150" t="n">
        <v>1.750658083</v>
      </c>
      <c r="Y150" t="n">
        <v>2.342702954</v>
      </c>
      <c r="AB150" t="n">
        <v>4.159408842</v>
      </c>
      <c r="AC150" t="n">
        <v>4.168490104</v>
      </c>
      <c r="AE150" t="n">
        <v>4.250690105</v>
      </c>
      <c r="AF150" t="n">
        <v>5.088232497</v>
      </c>
      <c r="AG150" t="n">
        <v>11.765440349</v>
      </c>
      <c r="AH150" t="n">
        <v>7.310072978</v>
      </c>
      <c r="AJ150" t="n">
        <v>3.262564712</v>
      </c>
      <c r="AK150" t="n">
        <v>2.392020498</v>
      </c>
      <c r="AL150" t="n">
        <v>4.787072394</v>
      </c>
      <c r="AN150" t="n">
        <v>4.959089946</v>
      </c>
      <c r="AP150" t="n">
        <v>-3.901506084</v>
      </c>
      <c r="AT150" t="n">
        <v>3.896350307</v>
      </c>
      <c r="AV150" t="n">
        <v>7.996696675</v>
      </c>
      <c r="AW150" t="n">
        <v>7.66954987</v>
      </c>
    </row>
    <row r="151">
      <c r="A151" t="inlineStr">
        <is>
          <t>1984-Q3</t>
        </is>
      </c>
      <c r="B151" s="87" t="n">
        <v>30956</v>
      </c>
      <c r="D151" t="n">
        <v>6.292952094</v>
      </c>
      <c r="E151" t="n">
        <v>-0.110557619</v>
      </c>
      <c r="F151" t="n">
        <v>1.97317014</v>
      </c>
      <c r="H151" t="n">
        <v>5.45844766</v>
      </c>
      <c r="I151" t="n">
        <v>3.840910916</v>
      </c>
      <c r="M151" t="n">
        <v>3.859431868</v>
      </c>
      <c r="N151" t="n">
        <v>5.93981063</v>
      </c>
      <c r="P151" t="n">
        <v>2.046888168</v>
      </c>
      <c r="T151" t="n">
        <v>2.375720956</v>
      </c>
      <c r="U151" t="n">
        <v>2.038885207</v>
      </c>
      <c r="V151" t="n">
        <v>5.025948749</v>
      </c>
      <c r="X151" t="n">
        <v>1.305195289</v>
      </c>
      <c r="Y151" t="n">
        <v>3.027287488</v>
      </c>
      <c r="AB151" t="n">
        <v>5.242493631</v>
      </c>
      <c r="AC151" t="n">
        <v>5.343745355</v>
      </c>
      <c r="AE151" t="n">
        <v>3.549872537</v>
      </c>
      <c r="AF151" t="n">
        <v>4.804342973</v>
      </c>
      <c r="AG151" t="n">
        <v>9.232616145</v>
      </c>
      <c r="AH151" t="n">
        <v>6.475143051</v>
      </c>
      <c r="AJ151" t="n">
        <v>4.892367869</v>
      </c>
      <c r="AK151" t="n">
        <v>2.007358511</v>
      </c>
      <c r="AL151" t="n">
        <v>6.350906826</v>
      </c>
      <c r="AN151" t="n">
        <v>4.850919952</v>
      </c>
      <c r="AP151" t="n">
        <v>-0.092261707</v>
      </c>
      <c r="AT151" t="n">
        <v>4.096404689</v>
      </c>
      <c r="AV151" t="n">
        <v>6.900837083</v>
      </c>
      <c r="AW151" t="n">
        <v>4.678250894</v>
      </c>
    </row>
    <row r="152">
      <c r="A152" t="inlineStr">
        <is>
          <t>1984-Q4</t>
        </is>
      </c>
      <c r="B152" s="87" t="n">
        <v>31048</v>
      </c>
      <c r="D152" t="n">
        <v>5.272700363</v>
      </c>
      <c r="E152" t="n">
        <v>-0.173153478</v>
      </c>
      <c r="F152" t="n">
        <v>1.496203624</v>
      </c>
      <c r="H152" t="n">
        <v>5.796178777</v>
      </c>
      <c r="I152" t="n">
        <v>4.318440873</v>
      </c>
      <c r="M152" t="n">
        <v>3.304747767</v>
      </c>
      <c r="N152" t="n">
        <v>3.999628876</v>
      </c>
      <c r="P152" t="n">
        <v>1.521187516</v>
      </c>
      <c r="T152" t="n">
        <v>3.836094159</v>
      </c>
      <c r="U152" t="n">
        <v>1.742003796</v>
      </c>
      <c r="V152" t="n">
        <v>4.175858782</v>
      </c>
      <c r="X152" t="n">
        <v>2.418784075</v>
      </c>
      <c r="Y152" t="n">
        <v>0.922686946</v>
      </c>
      <c r="AB152" t="n">
        <v>5.505337006</v>
      </c>
      <c r="AC152" t="n">
        <v>5.16377382</v>
      </c>
      <c r="AE152" t="n">
        <v>1.32041593</v>
      </c>
      <c r="AF152" t="n">
        <v>4.117804445</v>
      </c>
      <c r="AG152" t="n">
        <v>8.983314225000001</v>
      </c>
      <c r="AH152" t="n">
        <v>4.409970937</v>
      </c>
      <c r="AJ152" t="n">
        <v>2.78553242</v>
      </c>
      <c r="AK152" t="n">
        <v>2.916976951</v>
      </c>
      <c r="AL152" t="n">
        <v>8.519525052000001</v>
      </c>
      <c r="AN152" t="n">
        <v>4.034040516</v>
      </c>
      <c r="AP152" t="n">
        <v>0.330954512</v>
      </c>
      <c r="AT152" t="n">
        <v>2.989388197</v>
      </c>
      <c r="AV152" t="n">
        <v>5.575799462</v>
      </c>
      <c r="AW152" t="n">
        <v>2.246739252</v>
      </c>
    </row>
    <row r="153">
      <c r="A153" t="inlineStr">
        <is>
          <t>1985-Q1</t>
        </is>
      </c>
      <c r="B153" s="87" t="n">
        <v>31138</v>
      </c>
      <c r="D153" t="n">
        <v>4.181706613</v>
      </c>
      <c r="E153" t="n">
        <v>1.645621109</v>
      </c>
      <c r="F153" t="n">
        <v>1.519554599</v>
      </c>
      <c r="H153" t="n">
        <v>5.587233</v>
      </c>
      <c r="I153" t="n">
        <v>4.297876526</v>
      </c>
      <c r="M153" t="n">
        <v>1.400567503</v>
      </c>
      <c r="N153" t="n">
        <v>2.993008196</v>
      </c>
      <c r="P153" t="n">
        <v>1.811958929</v>
      </c>
      <c r="T153" t="n">
        <v>2.927225911</v>
      </c>
      <c r="U153" t="n">
        <v>1.252720472</v>
      </c>
      <c r="V153" t="n">
        <v>3.765727713</v>
      </c>
      <c r="X153" t="n">
        <v>2.522514173</v>
      </c>
      <c r="Y153" t="n">
        <v>-1.149777188</v>
      </c>
      <c r="AB153" t="n">
        <v>5.02956314</v>
      </c>
      <c r="AC153" t="n">
        <v>4.232172456</v>
      </c>
      <c r="AE153" t="n">
        <v>2.099923785</v>
      </c>
      <c r="AF153" t="n">
        <v>5.454787039</v>
      </c>
      <c r="AG153" t="n">
        <v>7.343674144</v>
      </c>
      <c r="AH153" t="n">
        <v>2.327789245</v>
      </c>
      <c r="AJ153" t="n">
        <v>1.854300225</v>
      </c>
      <c r="AK153" t="n">
        <v>1.593426224</v>
      </c>
      <c r="AL153" t="n">
        <v>7.756721917</v>
      </c>
      <c r="AN153" t="n">
        <v>3.547496873</v>
      </c>
      <c r="AP153" t="n">
        <v>2.211011185</v>
      </c>
      <c r="AT153" t="n">
        <v>0.856210814</v>
      </c>
      <c r="AV153" t="n">
        <v>4.555093389</v>
      </c>
      <c r="AW153" t="n">
        <v>-0.058200822</v>
      </c>
    </row>
    <row r="154">
      <c r="A154" t="inlineStr">
        <is>
          <t>1985-Q2</t>
        </is>
      </c>
      <c r="B154" s="87" t="n">
        <v>31229</v>
      </c>
      <c r="D154" t="n">
        <v>5.303706348</v>
      </c>
      <c r="E154" t="n">
        <v>2.527669134</v>
      </c>
      <c r="F154" t="n">
        <v>1.734793514</v>
      </c>
      <c r="H154" t="n">
        <v>3.891740388</v>
      </c>
      <c r="I154" t="n">
        <v>4.66874938</v>
      </c>
      <c r="M154" t="n">
        <v>4.055948585</v>
      </c>
      <c r="N154" t="n">
        <v>3.341411233</v>
      </c>
      <c r="P154" t="n">
        <v>2.030873313</v>
      </c>
      <c r="T154" t="n">
        <v>3.947309063</v>
      </c>
      <c r="U154" t="n">
        <v>1.514969535</v>
      </c>
      <c r="V154" t="n">
        <v>4.061805239</v>
      </c>
      <c r="X154" t="n">
        <v>5.645902815</v>
      </c>
      <c r="Y154" t="n">
        <v>1.634306467</v>
      </c>
      <c r="AB154" t="n">
        <v>3.9947819</v>
      </c>
      <c r="AC154" t="n">
        <v>3.234803814</v>
      </c>
      <c r="AE154" t="n">
        <v>3.116545647</v>
      </c>
      <c r="AF154" t="n">
        <v>5.985127831</v>
      </c>
      <c r="AG154" t="n">
        <v>7.241524177</v>
      </c>
      <c r="AH154" t="n">
        <v>1.304820568</v>
      </c>
      <c r="AJ154" t="n">
        <v>3.286314794</v>
      </c>
      <c r="AK154" t="n">
        <v>3.658819955</v>
      </c>
      <c r="AL154" t="n">
        <v>5.620760094</v>
      </c>
      <c r="AN154" t="n">
        <v>3.960902607</v>
      </c>
      <c r="AP154" t="n">
        <v>4.2851239</v>
      </c>
      <c r="AT154" t="n">
        <v>3.488603765</v>
      </c>
      <c r="AV154" t="n">
        <v>3.684217505</v>
      </c>
      <c r="AW154" t="n">
        <v>-2.804155293</v>
      </c>
    </row>
    <row r="155">
      <c r="A155" t="inlineStr">
        <is>
          <t>1985-Q3</t>
        </is>
      </c>
      <c r="B155" s="87" t="n">
        <v>31321</v>
      </c>
      <c r="D155" t="n">
        <v>5.8289483</v>
      </c>
      <c r="E155" t="n">
        <v>3.101201726</v>
      </c>
      <c r="F155" t="n">
        <v>2.13081223</v>
      </c>
      <c r="H155" t="n">
        <v>4.769223574</v>
      </c>
      <c r="I155" t="n">
        <v>3.011549168</v>
      </c>
      <c r="M155" t="n">
        <v>2.616635647</v>
      </c>
      <c r="N155" t="n">
        <v>4.639387197</v>
      </c>
      <c r="P155" t="n">
        <v>2.198530976</v>
      </c>
      <c r="T155" t="n">
        <v>3.541247485</v>
      </c>
      <c r="U155" t="n">
        <v>1.798460032</v>
      </c>
      <c r="V155" t="n">
        <v>4.149228237</v>
      </c>
      <c r="X155" t="n">
        <v>5.069509773</v>
      </c>
      <c r="Y155" t="n">
        <v>3.372138342</v>
      </c>
      <c r="AB155" t="n">
        <v>2.522861955</v>
      </c>
      <c r="AC155" t="n">
        <v>2.742371835</v>
      </c>
      <c r="AE155" t="n">
        <v>2.732879256</v>
      </c>
      <c r="AF155" t="n">
        <v>6.07568983</v>
      </c>
      <c r="AG155" t="n">
        <v>7.0028733</v>
      </c>
      <c r="AH155" t="n">
        <v>2.309861309</v>
      </c>
      <c r="AJ155" t="n">
        <v>1.474999436</v>
      </c>
      <c r="AK155" t="n">
        <v>1.538216729</v>
      </c>
      <c r="AL155" t="n">
        <v>5.632936367</v>
      </c>
      <c r="AN155" t="n">
        <v>3.904874217</v>
      </c>
      <c r="AP155" t="n">
        <v>1.456021465</v>
      </c>
      <c r="AT155" t="n">
        <v>3.265336819</v>
      </c>
      <c r="AV155" t="n">
        <v>4.262444927</v>
      </c>
      <c r="AW155" t="n">
        <v>-1.426912484</v>
      </c>
    </row>
    <row r="156">
      <c r="A156" t="inlineStr">
        <is>
          <t>1985-Q4</t>
        </is>
      </c>
      <c r="B156" s="87" t="n">
        <v>31413</v>
      </c>
      <c r="D156" t="n">
        <v>4.832870549</v>
      </c>
      <c r="E156" t="n">
        <v>1.705435455</v>
      </c>
      <c r="F156" t="n">
        <v>2.002577486</v>
      </c>
      <c r="H156" t="n">
        <v>4.717962995</v>
      </c>
      <c r="I156" t="n">
        <v>3.115772255</v>
      </c>
      <c r="M156" t="n">
        <v>2.370542268</v>
      </c>
      <c r="N156" t="n">
        <v>6.135595919</v>
      </c>
      <c r="P156" t="n">
        <v>3.240480386</v>
      </c>
      <c r="T156" t="n">
        <v>2.505634363</v>
      </c>
      <c r="U156" t="n">
        <v>1.865223205</v>
      </c>
      <c r="V156" t="n">
        <v>4.209500671</v>
      </c>
      <c r="X156" t="n">
        <v>3.292276383</v>
      </c>
      <c r="Y156" t="n">
        <v>6.113427438</v>
      </c>
      <c r="AB156" t="n">
        <v>0.888903716</v>
      </c>
      <c r="AC156" t="n">
        <v>2.989207382</v>
      </c>
      <c r="AE156" t="n">
        <v>3.401307869</v>
      </c>
      <c r="AF156" t="n">
        <v>7.29962598</v>
      </c>
      <c r="AG156" t="n">
        <v>9.731701212999999</v>
      </c>
      <c r="AH156" t="n">
        <v>5.201996711</v>
      </c>
      <c r="AJ156" t="n">
        <v>2.099227801</v>
      </c>
      <c r="AK156" t="n">
        <v>3.831424386</v>
      </c>
      <c r="AL156" t="n">
        <v>4.482023405</v>
      </c>
      <c r="AN156" t="n">
        <v>4.089965742</v>
      </c>
      <c r="AP156" t="n">
        <v>3.305567204</v>
      </c>
      <c r="AT156" t="n">
        <v>1.285841368</v>
      </c>
      <c r="AV156" t="n">
        <v>4.182268594</v>
      </c>
      <c r="AW156" t="n">
        <v>-0.52662913</v>
      </c>
    </row>
    <row r="157">
      <c r="A157" t="inlineStr">
        <is>
          <t>1986-Q1</t>
        </is>
      </c>
      <c r="B157" s="87" t="n">
        <v>31503</v>
      </c>
      <c r="D157" t="n">
        <v>3.998267648</v>
      </c>
      <c r="E157" t="n">
        <v>2.124560428</v>
      </c>
      <c r="F157" t="n">
        <v>2.124696369</v>
      </c>
      <c r="H157" t="n">
        <v>3.119680206</v>
      </c>
      <c r="I157" t="n">
        <v>2.462847595</v>
      </c>
      <c r="M157" t="n">
        <v>2.342772922</v>
      </c>
      <c r="N157" t="n">
        <v>6.714737829</v>
      </c>
      <c r="P157" t="n">
        <v>2.389015226</v>
      </c>
      <c r="T157" t="n">
        <v>1.865262234</v>
      </c>
      <c r="U157" t="n">
        <v>2.074156067</v>
      </c>
      <c r="V157" t="n">
        <v>3.814382306</v>
      </c>
      <c r="X157" t="n">
        <v>3.633795389</v>
      </c>
      <c r="Y157" t="n">
        <v>2.087133074</v>
      </c>
      <c r="AB157" t="n">
        <v>-0.454834467</v>
      </c>
      <c r="AC157" t="n">
        <v>3.883000913</v>
      </c>
      <c r="AE157" t="n">
        <v>3.454207795</v>
      </c>
      <c r="AF157" t="n">
        <v>5.149536188</v>
      </c>
      <c r="AG157" t="n">
        <v>8.786628481999999</v>
      </c>
      <c r="AH157" t="n">
        <v>8.599253941000001</v>
      </c>
      <c r="AJ157" t="n">
        <v>-1.668089743</v>
      </c>
      <c r="AK157" t="n">
        <v>3.632719088</v>
      </c>
      <c r="AL157" t="n">
        <v>4.394186298</v>
      </c>
      <c r="AN157" t="n">
        <v>3.54215108</v>
      </c>
      <c r="AP157" t="n">
        <v>3.542920579</v>
      </c>
      <c r="AT157" t="n">
        <v>3.192026819</v>
      </c>
      <c r="AV157" t="n">
        <v>4.145589749</v>
      </c>
      <c r="AW157" t="n">
        <v>-1.122663504</v>
      </c>
    </row>
    <row r="158">
      <c r="A158" t="inlineStr">
        <is>
          <t>1986-Q2</t>
        </is>
      </c>
      <c r="B158" s="87" t="n">
        <v>31594</v>
      </c>
      <c r="D158" t="n">
        <v>1.567187368</v>
      </c>
      <c r="E158" t="n">
        <v>3.199522231</v>
      </c>
      <c r="F158" t="n">
        <v>1.960227312</v>
      </c>
      <c r="H158" t="n">
        <v>3.376397808</v>
      </c>
      <c r="I158" t="n">
        <v>2.082496473</v>
      </c>
      <c r="M158" t="n">
        <v>2.493179711</v>
      </c>
      <c r="N158" t="n">
        <v>4.711821745</v>
      </c>
      <c r="P158" t="n">
        <v>4.926023059</v>
      </c>
      <c r="T158" t="n">
        <v>1.167433383</v>
      </c>
      <c r="U158" t="n">
        <v>2.576696533</v>
      </c>
      <c r="V158" t="n">
        <v>3.120961442</v>
      </c>
      <c r="X158" t="n">
        <v>2.217182055</v>
      </c>
      <c r="Y158" t="n">
        <v>4.657435404</v>
      </c>
      <c r="AB158" t="n">
        <v>-1.129990553</v>
      </c>
      <c r="AC158" t="n">
        <v>5.267960305</v>
      </c>
      <c r="AE158" t="n">
        <v>2.765944695</v>
      </c>
      <c r="AF158" t="n">
        <v>2.809357399</v>
      </c>
      <c r="AG158" t="n">
        <v>10.367594628</v>
      </c>
      <c r="AH158" t="n">
        <v>11.053626404</v>
      </c>
      <c r="AJ158" t="n">
        <v>-1.950427578</v>
      </c>
      <c r="AK158" t="n">
        <v>3.388281546</v>
      </c>
      <c r="AL158" t="n">
        <v>4.412895339</v>
      </c>
      <c r="AN158" t="n">
        <v>3.098518212</v>
      </c>
      <c r="AP158" t="n">
        <v>3.70130734</v>
      </c>
      <c r="AT158" t="n">
        <v>2.623817202</v>
      </c>
      <c r="AV158" t="n">
        <v>3.701580387</v>
      </c>
      <c r="AW158" t="n">
        <v>0.289240695</v>
      </c>
    </row>
    <row r="159">
      <c r="A159" t="inlineStr">
        <is>
          <t>1986-Q3</t>
        </is>
      </c>
      <c r="B159" s="87" t="n">
        <v>31686</v>
      </c>
      <c r="D159" t="n">
        <v>0.495548978</v>
      </c>
      <c r="E159" t="n">
        <v>1.77282273</v>
      </c>
      <c r="F159" t="n">
        <v>2.521071836</v>
      </c>
      <c r="H159" t="n">
        <v>2.210135185</v>
      </c>
      <c r="I159" t="n">
        <v>1.849764496</v>
      </c>
      <c r="M159" t="n">
        <v>1.922379197</v>
      </c>
      <c r="N159" t="n">
        <v>2.438169692</v>
      </c>
      <c r="P159" t="n">
        <v>3.117271102</v>
      </c>
      <c r="T159" t="n">
        <v>5.052467936</v>
      </c>
      <c r="U159" t="n">
        <v>2.170745875</v>
      </c>
      <c r="V159" t="n">
        <v>2.640180508</v>
      </c>
      <c r="X159" t="n">
        <v>2.591708302</v>
      </c>
      <c r="Y159" t="n">
        <v>-1.596642788</v>
      </c>
      <c r="AB159" t="n">
        <v>-0.758763209</v>
      </c>
      <c r="AC159" t="n">
        <v>7.040207376</v>
      </c>
      <c r="AE159" t="n">
        <v>2.966893659</v>
      </c>
      <c r="AF159" t="n">
        <v>2.075878236</v>
      </c>
      <c r="AG159" t="n">
        <v>13.837259908</v>
      </c>
      <c r="AH159" t="n">
        <v>11.21240173</v>
      </c>
      <c r="AJ159" t="n">
        <v>-4.409440916</v>
      </c>
      <c r="AK159" t="n">
        <v>4.670114402</v>
      </c>
      <c r="AL159" t="n">
        <v>4.111426145</v>
      </c>
      <c r="AN159" t="n">
        <v>2.604048488</v>
      </c>
      <c r="AP159" t="n">
        <v>4.647721737</v>
      </c>
      <c r="AT159" t="n">
        <v>2.000153459</v>
      </c>
      <c r="AV159" t="n">
        <v>3.119241274</v>
      </c>
      <c r="AW159" t="n">
        <v>0.780967301</v>
      </c>
    </row>
    <row r="160">
      <c r="A160" t="inlineStr">
        <is>
          <t>1986-Q4</t>
        </is>
      </c>
      <c r="B160" s="87" t="n">
        <v>31778</v>
      </c>
      <c r="D160" t="n">
        <v>2.41344241</v>
      </c>
      <c r="E160" t="n">
        <v>2.273967783</v>
      </c>
      <c r="F160" t="n">
        <v>0.81353946</v>
      </c>
      <c r="H160" t="n">
        <v>-0.061759828</v>
      </c>
      <c r="I160" t="n">
        <v>0.796576188</v>
      </c>
      <c r="M160" t="n">
        <v>2.32473051</v>
      </c>
      <c r="N160" t="n">
        <v>0.8961032370000001</v>
      </c>
      <c r="P160" t="n">
        <v>2.597685566</v>
      </c>
      <c r="T160" t="n">
        <v>2.90998448</v>
      </c>
      <c r="U160" t="n">
        <v>2.179633976</v>
      </c>
      <c r="V160" t="n">
        <v>2.503968452</v>
      </c>
      <c r="X160" t="n">
        <v>4.183131467</v>
      </c>
      <c r="Y160" t="n">
        <v>-2.699930569</v>
      </c>
      <c r="AB160" t="n">
        <v>0.63470516</v>
      </c>
      <c r="AC160" t="n">
        <v>8.825601820999999</v>
      </c>
      <c r="AE160" t="n">
        <v>2.704833912</v>
      </c>
      <c r="AF160" t="n">
        <v>1.532191884</v>
      </c>
      <c r="AG160" t="n">
        <v>12.192557033</v>
      </c>
      <c r="AH160" t="n">
        <v>9.083482899</v>
      </c>
      <c r="AJ160" t="n">
        <v>-4.410904065</v>
      </c>
      <c r="AK160" t="n">
        <v>0.8685453990000001</v>
      </c>
      <c r="AL160" t="n">
        <v>3.681004153</v>
      </c>
      <c r="AN160" t="n">
        <v>2.392271862</v>
      </c>
      <c r="AP160" t="n">
        <v>4.661705392</v>
      </c>
      <c r="AT160" t="n">
        <v>3.348451862</v>
      </c>
      <c r="AV160" t="n">
        <v>2.908033321</v>
      </c>
      <c r="AW160" t="n">
        <v>0.133362615</v>
      </c>
    </row>
    <row r="161">
      <c r="A161" t="inlineStr">
        <is>
          <t>1987-Q1</t>
        </is>
      </c>
      <c r="B161" s="87" t="n">
        <v>31868</v>
      </c>
      <c r="D161" t="n">
        <v>2.735717578</v>
      </c>
      <c r="E161" t="n">
        <v>0.502854125</v>
      </c>
      <c r="F161" t="n">
        <v>0.9724263319999999</v>
      </c>
      <c r="H161" t="n">
        <v>2.274754318</v>
      </c>
      <c r="I161" t="n">
        <v>0.436659463</v>
      </c>
      <c r="M161" t="n">
        <v>0.330519523</v>
      </c>
      <c r="N161" t="n">
        <v>-1.538901736</v>
      </c>
      <c r="P161" t="n">
        <v>4.404611021</v>
      </c>
      <c r="T161" t="n">
        <v>3.636363636</v>
      </c>
      <c r="U161" t="n">
        <v>2.076772491</v>
      </c>
      <c r="V161" t="n">
        <v>2.174481929</v>
      </c>
      <c r="X161" t="n">
        <v>3.984341777</v>
      </c>
      <c r="Y161" t="n">
        <v>-0.527548836</v>
      </c>
      <c r="AB161" t="n">
        <v>2.53733077</v>
      </c>
      <c r="AC161" t="n">
        <v>9.990465812</v>
      </c>
      <c r="AE161" t="n">
        <v>2.4868606</v>
      </c>
      <c r="AF161" t="n">
        <v>1.05751571</v>
      </c>
      <c r="AG161" t="n">
        <v>13.608199864</v>
      </c>
      <c r="AH161" t="n">
        <v>6.110381526</v>
      </c>
      <c r="AJ161" t="n">
        <v>-1.9491274</v>
      </c>
      <c r="AK161" t="n">
        <v>0.9314873259999999</v>
      </c>
      <c r="AL161" t="n">
        <v>1.346681344</v>
      </c>
      <c r="AN161" t="n">
        <v>2.272915092</v>
      </c>
      <c r="AP161" t="n">
        <v>5.162007525</v>
      </c>
      <c r="AT161" t="n">
        <v>1.76089021</v>
      </c>
      <c r="AV161" t="n">
        <v>2.715840619</v>
      </c>
      <c r="AW161" t="n">
        <v>2.077765132</v>
      </c>
    </row>
    <row r="162">
      <c r="A162" t="inlineStr">
        <is>
          <t>1987-Q2</t>
        </is>
      </c>
      <c r="B162" s="87" t="n">
        <v>31959</v>
      </c>
      <c r="D162" t="n">
        <v>4.537237386</v>
      </c>
      <c r="E162" t="n">
        <v>1.053910812</v>
      </c>
      <c r="F162" t="n">
        <v>1.887003395</v>
      </c>
      <c r="H162" t="n">
        <v>3.010131747</v>
      </c>
      <c r="I162" t="n">
        <v>0.710551547</v>
      </c>
      <c r="M162" t="n">
        <v>1.415955776</v>
      </c>
      <c r="N162" t="n">
        <v>1.74129434</v>
      </c>
      <c r="P162" t="n">
        <v>3.501615223</v>
      </c>
      <c r="T162" t="n">
        <v>4.984771138</v>
      </c>
      <c r="U162" t="n">
        <v>2.115442167</v>
      </c>
      <c r="V162" t="n">
        <v>3.149115085</v>
      </c>
      <c r="X162" t="n">
        <v>4.729278738</v>
      </c>
      <c r="Y162" t="n">
        <v>-4.955760928</v>
      </c>
      <c r="AB162" t="n">
        <v>4.374759986</v>
      </c>
      <c r="AC162" t="n">
        <v>10.055096805</v>
      </c>
      <c r="AE162" t="n">
        <v>3.370290813</v>
      </c>
      <c r="AF162" t="n">
        <v>3.42938621</v>
      </c>
      <c r="AG162" t="n">
        <v>14.762944214</v>
      </c>
      <c r="AH162" t="n">
        <v>3.643126695</v>
      </c>
      <c r="AJ162" t="n">
        <v>1.111442286</v>
      </c>
      <c r="AK162" t="n">
        <v>0.842242199</v>
      </c>
      <c r="AL162" t="n">
        <v>4.997484564</v>
      </c>
      <c r="AN162" t="n">
        <v>3.284265382</v>
      </c>
      <c r="AP162" t="n">
        <v>5.653281801</v>
      </c>
      <c r="AT162" t="n">
        <v>3.493861017</v>
      </c>
      <c r="AV162" t="n">
        <v>3.35847938</v>
      </c>
      <c r="AW162" t="n">
        <v>1.739358961</v>
      </c>
    </row>
    <row r="163">
      <c r="A163" t="inlineStr">
        <is>
          <t>1987-Q3</t>
        </is>
      </c>
      <c r="B163" s="87" t="n">
        <v>32051</v>
      </c>
      <c r="D163" t="n">
        <v>6.133587744</v>
      </c>
      <c r="E163" t="n">
        <v>2.198412717</v>
      </c>
      <c r="F163" t="n">
        <v>2.054659181</v>
      </c>
      <c r="H163" t="n">
        <v>4.446173489</v>
      </c>
      <c r="I163" t="n">
        <v>2.069168845</v>
      </c>
      <c r="M163" t="n">
        <v>1.369526997</v>
      </c>
      <c r="N163" t="n">
        <v>0.374906745</v>
      </c>
      <c r="P163" t="n">
        <v>6.389218713</v>
      </c>
      <c r="T163" t="n">
        <v>0.990668804</v>
      </c>
      <c r="U163" t="n">
        <v>2.470083133</v>
      </c>
      <c r="V163" t="n">
        <v>3.540820306</v>
      </c>
      <c r="X163" t="n">
        <v>6.775296475</v>
      </c>
      <c r="Y163" t="n">
        <v>-3.258425095</v>
      </c>
      <c r="AB163" t="n">
        <v>5.630274589</v>
      </c>
      <c r="AC163" t="n">
        <v>8.552482828</v>
      </c>
      <c r="AE163" t="n">
        <v>2.644146034</v>
      </c>
      <c r="AF163" t="n">
        <v>4.883864176</v>
      </c>
      <c r="AG163" t="n">
        <v>11.086869809</v>
      </c>
      <c r="AH163" t="n">
        <v>2.688450187</v>
      </c>
      <c r="AJ163" t="n">
        <v>3.178231352</v>
      </c>
      <c r="AK163" t="n">
        <v>1.740114122</v>
      </c>
      <c r="AL163" t="n">
        <v>-0.341643006</v>
      </c>
      <c r="AN163" t="n">
        <v>3.727872119</v>
      </c>
      <c r="AP163" t="n">
        <v>6.71693715</v>
      </c>
      <c r="AT163" t="n">
        <v>4.16073923</v>
      </c>
      <c r="AV163" t="n">
        <v>3.266926152</v>
      </c>
      <c r="AW163" t="n">
        <v>1.88136542</v>
      </c>
    </row>
    <row r="164">
      <c r="A164" t="inlineStr">
        <is>
          <t>1987-Q4</t>
        </is>
      </c>
      <c r="B164" s="87" t="n">
        <v>32143</v>
      </c>
      <c r="D164" t="n">
        <v>6.520802073</v>
      </c>
      <c r="E164" t="n">
        <v>2.950218949</v>
      </c>
      <c r="F164" t="n">
        <v>4.580977496</v>
      </c>
      <c r="H164" t="n">
        <v>6.565013741</v>
      </c>
      <c r="I164" t="n">
        <v>3.002373349</v>
      </c>
      <c r="M164" t="n">
        <v>1.974541695</v>
      </c>
      <c r="N164" t="n">
        <v>0.6032623539999999</v>
      </c>
      <c r="P164" t="n">
        <v>7.876542627</v>
      </c>
      <c r="T164" t="n">
        <v>4.947425747</v>
      </c>
      <c r="U164" t="n">
        <v>3.8338312</v>
      </c>
      <c r="V164" t="n">
        <v>4.65330414</v>
      </c>
      <c r="X164" t="n">
        <v>6.061921143</v>
      </c>
      <c r="Y164" t="n">
        <v>-0.278944552</v>
      </c>
      <c r="AB164" t="n">
        <v>6.092158674</v>
      </c>
      <c r="AC164" t="n">
        <v>5.758943473</v>
      </c>
      <c r="AE164" t="n">
        <v>3.324352557</v>
      </c>
      <c r="AF164" t="n">
        <v>6.742512382</v>
      </c>
      <c r="AG164" t="n">
        <v>11.606978165</v>
      </c>
      <c r="AH164" t="n">
        <v>3.458746093</v>
      </c>
      <c r="AJ164" t="n">
        <v>4.710846071</v>
      </c>
      <c r="AK164" t="n">
        <v>3.892493049</v>
      </c>
      <c r="AL164" t="n">
        <v>0.91317926</v>
      </c>
      <c r="AN164" t="n">
        <v>4.973114049</v>
      </c>
      <c r="AP164" t="n">
        <v>6.29341783</v>
      </c>
      <c r="AT164" t="n">
        <v>4.168421266</v>
      </c>
      <c r="AV164" t="n">
        <v>4.479019138</v>
      </c>
      <c r="AW164" t="n">
        <v>2.700870283</v>
      </c>
    </row>
    <row r="165">
      <c r="A165" t="inlineStr">
        <is>
          <t>1988-Q1</t>
        </is>
      </c>
      <c r="B165" s="87" t="n">
        <v>32234</v>
      </c>
      <c r="D165" t="n">
        <v>5.96078389</v>
      </c>
      <c r="E165" t="n">
        <v>2.786001601</v>
      </c>
      <c r="F165" t="n">
        <v>4.875906512</v>
      </c>
      <c r="H165" t="n">
        <v>5.680408989</v>
      </c>
      <c r="I165" t="n">
        <v>3.079020815</v>
      </c>
      <c r="M165" t="n">
        <v>3.651100816</v>
      </c>
      <c r="N165" t="n">
        <v>3.208773044</v>
      </c>
      <c r="P165" t="n">
        <v>6.051286794</v>
      </c>
      <c r="T165" t="n">
        <v>5.475180843</v>
      </c>
      <c r="U165" t="n">
        <v>4.856536683</v>
      </c>
      <c r="V165" t="n">
        <v>5.382825746</v>
      </c>
      <c r="X165" t="n">
        <v>6.898203007</v>
      </c>
      <c r="Y165" t="n">
        <v>6.586126267</v>
      </c>
      <c r="AB165" t="n">
        <v>5.951979969</v>
      </c>
      <c r="AC165" t="n">
        <v>2.64340468</v>
      </c>
      <c r="AE165" t="n">
        <v>4.417268316</v>
      </c>
      <c r="AF165" t="n">
        <v>9.369128905</v>
      </c>
      <c r="AG165" t="n">
        <v>16.464061799</v>
      </c>
      <c r="AH165" t="n">
        <v>5.347330224</v>
      </c>
      <c r="AJ165" t="n">
        <v>3.385812321</v>
      </c>
      <c r="AK165" t="n">
        <v>3.780580994</v>
      </c>
      <c r="AL165" t="n">
        <v>0.95908583</v>
      </c>
      <c r="AN165" t="n">
        <v>5.507712236</v>
      </c>
      <c r="AP165" t="n">
        <v>9.165939659999999</v>
      </c>
      <c r="AT165" t="n">
        <v>4.191448102</v>
      </c>
      <c r="AV165" t="n">
        <v>4.242189569</v>
      </c>
      <c r="AW165" t="n">
        <v>3.491728867</v>
      </c>
    </row>
    <row r="166">
      <c r="A166" t="inlineStr">
        <is>
          <t>1988-Q2</t>
        </is>
      </c>
      <c r="B166" s="87" t="n">
        <v>32325</v>
      </c>
      <c r="D166" t="n">
        <v>4.39511323</v>
      </c>
      <c r="E166" t="n">
        <v>2.857013191</v>
      </c>
      <c r="F166" t="n">
        <v>4.690128365</v>
      </c>
      <c r="H166" t="n">
        <v>5.256885815</v>
      </c>
      <c r="I166" t="n">
        <v>2.947830267</v>
      </c>
      <c r="M166" t="n">
        <v>3.212995673</v>
      </c>
      <c r="N166" t="n">
        <v>0.233664662</v>
      </c>
      <c r="P166" t="n">
        <v>5.76616394</v>
      </c>
      <c r="T166" t="n">
        <v>4.502921587</v>
      </c>
      <c r="U166" t="n">
        <v>4.274811491</v>
      </c>
      <c r="V166" t="n">
        <v>4.824150462</v>
      </c>
      <c r="X166" t="n">
        <v>5.934028077</v>
      </c>
      <c r="Y166" t="n">
        <v>4.611398964</v>
      </c>
      <c r="AB166" t="n">
        <v>5.50206168</v>
      </c>
      <c r="AC166" t="n">
        <v>0.03901716</v>
      </c>
      <c r="AE166" t="n">
        <v>3.513017407</v>
      </c>
      <c r="AF166" t="n">
        <v>6.967840508</v>
      </c>
      <c r="AG166" t="n">
        <v>8.569882969</v>
      </c>
      <c r="AH166" t="n">
        <v>7.638606256</v>
      </c>
      <c r="AJ166" t="n">
        <v>0.309399098</v>
      </c>
      <c r="AK166" t="n">
        <v>2.88155478</v>
      </c>
      <c r="AL166" t="n">
        <v>-2.726100611</v>
      </c>
      <c r="AM166" t="n">
        <v>0.138250105</v>
      </c>
      <c r="AN166" t="n">
        <v>4.536745675</v>
      </c>
      <c r="AP166" t="n">
        <v>7.934806632</v>
      </c>
      <c r="AT166" t="n">
        <v>2.133731283</v>
      </c>
      <c r="AV166" t="n">
        <v>4.484604217</v>
      </c>
      <c r="AW166" t="n">
        <v>3.856222801</v>
      </c>
    </row>
    <row r="167">
      <c r="A167" t="inlineStr">
        <is>
          <t>1988-Q3</t>
        </is>
      </c>
      <c r="B167" s="87" t="n">
        <v>32417</v>
      </c>
      <c r="D167" t="n">
        <v>3.37350531</v>
      </c>
      <c r="E167" t="n">
        <v>3.310557721</v>
      </c>
      <c r="F167" t="n">
        <v>4.516047035</v>
      </c>
      <c r="H167" t="n">
        <v>3.688273091</v>
      </c>
      <c r="I167" t="n">
        <v>2.823087703</v>
      </c>
      <c r="M167" t="n">
        <v>3.664990184</v>
      </c>
      <c r="N167" t="n">
        <v>-0.29460659</v>
      </c>
      <c r="P167" t="n">
        <v>5.494358322</v>
      </c>
      <c r="T167" t="n">
        <v>5.380983393</v>
      </c>
      <c r="U167" t="n">
        <v>4.902332322</v>
      </c>
      <c r="V167" t="n">
        <v>4.779579159</v>
      </c>
      <c r="X167" t="n">
        <v>4.965304756</v>
      </c>
      <c r="Y167" t="n">
        <v>5.071203485</v>
      </c>
      <c r="AB167" t="n">
        <v>4.94254166</v>
      </c>
      <c r="AC167" t="n">
        <v>-1.399778938</v>
      </c>
      <c r="AE167" t="n">
        <v>4.57130703</v>
      </c>
      <c r="AF167" t="n">
        <v>7.209744309</v>
      </c>
      <c r="AG167" t="n">
        <v>10.903037965</v>
      </c>
      <c r="AH167" t="n">
        <v>9.700733411</v>
      </c>
      <c r="AJ167" t="n">
        <v>0.325793806</v>
      </c>
      <c r="AK167" t="n">
        <v>2.581953022</v>
      </c>
      <c r="AL167" t="n">
        <v>0.722302602</v>
      </c>
      <c r="AM167" t="n">
        <v>-0.174514084</v>
      </c>
      <c r="AN167" t="n">
        <v>4.490263798</v>
      </c>
      <c r="AP167" t="n">
        <v>7.100694309</v>
      </c>
      <c r="AT167" t="n">
        <v>1.152942</v>
      </c>
      <c r="AV167" t="n">
        <v>4.192866323</v>
      </c>
      <c r="AW167" t="n">
        <v>4.870304128</v>
      </c>
    </row>
    <row r="168">
      <c r="A168" t="inlineStr">
        <is>
          <t>1988-Q4</t>
        </is>
      </c>
      <c r="B168" s="87" t="n">
        <v>32509</v>
      </c>
      <c r="D168" t="n">
        <v>2.919693074</v>
      </c>
      <c r="E168" t="n">
        <v>3.692926923</v>
      </c>
      <c r="F168" t="n">
        <v>4.19540329</v>
      </c>
      <c r="H168" t="n">
        <v>3.079757629</v>
      </c>
      <c r="I168" t="n">
        <v>3.809933914</v>
      </c>
      <c r="M168" t="n">
        <v>3.234051974</v>
      </c>
      <c r="N168" t="n">
        <v>1.553110645</v>
      </c>
      <c r="P168" t="n">
        <v>3.14762561</v>
      </c>
      <c r="T168" t="n">
        <v>5.257065304</v>
      </c>
      <c r="U168" t="n">
        <v>4.239334585</v>
      </c>
      <c r="V168" t="n">
        <v>4.196027159</v>
      </c>
      <c r="X168" t="n">
        <v>4.676220701</v>
      </c>
      <c r="Y168" t="n">
        <v>1.037583958</v>
      </c>
      <c r="AB168" t="n">
        <v>4.509967793</v>
      </c>
      <c r="AC168" t="n">
        <v>-1.55846025</v>
      </c>
      <c r="AE168" t="n">
        <v>4.693286119</v>
      </c>
      <c r="AF168" t="n">
        <v>5.620041986</v>
      </c>
      <c r="AG168" t="n">
        <v>12.228313418</v>
      </c>
      <c r="AH168" t="n">
        <v>11.07315199</v>
      </c>
      <c r="AJ168" t="n">
        <v>1.102862183</v>
      </c>
      <c r="AK168" t="n">
        <v>2.700020261</v>
      </c>
      <c r="AL168" t="n">
        <v>-0.930174328</v>
      </c>
      <c r="AM168" t="n">
        <v>-1.501854049</v>
      </c>
      <c r="AN168" t="n">
        <v>3.82301382</v>
      </c>
      <c r="AP168" t="n">
        <v>7.229492154</v>
      </c>
      <c r="AT168" t="n">
        <v>2.973773091</v>
      </c>
      <c r="AV168" t="n">
        <v>3.798971044</v>
      </c>
      <c r="AW168" t="n">
        <v>4.571265805</v>
      </c>
    </row>
    <row r="169">
      <c r="A169" t="inlineStr">
        <is>
          <t>1989-Q1</t>
        </is>
      </c>
      <c r="B169" s="87" t="n">
        <v>32599</v>
      </c>
      <c r="D169" t="n">
        <v>3.52452118</v>
      </c>
      <c r="E169" t="n">
        <v>5.614201024</v>
      </c>
      <c r="F169" t="n">
        <v>3.957928973</v>
      </c>
      <c r="H169" t="n">
        <v>2.757474014</v>
      </c>
      <c r="I169" t="n">
        <v>3.880393357</v>
      </c>
      <c r="M169" t="n">
        <v>5.267745076</v>
      </c>
      <c r="N169" t="n">
        <v>1.704190256</v>
      </c>
      <c r="P169" t="n">
        <v>5.241583813</v>
      </c>
      <c r="T169" t="n">
        <v>5.175200032</v>
      </c>
      <c r="U169" t="n">
        <v>4.287897932</v>
      </c>
      <c r="V169" t="n">
        <v>4.517879411</v>
      </c>
      <c r="X169" t="n">
        <v>3.309746782</v>
      </c>
      <c r="Y169" t="n">
        <v>2.212860663</v>
      </c>
      <c r="AB169" t="n">
        <v>4.443703701</v>
      </c>
      <c r="AC169" t="n">
        <v>-0.89417832</v>
      </c>
      <c r="AE169" t="n">
        <v>3.815778636</v>
      </c>
      <c r="AF169" t="n">
        <v>5.94068347</v>
      </c>
      <c r="AG169" t="n">
        <v>4.246523863</v>
      </c>
      <c r="AH169" t="n">
        <v>11.535655063</v>
      </c>
      <c r="AJ169" t="n">
        <v>3.697688495</v>
      </c>
      <c r="AK169" t="n">
        <v>4.122016592</v>
      </c>
      <c r="AL169" t="n">
        <v>-1.208798235</v>
      </c>
      <c r="AM169" t="n">
        <v>0.142764785</v>
      </c>
      <c r="AN169" t="n">
        <v>4.226030063</v>
      </c>
      <c r="AP169" t="n">
        <v>6.418678551</v>
      </c>
      <c r="AT169" t="n">
        <v>2.652224474</v>
      </c>
      <c r="AV169" t="n">
        <v>4.315239935</v>
      </c>
      <c r="AW169" t="n">
        <v>3.660927358</v>
      </c>
    </row>
    <row r="170">
      <c r="A170" t="inlineStr">
        <is>
          <t>1989-Q2</t>
        </is>
      </c>
      <c r="B170" s="87" t="n">
        <v>32690</v>
      </c>
      <c r="D170" t="n">
        <v>5.631613285</v>
      </c>
      <c r="E170" t="n">
        <v>4.2042384</v>
      </c>
      <c r="F170" t="n">
        <v>3.987843472</v>
      </c>
      <c r="H170" t="n">
        <v>2.244657331</v>
      </c>
      <c r="I170" t="n">
        <v>5.101961529</v>
      </c>
      <c r="M170" t="n">
        <v>3.809604476</v>
      </c>
      <c r="N170" t="n">
        <v>-0.386322936</v>
      </c>
      <c r="P170" t="n">
        <v>4.992999461</v>
      </c>
      <c r="T170" t="n">
        <v>6.170087977</v>
      </c>
      <c r="U170" t="n">
        <v>4.519678078</v>
      </c>
      <c r="V170" t="n">
        <v>3.876980701</v>
      </c>
      <c r="X170" t="n">
        <v>3.390243902</v>
      </c>
      <c r="Y170" t="n">
        <v>4.976060756</v>
      </c>
      <c r="AB170" t="n">
        <v>4.90335579</v>
      </c>
      <c r="AC170" t="n">
        <v>0.040658853</v>
      </c>
      <c r="AE170" t="n">
        <v>3.606494031</v>
      </c>
      <c r="AF170" t="n">
        <v>4.710256463</v>
      </c>
      <c r="AG170" t="n">
        <v>8.104999568</v>
      </c>
      <c r="AH170" t="n">
        <v>11.022618378</v>
      </c>
      <c r="AJ170" t="n">
        <v>4.071222174</v>
      </c>
      <c r="AK170" t="n">
        <v>4.622084615</v>
      </c>
      <c r="AL170" t="n">
        <v>1.51263778</v>
      </c>
      <c r="AM170" t="n">
        <v>1.203083179</v>
      </c>
      <c r="AN170" t="n">
        <v>3.905254315</v>
      </c>
      <c r="AP170" t="n">
        <v>4.438584578</v>
      </c>
      <c r="AT170" t="n">
        <v>3.146058595</v>
      </c>
      <c r="AV170" t="n">
        <v>3.748292875</v>
      </c>
      <c r="AW170" t="n">
        <v>3.376636664</v>
      </c>
    </row>
    <row r="171">
      <c r="A171" t="inlineStr">
        <is>
          <t>1989-Q3</t>
        </is>
      </c>
      <c r="B171" s="87" t="n">
        <v>32782</v>
      </c>
      <c r="D171" t="n">
        <v>5.658269253</v>
      </c>
      <c r="E171" t="n">
        <v>3.351256043</v>
      </c>
      <c r="F171" t="n">
        <v>3.1070159</v>
      </c>
      <c r="H171" t="n">
        <v>2.601145768</v>
      </c>
      <c r="I171" t="n">
        <v>4.66382697</v>
      </c>
      <c r="M171" t="n">
        <v>3.583956124</v>
      </c>
      <c r="N171" t="n">
        <v>0.034985423</v>
      </c>
      <c r="P171" t="n">
        <v>4.515255385</v>
      </c>
      <c r="T171" t="n">
        <v>6.114329857</v>
      </c>
      <c r="U171" t="n">
        <v>4.290590238</v>
      </c>
      <c r="V171" t="n">
        <v>3.69758933</v>
      </c>
      <c r="X171" t="n">
        <v>1.946389374</v>
      </c>
      <c r="Y171" t="n">
        <v>2.772952244</v>
      </c>
      <c r="AB171" t="n">
        <v>6.094030437</v>
      </c>
      <c r="AC171" t="n">
        <v>0.779869726</v>
      </c>
      <c r="AE171" t="n">
        <v>3.328820854</v>
      </c>
      <c r="AF171" t="n">
        <v>4.217315472</v>
      </c>
      <c r="AG171" t="n">
        <v>7.495779648</v>
      </c>
      <c r="AH171" t="n">
        <v>9.493279654</v>
      </c>
      <c r="AJ171" t="n">
        <v>5.88055836</v>
      </c>
      <c r="AK171" t="n">
        <v>4.649153544</v>
      </c>
      <c r="AL171" t="n">
        <v>1.641389753</v>
      </c>
      <c r="AM171" t="n">
        <v>-0.163312095</v>
      </c>
      <c r="AN171" t="n">
        <v>3.826152953</v>
      </c>
      <c r="AP171" t="n">
        <v>5.693081157</v>
      </c>
      <c r="AT171" t="n">
        <v>3.007538776</v>
      </c>
      <c r="AV171" t="n">
        <v>3.908113053</v>
      </c>
      <c r="AW171" t="n">
        <v>2.086710994</v>
      </c>
    </row>
    <row r="172">
      <c r="A172" t="inlineStr">
        <is>
          <t>1989-Q4</t>
        </is>
      </c>
      <c r="B172" s="87" t="n">
        <v>32874</v>
      </c>
      <c r="D172" t="n">
        <v>3.733215214</v>
      </c>
      <c r="E172" t="n">
        <v>3.470861123</v>
      </c>
      <c r="F172" t="n">
        <v>3.432483776</v>
      </c>
      <c r="H172" t="n">
        <v>1.673031426</v>
      </c>
      <c r="I172" t="n">
        <v>4.221057298</v>
      </c>
      <c r="M172" t="n">
        <v>3.564769341</v>
      </c>
      <c r="N172" t="n">
        <v>-0.748571804</v>
      </c>
      <c r="P172" t="n">
        <v>4.576299941</v>
      </c>
      <c r="T172" t="n">
        <v>4.236034738</v>
      </c>
      <c r="U172" t="n">
        <v>4.78020878</v>
      </c>
      <c r="V172" t="n">
        <v>3.480226732</v>
      </c>
      <c r="X172" t="n">
        <v>1.173318757</v>
      </c>
      <c r="Y172" t="n">
        <v>5.265021649</v>
      </c>
      <c r="AB172" t="n">
        <v>7.75672743</v>
      </c>
      <c r="AC172" t="n">
        <v>1.120847997</v>
      </c>
      <c r="AE172" t="n">
        <v>3.160587389</v>
      </c>
      <c r="AF172" t="n">
        <v>6.325744829</v>
      </c>
      <c r="AG172" t="n">
        <v>8.406865101999999</v>
      </c>
      <c r="AH172" t="n">
        <v>7.338609004</v>
      </c>
      <c r="AJ172" t="n">
        <v>2.896988348</v>
      </c>
      <c r="AK172" t="n">
        <v>4.519489558</v>
      </c>
      <c r="AL172" t="n">
        <v>2.206599624</v>
      </c>
      <c r="AM172" t="n">
        <v>0.523057553</v>
      </c>
      <c r="AN172" t="n">
        <v>3.620531329</v>
      </c>
      <c r="AP172" t="n">
        <v>5.185499043</v>
      </c>
      <c r="AT172" t="n">
        <v>2.190930368</v>
      </c>
      <c r="AV172" t="n">
        <v>2.743803255</v>
      </c>
      <c r="AW172" t="n">
        <v>0.511185229</v>
      </c>
    </row>
    <row r="173">
      <c r="A173" t="inlineStr">
        <is>
          <t>1990-Q1</t>
        </is>
      </c>
      <c r="B173" s="87" t="n">
        <v>32964</v>
      </c>
      <c r="D173" t="n">
        <v>3.506515902</v>
      </c>
      <c r="E173" t="n">
        <v>3.890823222</v>
      </c>
      <c r="F173" t="n">
        <v>4.256837806</v>
      </c>
      <c r="H173" t="n">
        <v>1.474029508</v>
      </c>
      <c r="I173" t="n">
        <v>5.676536291</v>
      </c>
      <c r="M173" t="n">
        <v>4.621030767</v>
      </c>
      <c r="N173" t="n">
        <v>-2.403286338</v>
      </c>
      <c r="P173" t="n">
        <v>3.062070109</v>
      </c>
      <c r="T173" t="n">
        <v>4.400316586</v>
      </c>
      <c r="U173" t="n">
        <v>3.985924721</v>
      </c>
      <c r="V173" t="n">
        <v>2.985100016</v>
      </c>
      <c r="X173" t="n">
        <v>1.415431751</v>
      </c>
      <c r="Y173" t="n">
        <v>2.671975364</v>
      </c>
      <c r="AB173" t="n">
        <v>9.160839038000001</v>
      </c>
      <c r="AC173" t="n">
        <v>1.184591164</v>
      </c>
      <c r="AE173" t="n">
        <v>2.93238281</v>
      </c>
      <c r="AF173" t="n">
        <v>3.039829423</v>
      </c>
      <c r="AG173" t="n">
        <v>9.463670592</v>
      </c>
      <c r="AH173" t="n">
        <v>5.393606418</v>
      </c>
      <c r="AJ173" t="n">
        <v>3.200574501</v>
      </c>
      <c r="AK173" t="n">
        <v>4.247379879</v>
      </c>
      <c r="AL173" t="n">
        <v>2.504753318</v>
      </c>
      <c r="AM173" t="n">
        <v>-0.91332599</v>
      </c>
      <c r="AN173" t="n">
        <v>3.338109483</v>
      </c>
      <c r="AP173" t="n">
        <v>2.399309825</v>
      </c>
      <c r="AT173" t="n">
        <v>2.239539715</v>
      </c>
      <c r="AV173" t="n">
        <v>2.821303844</v>
      </c>
      <c r="AW173" t="n">
        <v>-0.027499772</v>
      </c>
    </row>
    <row r="174">
      <c r="A174" t="inlineStr">
        <is>
          <t>1990-Q2</t>
        </is>
      </c>
      <c r="B174" s="87" t="n">
        <v>33055</v>
      </c>
      <c r="D174" t="n">
        <v>1.496779174</v>
      </c>
      <c r="E174" t="n">
        <v>4.513795486</v>
      </c>
      <c r="F174" t="n">
        <v>2.899065031</v>
      </c>
      <c r="H174" t="n">
        <v>0.669072134</v>
      </c>
      <c r="I174" t="n">
        <v>4.403691123</v>
      </c>
      <c r="M174" t="n">
        <v>4.713886981</v>
      </c>
      <c r="N174" t="n">
        <v>1.829561868</v>
      </c>
      <c r="P174" t="n">
        <v>3.792339413</v>
      </c>
      <c r="T174" t="n">
        <v>1.185019647</v>
      </c>
      <c r="U174" t="n">
        <v>3.540507155</v>
      </c>
      <c r="V174" t="n">
        <v>3.548538589</v>
      </c>
      <c r="X174" t="n">
        <v>1.278917984</v>
      </c>
      <c r="Y174" t="n">
        <v>0.93262456</v>
      </c>
      <c r="AB174" t="n">
        <v>9.674086712999999</v>
      </c>
      <c r="AC174" t="n">
        <v>1.148239867</v>
      </c>
      <c r="AE174" t="n">
        <v>2.801593689</v>
      </c>
      <c r="AF174" t="n">
        <v>7.69589421</v>
      </c>
      <c r="AG174" t="n">
        <v>10.294445662</v>
      </c>
      <c r="AH174" t="n">
        <v>4.365387289</v>
      </c>
      <c r="AJ174" t="n">
        <v>5.399554526</v>
      </c>
      <c r="AK174" t="n">
        <v>3.826369066</v>
      </c>
      <c r="AL174" t="n">
        <v>2.404315903</v>
      </c>
      <c r="AM174" t="n">
        <v>-1.499588501</v>
      </c>
      <c r="AN174" t="n">
        <v>3.883960188</v>
      </c>
      <c r="AP174" t="n">
        <v>5.810788625</v>
      </c>
      <c r="AT174" t="n">
        <v>1.243784388</v>
      </c>
      <c r="AV174" t="n">
        <v>2.412772955</v>
      </c>
      <c r="AW174" t="n">
        <v>-0.541507137</v>
      </c>
    </row>
    <row r="175">
      <c r="A175" t="inlineStr">
        <is>
          <t>1990-Q3</t>
        </is>
      </c>
      <c r="B175" s="87" t="n">
        <v>33147</v>
      </c>
      <c r="D175" t="n">
        <v>0.07416587299999999</v>
      </c>
      <c r="E175" t="n">
        <v>4.510960189</v>
      </c>
      <c r="F175" t="n">
        <v>2.654473433</v>
      </c>
      <c r="H175" t="n">
        <v>-0.399573277</v>
      </c>
      <c r="I175" t="n">
        <v>3.283475224</v>
      </c>
      <c r="M175" t="n">
        <v>5.951496332</v>
      </c>
      <c r="N175" t="n">
        <v>3.664113923</v>
      </c>
      <c r="P175" t="n">
        <v>2.114543688</v>
      </c>
      <c r="T175" t="n">
        <v>-2.136296465</v>
      </c>
      <c r="U175" t="n">
        <v>2.906121227</v>
      </c>
      <c r="V175" t="n">
        <v>3.126968373</v>
      </c>
      <c r="X175" t="n">
        <v>0.137989998</v>
      </c>
      <c r="Y175" t="n">
        <v>-4.669111784</v>
      </c>
      <c r="AB175" t="n">
        <v>8.700467367</v>
      </c>
      <c r="AC175" t="n">
        <v>1.153988033</v>
      </c>
      <c r="AE175" t="n">
        <v>1.904143966</v>
      </c>
      <c r="AF175" t="n">
        <v>7.618695204</v>
      </c>
      <c r="AG175" t="n">
        <v>11.01337652</v>
      </c>
      <c r="AH175" t="n">
        <v>4.848888376</v>
      </c>
      <c r="AJ175" t="n">
        <v>4.88221389</v>
      </c>
      <c r="AK175" t="n">
        <v>4.325178435</v>
      </c>
      <c r="AL175" t="n">
        <v>0.420267189</v>
      </c>
      <c r="AM175" t="n">
        <v>0.530727977</v>
      </c>
      <c r="AN175" t="n">
        <v>3.251305665</v>
      </c>
      <c r="AP175" t="n">
        <v>4.488480181</v>
      </c>
      <c r="AT175" t="n">
        <v>0.410089558</v>
      </c>
      <c r="AV175" t="n">
        <v>1.727216637</v>
      </c>
      <c r="AW175" t="n">
        <v>-0.704873214</v>
      </c>
    </row>
    <row r="176">
      <c r="A176" t="inlineStr">
        <is>
          <t>1990-Q4</t>
        </is>
      </c>
      <c r="B176" s="87" t="n">
        <v>33239</v>
      </c>
      <c r="D176" t="n">
        <v>0.939897422</v>
      </c>
      <c r="E176" t="n">
        <v>3.874771862</v>
      </c>
      <c r="F176" t="n">
        <v>2.568047594</v>
      </c>
      <c r="H176" t="n">
        <v>-1.076052921</v>
      </c>
      <c r="I176" t="n">
        <v>1.497665694</v>
      </c>
      <c r="M176" t="n">
        <v>6.581615193</v>
      </c>
      <c r="N176" t="n">
        <v>0.87859742</v>
      </c>
      <c r="P176" t="n">
        <v>6.15241108</v>
      </c>
      <c r="T176" t="n">
        <v>-2.743375299</v>
      </c>
      <c r="U176" t="n">
        <v>1.726425085</v>
      </c>
      <c r="V176" t="n">
        <v>1.826762678</v>
      </c>
      <c r="X176" t="n">
        <v>-0.290870255</v>
      </c>
      <c r="Y176" t="n">
        <v>0.944983027</v>
      </c>
      <c r="AB176" t="n">
        <v>6.434302819</v>
      </c>
      <c r="AC176" t="n">
        <v>1.190631334</v>
      </c>
      <c r="AE176" t="n">
        <v>0.210880579</v>
      </c>
      <c r="AF176" t="n">
        <v>4.186287584</v>
      </c>
      <c r="AG176" t="n">
        <v>8.778275358</v>
      </c>
      <c r="AH176" t="n">
        <v>6.648692965</v>
      </c>
      <c r="AJ176" t="n">
        <v>7.160126077</v>
      </c>
      <c r="AK176" t="n">
        <v>4.312199772</v>
      </c>
      <c r="AL176" t="n">
        <v>2.392361104</v>
      </c>
      <c r="AM176" t="n">
        <v>1.90255647</v>
      </c>
      <c r="AN176" t="n">
        <v>2.515229551</v>
      </c>
      <c r="AP176" t="n">
        <v>6.38106635</v>
      </c>
      <c r="AT176" t="n">
        <v>0.240339254</v>
      </c>
      <c r="AV176" t="n">
        <v>0.602858696</v>
      </c>
      <c r="AW176" t="n">
        <v>0.006157802</v>
      </c>
    </row>
    <row r="177">
      <c r="A177" t="inlineStr">
        <is>
          <t>1991-Q1</t>
        </is>
      </c>
      <c r="B177" s="87" t="n">
        <v>33329</v>
      </c>
      <c r="D177" t="n">
        <v>-1.148599118</v>
      </c>
      <c r="E177" t="n">
        <v>3.321035369</v>
      </c>
      <c r="F177" t="n">
        <v>0.553540879</v>
      </c>
      <c r="H177" t="n">
        <v>-3.398486032</v>
      </c>
      <c r="I177" t="n">
        <v>-0.071667696</v>
      </c>
      <c r="M177" t="n">
        <v>7.373944486</v>
      </c>
      <c r="N177" t="n">
        <v>1.742207173</v>
      </c>
      <c r="P177" t="n">
        <v>3.208298155</v>
      </c>
      <c r="T177" t="n">
        <v>-5.913918701</v>
      </c>
      <c r="U177" t="n">
        <v>1.071671057</v>
      </c>
      <c r="V177" t="n">
        <v>1.390302902</v>
      </c>
      <c r="X177" t="n">
        <v>-1.244936302</v>
      </c>
      <c r="Y177" t="n">
        <v>0.427175642</v>
      </c>
      <c r="AB177" t="n">
        <v>3.83849981</v>
      </c>
      <c r="AC177" t="n">
        <v>1.07672549</v>
      </c>
      <c r="AE177" t="n">
        <v>1.782873688</v>
      </c>
      <c r="AF177" t="n">
        <v>5.596470651</v>
      </c>
      <c r="AG177" t="n">
        <v>11.71973054</v>
      </c>
      <c r="AH177" t="n">
        <v>8.68001327</v>
      </c>
      <c r="AJ177" t="n">
        <v>5.16884013</v>
      </c>
      <c r="AK177" t="n">
        <v>2.602306005</v>
      </c>
      <c r="AL177" t="n">
        <v>3.638326962</v>
      </c>
      <c r="AM177" t="n">
        <v>-0.395219368</v>
      </c>
      <c r="AN177" t="n">
        <v>1.669678823</v>
      </c>
      <c r="AP177" t="n">
        <v>2.855283649</v>
      </c>
      <c r="AT177" t="n">
        <v>-0.283530703</v>
      </c>
      <c r="AV177" t="n">
        <v>-0.950240697</v>
      </c>
      <c r="AW177" t="n">
        <v>-0.868669823</v>
      </c>
    </row>
    <row r="178">
      <c r="A178" t="inlineStr">
        <is>
          <t>1991-Q2</t>
        </is>
      </c>
      <c r="B178" s="87" t="n">
        <v>33420</v>
      </c>
      <c r="D178" t="n">
        <v>-1.435247472</v>
      </c>
      <c r="E178" t="n">
        <v>3.151373887</v>
      </c>
      <c r="F178" t="n">
        <v>2.088652658</v>
      </c>
      <c r="H178" t="n">
        <v>-2.544495175</v>
      </c>
      <c r="I178" t="n">
        <v>-1.600670157</v>
      </c>
      <c r="M178" t="n">
        <v>6.283056349</v>
      </c>
      <c r="N178" t="n">
        <v>0.57802192</v>
      </c>
      <c r="P178" t="n">
        <v>2.720812785</v>
      </c>
      <c r="T178" t="n">
        <v>-5.742719405</v>
      </c>
      <c r="U178" t="n">
        <v>0.967128454</v>
      </c>
      <c r="V178" t="n">
        <v>1.012490722</v>
      </c>
      <c r="X178" t="n">
        <v>-1.873654854</v>
      </c>
      <c r="Y178" t="n">
        <v>1.528585007</v>
      </c>
      <c r="AB178" t="n">
        <v>1.766355814</v>
      </c>
      <c r="AC178" t="n">
        <v>0.646355751</v>
      </c>
      <c r="AE178" t="n">
        <v>0.9182929990000001</v>
      </c>
      <c r="AF178" t="n">
        <v>3.582323611</v>
      </c>
      <c r="AG178" t="n">
        <v>11.097758274</v>
      </c>
      <c r="AH178" t="n">
        <v>9.863636637000001</v>
      </c>
      <c r="AJ178" t="n">
        <v>4.510489789</v>
      </c>
      <c r="AK178" t="n">
        <v>2.943268628</v>
      </c>
      <c r="AL178" t="n">
        <v>3.066806808</v>
      </c>
      <c r="AM178" t="n">
        <v>-1.057196822</v>
      </c>
      <c r="AN178" t="n">
        <v>1.326380977</v>
      </c>
      <c r="AP178" t="n">
        <v>2.948468552</v>
      </c>
      <c r="AT178" t="n">
        <v>-1.125792977</v>
      </c>
      <c r="AV178" t="n">
        <v>-0.5388879600000001</v>
      </c>
      <c r="AW178" t="n">
        <v>-1.010671037</v>
      </c>
    </row>
    <row r="179">
      <c r="A179" t="inlineStr">
        <is>
          <t>1991-Q3</t>
        </is>
      </c>
      <c r="B179" s="87" t="n">
        <v>33512</v>
      </c>
      <c r="D179" t="n">
        <v>-0.437971561</v>
      </c>
      <c r="E179" t="n">
        <v>3.440628295</v>
      </c>
      <c r="F179" t="n">
        <v>2.641103381</v>
      </c>
      <c r="H179" t="n">
        <v>-1.718605731</v>
      </c>
      <c r="I179" t="n">
        <v>-1.239576309</v>
      </c>
      <c r="M179" t="n">
        <v>3.863719276</v>
      </c>
      <c r="N179" t="n">
        <v>1.031692503</v>
      </c>
      <c r="P179" t="n">
        <v>3.806465043</v>
      </c>
      <c r="T179" t="n">
        <v>-5.661029645</v>
      </c>
      <c r="U179" t="n">
        <v>0.802216801</v>
      </c>
      <c r="V179" t="n">
        <v>0.665990831</v>
      </c>
      <c r="X179" t="n">
        <v>-1.062534136</v>
      </c>
      <c r="Y179" t="n">
        <v>11.008330267</v>
      </c>
      <c r="AB179" t="n">
        <v>0.89215626</v>
      </c>
      <c r="AC179" t="n">
        <v>-0.275966429</v>
      </c>
      <c r="AE179" t="n">
        <v>0.792826258</v>
      </c>
      <c r="AF179" t="n">
        <v>1.648629178</v>
      </c>
      <c r="AG179" t="n">
        <v>9.927266329</v>
      </c>
      <c r="AH179" t="n">
        <v>9.229549875</v>
      </c>
      <c r="AJ179" t="n">
        <v>3.295725258</v>
      </c>
      <c r="AK179" t="n">
        <v>1.974937366</v>
      </c>
      <c r="AL179" t="n">
        <v>3.836181394</v>
      </c>
      <c r="AM179" t="n">
        <v>-1.640466313</v>
      </c>
      <c r="AN179" t="n">
        <v>1.244003312</v>
      </c>
      <c r="AP179" t="n">
        <v>3.331830515</v>
      </c>
      <c r="AT179" t="n">
        <v>-0.8198265219999999</v>
      </c>
      <c r="AV179" t="n">
        <v>-0.10271685</v>
      </c>
      <c r="AW179" t="n">
        <v>-0.965834202</v>
      </c>
    </row>
    <row r="180">
      <c r="A180" t="inlineStr">
        <is>
          <t>1991-Q4</t>
        </is>
      </c>
      <c r="B180" s="87" t="n">
        <v>33604</v>
      </c>
      <c r="D180" t="n">
        <v>-0.964417784</v>
      </c>
      <c r="E180" t="n">
        <v>3.366739091</v>
      </c>
      <c r="F180" t="n">
        <v>1.923674275</v>
      </c>
      <c r="H180" t="n">
        <v>-0.651858245</v>
      </c>
      <c r="I180" t="n">
        <v>-0.458837628</v>
      </c>
      <c r="M180" t="n">
        <v>3.392824657</v>
      </c>
      <c r="N180" t="n">
        <v>1.122398727</v>
      </c>
      <c r="P180" t="n">
        <v>0.521509895</v>
      </c>
      <c r="T180" t="n">
        <v>-6.2297172</v>
      </c>
      <c r="U180" t="n">
        <v>0.935900979</v>
      </c>
      <c r="V180" t="n">
        <v>1.570739691</v>
      </c>
      <c r="X180" t="n">
        <v>-0.5544546970000001</v>
      </c>
      <c r="Y180" t="n">
        <v>0.145419292</v>
      </c>
      <c r="AB180" t="n">
        <v>1.28419913</v>
      </c>
      <c r="AC180" t="n">
        <v>-1.570614396</v>
      </c>
      <c r="AE180" t="n">
        <v>2.642527461</v>
      </c>
      <c r="AF180" t="n">
        <v>2.557379748</v>
      </c>
      <c r="AG180" t="n">
        <v>10.433958193</v>
      </c>
      <c r="AH180" t="n">
        <v>6.874367974</v>
      </c>
      <c r="AJ180" t="n">
        <v>3.841641702</v>
      </c>
      <c r="AK180" t="n">
        <v>2.29525432</v>
      </c>
      <c r="AL180" t="n">
        <v>1.869764722</v>
      </c>
      <c r="AM180" t="n">
        <v>-2.149363094</v>
      </c>
      <c r="AN180" t="n">
        <v>1.633635499</v>
      </c>
      <c r="AP180" t="n">
        <v>0.679243402</v>
      </c>
      <c r="AT180" t="n">
        <v>-2.085742868</v>
      </c>
      <c r="AV180" t="n">
        <v>1.166503342</v>
      </c>
      <c r="AW180" t="n">
        <v>-1.22791262</v>
      </c>
    </row>
    <row r="181">
      <c r="A181" t="inlineStr">
        <is>
          <t>1992-Q1</t>
        </is>
      </c>
      <c r="B181" s="87" t="n">
        <v>33695</v>
      </c>
      <c r="D181" t="n">
        <v>1.097419451</v>
      </c>
      <c r="E181" t="n">
        <v>3.049531852</v>
      </c>
      <c r="F181" t="n">
        <v>3.800507931</v>
      </c>
      <c r="H181" t="n">
        <v>0.859900078</v>
      </c>
      <c r="I181" t="n">
        <v>0.146530212</v>
      </c>
      <c r="M181" t="n">
        <v>2.073140882</v>
      </c>
      <c r="N181" t="n">
        <v>2.277306393</v>
      </c>
      <c r="P181" t="n">
        <v>3.513692493</v>
      </c>
      <c r="T181" t="n">
        <v>-4.057448506</v>
      </c>
      <c r="U181" t="n">
        <v>2.072249272</v>
      </c>
      <c r="V181" t="n">
        <v>2.025375649</v>
      </c>
      <c r="X181" t="n">
        <v>-0.252189275</v>
      </c>
      <c r="Y181" t="n">
        <v>1.932214127</v>
      </c>
      <c r="AB181" t="n">
        <v>2.351543337</v>
      </c>
      <c r="AC181" t="n">
        <v>-2.806978294</v>
      </c>
      <c r="AE181" t="n">
        <v>0.9267350009999999</v>
      </c>
      <c r="AF181" t="n">
        <v>1.703118948</v>
      </c>
      <c r="AG181" t="n">
        <v>8.337277341</v>
      </c>
      <c r="AH181" t="n">
        <v>3.977650213</v>
      </c>
      <c r="AJ181" t="n">
        <v>3.547179937</v>
      </c>
      <c r="AK181" t="n">
        <v>3.439488803</v>
      </c>
      <c r="AL181" t="n">
        <v>3.16063221</v>
      </c>
      <c r="AM181" t="n">
        <v>0.578880778</v>
      </c>
      <c r="AN181" t="n">
        <v>2.399102069</v>
      </c>
      <c r="AP181" t="n">
        <v>4.905103333</v>
      </c>
      <c r="AT181" t="n">
        <v>-0.878677114</v>
      </c>
      <c r="AV181" t="n">
        <v>2.858869105</v>
      </c>
      <c r="AW181" t="n">
        <v>-1.133650656</v>
      </c>
    </row>
    <row r="182">
      <c r="A182" t="inlineStr">
        <is>
          <t>1992-Q2</t>
        </is>
      </c>
      <c r="B182" s="87" t="n">
        <v>33786</v>
      </c>
      <c r="D182" t="n">
        <v>1.989118691</v>
      </c>
      <c r="E182" t="n">
        <v>2.607366721</v>
      </c>
      <c r="F182" t="n">
        <v>1.355214289</v>
      </c>
      <c r="H182" t="n">
        <v>0.51440589</v>
      </c>
      <c r="I182" t="n">
        <v>0.709395171</v>
      </c>
      <c r="M182" t="n">
        <v>1.824938453</v>
      </c>
      <c r="N182" t="n">
        <v>0.378308002</v>
      </c>
      <c r="P182" t="n">
        <v>0.933266626</v>
      </c>
      <c r="T182" t="n">
        <v>-3.986959383</v>
      </c>
      <c r="U182" t="n">
        <v>1.715046647</v>
      </c>
      <c r="V182" t="n">
        <v>1.972998443</v>
      </c>
      <c r="X182" t="n">
        <v>-0.241171295</v>
      </c>
      <c r="Y182" t="n">
        <v>0.534086375</v>
      </c>
      <c r="AB182" t="n">
        <v>3.42391621</v>
      </c>
      <c r="AC182" t="n">
        <v>-3.588762779</v>
      </c>
      <c r="AE182" t="n">
        <v>1.423993004</v>
      </c>
      <c r="AF182" t="n">
        <v>0.862591393</v>
      </c>
      <c r="AG182" t="n">
        <v>7.314468251</v>
      </c>
      <c r="AH182" t="n">
        <v>1.618965795</v>
      </c>
      <c r="AJ182" t="n">
        <v>3.658957609</v>
      </c>
      <c r="AK182" t="n">
        <v>1.301651842</v>
      </c>
      <c r="AL182" t="n">
        <v>3.159238757</v>
      </c>
      <c r="AM182" t="n">
        <v>1.274295828</v>
      </c>
      <c r="AN182" t="n">
        <v>2.111710671</v>
      </c>
      <c r="AP182" t="n">
        <v>1.939972161</v>
      </c>
      <c r="AT182" t="n">
        <v>-0.243414417</v>
      </c>
      <c r="AV182" t="n">
        <v>3.169755821</v>
      </c>
      <c r="AW182" t="n">
        <v>-1.517845426</v>
      </c>
    </row>
    <row r="183">
      <c r="A183" t="inlineStr">
        <is>
          <t>1992-Q3</t>
        </is>
      </c>
      <c r="B183" s="87" t="n">
        <v>33878</v>
      </c>
      <c r="D183" t="n">
        <v>2.551025309</v>
      </c>
      <c r="E183" t="n">
        <v>1.562125635</v>
      </c>
      <c r="F183" t="n">
        <v>0.986951056</v>
      </c>
      <c r="H183" t="n">
        <v>0.919014476</v>
      </c>
      <c r="I183" t="n">
        <v>-0.316181453</v>
      </c>
      <c r="M183" t="n">
        <v>1.869969805</v>
      </c>
      <c r="N183" t="n">
        <v>2.343031519</v>
      </c>
      <c r="P183" t="n">
        <v>0.240639413</v>
      </c>
      <c r="T183" t="n">
        <v>-2.769803946</v>
      </c>
      <c r="U183" t="n">
        <v>1.437520871</v>
      </c>
      <c r="V183" t="n">
        <v>2.298730364</v>
      </c>
      <c r="X183" t="n">
        <v>0.614861371</v>
      </c>
      <c r="Y183" t="n">
        <v>0.236577611</v>
      </c>
      <c r="AB183" t="n">
        <v>3.913096149</v>
      </c>
      <c r="AC183" t="n">
        <v>-3.518446069</v>
      </c>
      <c r="AE183" t="n">
        <v>1.162538664</v>
      </c>
      <c r="AF183" t="n">
        <v>1.205318749</v>
      </c>
      <c r="AG183" t="n">
        <v>5.131652405</v>
      </c>
      <c r="AH183" t="n">
        <v>0.628249131</v>
      </c>
      <c r="AJ183" t="n">
        <v>4.42733631</v>
      </c>
      <c r="AK183" t="n">
        <v>1.196066069</v>
      </c>
      <c r="AL183" t="n">
        <v>4.766593208</v>
      </c>
      <c r="AM183" t="n">
        <v>0.176631278</v>
      </c>
      <c r="AN183" t="n">
        <v>2.332071583</v>
      </c>
      <c r="AP183" t="n">
        <v>0.508253299</v>
      </c>
      <c r="AT183" t="n">
        <v>-1.207304618</v>
      </c>
      <c r="AV183" t="n">
        <v>3.665322879</v>
      </c>
      <c r="AW183" t="n">
        <v>-2.620239574</v>
      </c>
    </row>
    <row r="184">
      <c r="A184" t="inlineStr">
        <is>
          <t>1992-Q4</t>
        </is>
      </c>
      <c r="B184" s="87" t="n">
        <v>33970</v>
      </c>
      <c r="D184" t="n">
        <v>4.609876318</v>
      </c>
      <c r="E184" t="n">
        <v>0.639191222</v>
      </c>
      <c r="F184" t="n">
        <v>-0.759848347</v>
      </c>
      <c r="H184" t="n">
        <v>1.306211706</v>
      </c>
      <c r="I184" t="n">
        <v>-1.429198957</v>
      </c>
      <c r="M184" t="n">
        <v>0.239622352</v>
      </c>
      <c r="N184" t="n">
        <v>2.906035829</v>
      </c>
      <c r="P184" t="n">
        <v>-0.905532012</v>
      </c>
      <c r="T184" t="n">
        <v>-2.311352821</v>
      </c>
      <c r="U184" t="n">
        <v>0.715620572</v>
      </c>
      <c r="V184" t="n">
        <v>2.018220918</v>
      </c>
      <c r="X184" t="n">
        <v>1.133782538</v>
      </c>
      <c r="Y184" t="n">
        <v>0.081679574</v>
      </c>
      <c r="AB184" t="n">
        <v>3.677969485</v>
      </c>
      <c r="AC184" t="n">
        <v>-2.523949926</v>
      </c>
      <c r="AE184" t="n">
        <v>-0.700210353</v>
      </c>
      <c r="AF184" t="n">
        <v>-0.141208408</v>
      </c>
      <c r="AG184" t="n">
        <v>4.164583234</v>
      </c>
      <c r="AH184" t="n">
        <v>1.12939752</v>
      </c>
      <c r="AJ184" t="n">
        <v>2.660116445</v>
      </c>
      <c r="AK184" t="n">
        <v>0.462805529</v>
      </c>
      <c r="AL184" t="n">
        <v>3.259549478</v>
      </c>
      <c r="AM184" t="n">
        <v>0.7891672870000001</v>
      </c>
      <c r="AN184" t="n">
        <v>1.95015922</v>
      </c>
      <c r="AP184" t="n">
        <v>0.324157029</v>
      </c>
      <c r="AT184" t="n">
        <v>-2.411837217</v>
      </c>
      <c r="AV184" t="n">
        <v>4.382587644</v>
      </c>
      <c r="AW184" t="n">
        <v>-3.281270479</v>
      </c>
    </row>
    <row r="185">
      <c r="A185" t="inlineStr">
        <is>
          <t>1993-Q1</t>
        </is>
      </c>
      <c r="B185" s="87" t="n">
        <v>34060</v>
      </c>
      <c r="D185" t="n">
        <v>4.553508488</v>
      </c>
      <c r="E185" t="n">
        <v>0.014420691</v>
      </c>
      <c r="F185" t="n">
        <v>-2.875422564</v>
      </c>
      <c r="H185" t="n">
        <v>1.880252874</v>
      </c>
      <c r="I185" t="n">
        <v>-2.319582023</v>
      </c>
      <c r="K185" t="n">
        <v>15.3</v>
      </c>
      <c r="M185" t="n">
        <v>-1.97452814</v>
      </c>
      <c r="N185" t="n">
        <v>0.225781391</v>
      </c>
      <c r="P185" t="n">
        <v>-2.799834418</v>
      </c>
      <c r="T185" t="n">
        <v>-2.396353108</v>
      </c>
      <c r="U185" t="n">
        <v>-0.814756705</v>
      </c>
      <c r="V185" t="n">
        <v>1.438733686</v>
      </c>
      <c r="X185" t="n">
        <v>1.843925343</v>
      </c>
      <c r="Y185" t="n">
        <v>-4.687916186</v>
      </c>
      <c r="AB185" t="n">
        <v>3.084815891</v>
      </c>
      <c r="AC185" t="n">
        <v>-0.907474984</v>
      </c>
      <c r="AE185" t="n">
        <v>-1.104673742</v>
      </c>
      <c r="AF185" t="n">
        <v>0.952661935</v>
      </c>
      <c r="AG185" t="n">
        <v>4.379773892</v>
      </c>
      <c r="AH185" t="n">
        <v>2.498563073</v>
      </c>
      <c r="AJ185" t="n">
        <v>2.636044594</v>
      </c>
      <c r="AK185" t="n">
        <v>0.371243051</v>
      </c>
      <c r="AL185" t="n">
        <v>0.444114114</v>
      </c>
      <c r="AM185" t="n">
        <v>2.143926896</v>
      </c>
      <c r="AN185" t="n">
        <v>1.288073117</v>
      </c>
      <c r="AP185" t="n">
        <v>-2.719594084</v>
      </c>
      <c r="AT185" t="n">
        <v>-5.067160935</v>
      </c>
      <c r="AV185" t="n">
        <v>3.319981753</v>
      </c>
      <c r="AW185" t="n">
        <v>-1.346412639</v>
      </c>
    </row>
    <row r="186">
      <c r="A186" t="inlineStr">
        <is>
          <t>1993-Q2</t>
        </is>
      </c>
      <c r="B186" s="87" t="n">
        <v>34151</v>
      </c>
      <c r="D186" t="n">
        <v>4.415659346</v>
      </c>
      <c r="E186" t="n">
        <v>0.105376507</v>
      </c>
      <c r="F186" t="n">
        <v>-0.686829453</v>
      </c>
      <c r="H186" t="n">
        <v>2.682414014</v>
      </c>
      <c r="I186" t="n">
        <v>-0.84439634</v>
      </c>
      <c r="K186" t="n">
        <v>13.5</v>
      </c>
      <c r="M186" t="n">
        <v>-1.239498099</v>
      </c>
      <c r="N186" t="n">
        <v>0.614269083</v>
      </c>
      <c r="P186" t="n">
        <v>-1.522315216</v>
      </c>
      <c r="T186" t="n">
        <v>-1.476589514</v>
      </c>
      <c r="U186" t="n">
        <v>-0.710434189</v>
      </c>
      <c r="V186" t="n">
        <v>1.202249681</v>
      </c>
      <c r="X186" t="n">
        <v>2.468622698</v>
      </c>
      <c r="Y186" t="n">
        <v>0.007632889</v>
      </c>
      <c r="AB186" t="n">
        <v>2.534236627</v>
      </c>
      <c r="AC186" t="n">
        <v>0.949243311</v>
      </c>
      <c r="AE186" t="n">
        <v>-1.286754415</v>
      </c>
      <c r="AF186" t="n">
        <v>-0.036541775</v>
      </c>
      <c r="AG186" t="n">
        <v>6.311478978</v>
      </c>
      <c r="AH186" t="n">
        <v>4.002173962</v>
      </c>
      <c r="AJ186" t="n">
        <v>1.247529139</v>
      </c>
      <c r="AK186" t="n">
        <v>1.55532364</v>
      </c>
      <c r="AL186" t="n">
        <v>1.657851397</v>
      </c>
      <c r="AM186" t="n">
        <v>4.395256655</v>
      </c>
      <c r="AN186" t="n">
        <v>1.418333395</v>
      </c>
      <c r="AP186" t="n">
        <v>-1.76772333</v>
      </c>
      <c r="AT186" t="n">
        <v>-3.33053136</v>
      </c>
      <c r="AV186" t="n">
        <v>2.80666739</v>
      </c>
      <c r="AW186" t="n">
        <v>-0.059836002</v>
      </c>
    </row>
    <row r="187">
      <c r="A187" t="inlineStr">
        <is>
          <t>1993-Q3</t>
        </is>
      </c>
      <c r="B187" s="87" t="n">
        <v>34243</v>
      </c>
      <c r="D187" t="n">
        <v>3.520618895</v>
      </c>
      <c r="E187" t="n">
        <v>1.04606145</v>
      </c>
      <c r="F187" t="n">
        <v>-0.679397167</v>
      </c>
      <c r="H187" t="n">
        <v>3.107354566</v>
      </c>
      <c r="I187" t="n">
        <v>0.531189647</v>
      </c>
      <c r="K187" t="n">
        <v>12.9</v>
      </c>
      <c r="M187" t="n">
        <v>-0.476525174</v>
      </c>
      <c r="N187" t="n">
        <v>-1.880594983</v>
      </c>
      <c r="P187" t="n">
        <v>-0.40105551</v>
      </c>
      <c r="T187" t="n">
        <v>-0.09736486699999999</v>
      </c>
      <c r="U187" t="n">
        <v>-0.607838696</v>
      </c>
      <c r="V187" t="n">
        <v>0.96064709</v>
      </c>
      <c r="X187" t="n">
        <v>2.642756463</v>
      </c>
      <c r="Y187" t="n">
        <v>-1.181599519</v>
      </c>
      <c r="AB187" t="n">
        <v>2.38251617</v>
      </c>
      <c r="AC187" t="n">
        <v>2.704534213</v>
      </c>
      <c r="AE187" t="n">
        <v>-1.223094252</v>
      </c>
      <c r="AF187" t="n">
        <v>-0.870782185</v>
      </c>
      <c r="AG187" t="n">
        <v>8.198357868</v>
      </c>
      <c r="AH187" t="n">
        <v>5.017032622</v>
      </c>
      <c r="AJ187" t="n">
        <v>1.337463794</v>
      </c>
      <c r="AK187" t="n">
        <v>2.074771726</v>
      </c>
      <c r="AL187" t="n">
        <v>2.342647135</v>
      </c>
      <c r="AM187" t="n">
        <v>7.335799124</v>
      </c>
      <c r="AN187" t="n">
        <v>1.303022774</v>
      </c>
      <c r="AP187" t="n">
        <v>-0.741093157</v>
      </c>
      <c r="AT187" t="n">
        <v>-0.564464389</v>
      </c>
      <c r="AV187" t="n">
        <v>2.286515761</v>
      </c>
      <c r="AW187" t="n">
        <v>2.40739064</v>
      </c>
    </row>
    <row r="188">
      <c r="A188" t="inlineStr">
        <is>
          <t>1993-Q4</t>
        </is>
      </c>
      <c r="B188" s="87" t="n">
        <v>34335</v>
      </c>
      <c r="D188" t="n">
        <v>3.284058689</v>
      </c>
      <c r="E188" t="n">
        <v>2.064825537</v>
      </c>
      <c r="F188" t="n">
        <v>1.517811589</v>
      </c>
      <c r="H188" t="n">
        <v>2.966663906</v>
      </c>
      <c r="I188" t="n">
        <v>1.90978849</v>
      </c>
      <c r="K188" t="n">
        <v>14.1</v>
      </c>
      <c r="M188" t="n">
        <v>-0.249142249</v>
      </c>
      <c r="N188" t="n">
        <v>0.710095181</v>
      </c>
      <c r="P188" t="n">
        <v>0.629980151</v>
      </c>
      <c r="T188" t="n">
        <v>1.372809515</v>
      </c>
      <c r="U188" t="n">
        <v>-0.113759637</v>
      </c>
      <c r="V188" t="n">
        <v>1.507912553</v>
      </c>
      <c r="X188" t="n">
        <v>2.643712725</v>
      </c>
      <c r="Y188" t="n">
        <v>-0.454916422</v>
      </c>
      <c r="AB188" t="n">
        <v>2.774481921</v>
      </c>
      <c r="AC188" t="n">
        <v>4.046309321</v>
      </c>
      <c r="AE188" t="n">
        <v>0.191698108</v>
      </c>
      <c r="AF188" t="n">
        <v>0.393745975</v>
      </c>
      <c r="AG188" t="n">
        <v>8.574414268</v>
      </c>
      <c r="AH188" t="n">
        <v>5.269472286</v>
      </c>
      <c r="AJ188" t="n">
        <v>2.587237155</v>
      </c>
      <c r="AK188" t="n">
        <v>1.060811989</v>
      </c>
      <c r="AL188" t="n">
        <v>6.748124011</v>
      </c>
      <c r="AM188" t="n">
        <v>6.987521322</v>
      </c>
      <c r="AN188" t="n">
        <v>1.917567858</v>
      </c>
      <c r="AP188" t="n">
        <v>-0.24897242</v>
      </c>
      <c r="AT188" t="n">
        <v>0.639781643</v>
      </c>
      <c r="AV188" t="n">
        <v>2.607615494</v>
      </c>
      <c r="AW188" t="n">
        <v>4.166547949</v>
      </c>
    </row>
    <row r="189">
      <c r="A189" t="inlineStr">
        <is>
          <t>1994-Q1</t>
        </is>
      </c>
      <c r="B189" s="87" t="n">
        <v>34425</v>
      </c>
      <c r="C189" t="n">
        <v>7.268922348</v>
      </c>
      <c r="D189" t="n">
        <v>4.231736429</v>
      </c>
      <c r="E189" t="n">
        <v>2.638780302</v>
      </c>
      <c r="F189" t="n">
        <v>3.014708521</v>
      </c>
      <c r="H189" t="n">
        <v>3.819559046</v>
      </c>
      <c r="I189" t="n">
        <v>2.57460877</v>
      </c>
      <c r="K189" t="n">
        <v>14.1</v>
      </c>
      <c r="M189" t="n">
        <v>1.878706574</v>
      </c>
      <c r="N189" t="n">
        <v>3.180463903</v>
      </c>
      <c r="P189" t="n">
        <v>2.417824925</v>
      </c>
      <c r="T189" t="n">
        <v>1.808255491</v>
      </c>
      <c r="U189" t="n">
        <v>1.174181802</v>
      </c>
      <c r="V189" t="n">
        <v>2.304746792</v>
      </c>
      <c r="X189" t="n">
        <v>3.128003957</v>
      </c>
      <c r="Y189" t="n">
        <v>1.448532837</v>
      </c>
      <c r="AB189" t="n">
        <v>3.643862215</v>
      </c>
      <c r="AC189" t="n">
        <v>4.741343372</v>
      </c>
      <c r="AE189" t="n">
        <v>1.095820351</v>
      </c>
      <c r="AF189" t="n">
        <v>0.169848783</v>
      </c>
      <c r="AG189" t="n">
        <v>9.560400571000001</v>
      </c>
      <c r="AH189" t="n">
        <v>4.929208046</v>
      </c>
      <c r="AJ189" t="n">
        <v>3.676673993</v>
      </c>
      <c r="AK189" t="n">
        <v>1.945324969</v>
      </c>
      <c r="AL189" t="n">
        <v>6.230043931</v>
      </c>
      <c r="AM189" t="n">
        <v>6.850466399</v>
      </c>
      <c r="AN189" t="n">
        <v>2.659536155</v>
      </c>
      <c r="AP189" t="n">
        <v>1.426321021</v>
      </c>
      <c r="AR189" t="n">
        <v>5.973834269</v>
      </c>
      <c r="AT189" t="n">
        <v>3.689588375</v>
      </c>
      <c r="AV189" t="n">
        <v>3.430523014</v>
      </c>
      <c r="AW189" t="n">
        <v>2.795771186</v>
      </c>
    </row>
    <row r="190">
      <c r="A190" t="inlineStr">
        <is>
          <t>1994-Q2</t>
        </is>
      </c>
      <c r="B190" s="87" t="n">
        <v>34516</v>
      </c>
      <c r="C190" t="n">
        <v>6.450531759</v>
      </c>
      <c r="D190" t="n">
        <v>4.868901983</v>
      </c>
      <c r="E190" t="n">
        <v>2.232272424</v>
      </c>
      <c r="F190" t="n">
        <v>3.157014963</v>
      </c>
      <c r="H190" t="n">
        <v>4.386336064</v>
      </c>
      <c r="I190" t="n">
        <v>0.402783104</v>
      </c>
      <c r="K190" t="n">
        <v>13.3</v>
      </c>
      <c r="M190" t="n">
        <v>2.150568624</v>
      </c>
      <c r="N190" t="n">
        <v>6.643431971</v>
      </c>
      <c r="P190" t="n">
        <v>2.649333553</v>
      </c>
      <c r="T190" t="n">
        <v>2.889935814</v>
      </c>
      <c r="U190" t="n">
        <v>2.2293264</v>
      </c>
      <c r="V190" t="n">
        <v>2.927571161</v>
      </c>
      <c r="X190" t="n">
        <v>3.813584249</v>
      </c>
      <c r="Y190" t="n">
        <v>0.958617637</v>
      </c>
      <c r="AB190" t="n">
        <v>4.879714864</v>
      </c>
      <c r="AC190" t="n">
        <v>4.687855556</v>
      </c>
      <c r="AE190" t="n">
        <v>2.073646249</v>
      </c>
      <c r="AF190" t="n">
        <v>0.228283648</v>
      </c>
      <c r="AG190" t="n">
        <v>8.562978922999999</v>
      </c>
      <c r="AH190" t="n">
        <v>4.26791433</v>
      </c>
      <c r="AJ190" t="n">
        <v>5.577645612</v>
      </c>
      <c r="AK190" t="n">
        <v>2.861042796</v>
      </c>
      <c r="AL190" t="n">
        <v>6.848864667</v>
      </c>
      <c r="AM190" t="n">
        <v>5.234112754</v>
      </c>
      <c r="AN190" t="n">
        <v>2.787350777</v>
      </c>
      <c r="AP190" t="n">
        <v>2.68916016</v>
      </c>
      <c r="AR190" t="n">
        <v>5.793638036</v>
      </c>
      <c r="AT190" t="n">
        <v>3.391568086</v>
      </c>
      <c r="AV190" t="n">
        <v>4.225399702</v>
      </c>
      <c r="AW190" t="n">
        <v>3.094816274</v>
      </c>
    </row>
    <row r="191">
      <c r="A191" t="inlineStr">
        <is>
          <t>1994-Q3</t>
        </is>
      </c>
      <c r="B191" s="87" t="n">
        <v>34608</v>
      </c>
      <c r="C191" t="n">
        <v>4.616171108</v>
      </c>
      <c r="D191" t="n">
        <v>5.548267439</v>
      </c>
      <c r="E191" t="n">
        <v>2.118102574</v>
      </c>
      <c r="F191" t="n">
        <v>3.119258394</v>
      </c>
      <c r="H191" t="n">
        <v>4.722762201</v>
      </c>
      <c r="I191" t="n">
        <v>1.122489651</v>
      </c>
      <c r="K191" t="n">
        <v>13.1</v>
      </c>
      <c r="M191" t="n">
        <v>2.259152409</v>
      </c>
      <c r="N191" t="n">
        <v>5.967772709</v>
      </c>
      <c r="P191" t="n">
        <v>2.234294896</v>
      </c>
      <c r="T191" t="n">
        <v>4.640342052</v>
      </c>
      <c r="U191" t="n">
        <v>2.654757047</v>
      </c>
      <c r="V191" t="n">
        <v>3.468935296</v>
      </c>
      <c r="X191" t="n">
        <v>4.126115166</v>
      </c>
      <c r="Y191" t="n">
        <v>3.314875103</v>
      </c>
      <c r="AB191" t="n">
        <v>6.4162312</v>
      </c>
      <c r="AC191" t="n">
        <v>3.752436615</v>
      </c>
      <c r="AE191" t="n">
        <v>2.872282791</v>
      </c>
      <c r="AF191" t="n">
        <v>2.13631526</v>
      </c>
      <c r="AG191" t="n">
        <v>8.390840533</v>
      </c>
      <c r="AH191" t="n">
        <v>3.465969401</v>
      </c>
      <c r="AJ191" t="n">
        <v>5.314492269</v>
      </c>
      <c r="AK191" t="n">
        <v>2.800754845</v>
      </c>
      <c r="AL191" t="n">
        <v>3.338387055</v>
      </c>
      <c r="AM191" t="n">
        <v>4.909764079</v>
      </c>
      <c r="AN191" t="n">
        <v>3.305544143</v>
      </c>
      <c r="AP191" t="n">
        <v>2.441003251</v>
      </c>
      <c r="AR191" t="n">
        <v>6.567374548</v>
      </c>
      <c r="AT191" t="n">
        <v>3.17919768</v>
      </c>
      <c r="AV191" t="n">
        <v>4.33678486</v>
      </c>
      <c r="AW191" t="n">
        <v>2.934120028</v>
      </c>
    </row>
    <row r="192">
      <c r="A192" t="inlineStr">
        <is>
          <t>1994-Q4</t>
        </is>
      </c>
      <c r="B192" s="87" t="n">
        <v>34700</v>
      </c>
      <c r="C192" t="n">
        <v>5.068113186</v>
      </c>
      <c r="D192" t="n">
        <v>4.727700782</v>
      </c>
      <c r="E192" t="n">
        <v>2.77457537</v>
      </c>
      <c r="F192" t="n">
        <v>3.864636253</v>
      </c>
      <c r="H192" t="n">
        <v>5.03345689</v>
      </c>
      <c r="I192" t="n">
        <v>1.022453579</v>
      </c>
      <c r="K192" t="n">
        <v>12</v>
      </c>
      <c r="M192" t="n">
        <v>3.557271577</v>
      </c>
      <c r="N192" t="n">
        <v>6.300305866</v>
      </c>
      <c r="P192" t="n">
        <v>2.231623883</v>
      </c>
      <c r="T192" t="n">
        <v>6.471542686</v>
      </c>
      <c r="U192" t="n">
        <v>3.281647192</v>
      </c>
      <c r="V192" t="n">
        <v>3.397615386</v>
      </c>
      <c r="X192" t="n">
        <v>3.995568956</v>
      </c>
      <c r="Y192" t="n">
        <v>2.262202991</v>
      </c>
      <c r="AB192" t="n">
        <v>8.028488321999999</v>
      </c>
      <c r="AC192" t="n">
        <v>2.192229077</v>
      </c>
      <c r="AE192" t="n">
        <v>3.082470286</v>
      </c>
      <c r="AF192" t="n">
        <v>1.094984322</v>
      </c>
      <c r="AG192" t="n">
        <v>10.5357919</v>
      </c>
      <c r="AH192" t="n">
        <v>2.669510252</v>
      </c>
      <c r="AJ192" t="n">
        <v>5.149847302</v>
      </c>
      <c r="AK192" t="n">
        <v>4.421993497</v>
      </c>
      <c r="AL192" t="n">
        <v>3.731569961</v>
      </c>
      <c r="AM192" t="n">
        <v>5.323198885</v>
      </c>
      <c r="AN192" t="n">
        <v>3.404871983</v>
      </c>
      <c r="AP192" t="n">
        <v>3.325675959</v>
      </c>
      <c r="AR192" t="n">
        <v>6.472727923</v>
      </c>
      <c r="AT192" t="n">
        <v>4.932182861</v>
      </c>
      <c r="AV192" t="n">
        <v>4.115926516</v>
      </c>
      <c r="AW192" t="n">
        <v>3.959652538</v>
      </c>
    </row>
    <row r="193">
      <c r="A193" t="inlineStr">
        <is>
          <t>1995-Q1</t>
        </is>
      </c>
      <c r="B193" s="87" t="n">
        <v>34790</v>
      </c>
      <c r="C193" t="n">
        <v>1.997060055</v>
      </c>
      <c r="D193" t="n">
        <v>3.085704795</v>
      </c>
      <c r="E193" t="n">
        <v>3.301824119</v>
      </c>
      <c r="F193" t="n">
        <v>3.081870011</v>
      </c>
      <c r="H193" t="n">
        <v>4.470288197</v>
      </c>
      <c r="I193" t="n">
        <v>0.133388126</v>
      </c>
      <c r="K193" t="n">
        <v>11.9</v>
      </c>
      <c r="L193" t="n">
        <v>6.363014593</v>
      </c>
      <c r="M193" t="n">
        <v>1.79071673</v>
      </c>
      <c r="N193" t="n">
        <v>5.556548886</v>
      </c>
      <c r="P193" t="n">
        <v>2.550954548</v>
      </c>
      <c r="T193" t="n">
        <v>4.894454605</v>
      </c>
      <c r="U193" t="n">
        <v>3.120433791</v>
      </c>
      <c r="V193" t="n">
        <v>2.89542078</v>
      </c>
      <c r="X193" t="n">
        <v>3.17671475</v>
      </c>
      <c r="Y193" t="n">
        <v>3.03725171</v>
      </c>
      <c r="AB193" t="n">
        <v>13.301595794</v>
      </c>
      <c r="AC193" t="n">
        <v>-2.055824722</v>
      </c>
      <c r="AE193" t="n">
        <v>3.587752552</v>
      </c>
      <c r="AF193" t="n">
        <v>1.300881063</v>
      </c>
      <c r="AG193" t="n">
        <v>9.648249708</v>
      </c>
      <c r="AH193" t="n">
        <v>2.899199813</v>
      </c>
      <c r="AJ193" t="n">
        <v>-1.902651084</v>
      </c>
      <c r="AK193" t="n">
        <v>3.58223825</v>
      </c>
      <c r="AL193" t="n">
        <v>4.108190427</v>
      </c>
      <c r="AM193" t="n">
        <v>5.008390636</v>
      </c>
      <c r="AN193" t="n">
        <v>2.82885048</v>
      </c>
      <c r="AP193" t="n">
        <v>3.156940472</v>
      </c>
      <c r="AR193" t="n">
        <v>6.188113736</v>
      </c>
      <c r="AT193" t="n">
        <v>5.079112116</v>
      </c>
      <c r="AV193" t="n">
        <v>3.481130297</v>
      </c>
      <c r="AW193" t="n">
        <v>4.268641734</v>
      </c>
    </row>
    <row r="194">
      <c r="A194" t="inlineStr">
        <is>
          <t>1995-Q2</t>
        </is>
      </c>
      <c r="B194" s="87" t="n">
        <v>34881</v>
      </c>
      <c r="C194" t="n">
        <v>-3.857416767</v>
      </c>
      <c r="D194" t="n">
        <v>2.27434687</v>
      </c>
      <c r="E194" t="n">
        <v>3.561503331</v>
      </c>
      <c r="F194" t="n">
        <v>2.338763397</v>
      </c>
      <c r="H194" t="n">
        <v>3.007197067</v>
      </c>
      <c r="I194" t="n">
        <v>1.242192796</v>
      </c>
      <c r="K194" t="n">
        <v>11</v>
      </c>
      <c r="L194" t="n">
        <v>5.760987897</v>
      </c>
      <c r="M194" t="n">
        <v>2.291196974</v>
      </c>
      <c r="N194" t="n">
        <v>2.259548312</v>
      </c>
      <c r="P194" t="n">
        <v>2.961288902</v>
      </c>
      <c r="T194" t="n">
        <v>6.785286254</v>
      </c>
      <c r="U194" t="n">
        <v>2.504586942</v>
      </c>
      <c r="V194" t="n">
        <v>2.53264469</v>
      </c>
      <c r="X194" t="n">
        <v>2.381492064</v>
      </c>
      <c r="Y194" t="n">
        <v>2.76173387</v>
      </c>
      <c r="AB194" t="n">
        <v>12.235903279</v>
      </c>
      <c r="AC194" t="n">
        <v>-0.241673877</v>
      </c>
      <c r="AE194" t="n">
        <v>2.915682643</v>
      </c>
      <c r="AF194" t="n">
        <v>2.824229548</v>
      </c>
      <c r="AG194" t="n">
        <v>10.069263579</v>
      </c>
      <c r="AH194" t="n">
        <v>3.201401948</v>
      </c>
      <c r="AJ194" t="n">
        <v>-8.624963083000001</v>
      </c>
      <c r="AK194" t="n">
        <v>3.207608445</v>
      </c>
      <c r="AL194" t="n">
        <v>2.626607361</v>
      </c>
      <c r="AM194" t="n">
        <v>5.646795578</v>
      </c>
      <c r="AN194" t="n">
        <v>2.636808013</v>
      </c>
      <c r="AP194" t="n">
        <v>3.038099685</v>
      </c>
      <c r="AR194" t="n">
        <v>6.656767813</v>
      </c>
      <c r="AT194" t="n">
        <v>4.467079344</v>
      </c>
      <c r="AV194" t="n">
        <v>2.402168869</v>
      </c>
      <c r="AW194" t="n">
        <v>3.558021252</v>
      </c>
    </row>
    <row r="195">
      <c r="A195" t="inlineStr">
        <is>
          <t>1995-Q3</t>
        </is>
      </c>
      <c r="B195" s="87" t="n">
        <v>34973</v>
      </c>
      <c r="C195" t="n">
        <v>-4.469924006</v>
      </c>
      <c r="D195" t="n">
        <v>3.781420765</v>
      </c>
      <c r="E195" t="n">
        <v>2.863686279</v>
      </c>
      <c r="F195" t="n">
        <v>2.665165111</v>
      </c>
      <c r="H195" t="n">
        <v>1.841001315</v>
      </c>
      <c r="I195" t="n">
        <v>0.672180416</v>
      </c>
      <c r="K195" t="n">
        <v>10.4</v>
      </c>
      <c r="L195" t="n">
        <v>7.38865553</v>
      </c>
      <c r="M195" t="n">
        <v>1.774007202</v>
      </c>
      <c r="N195" t="n">
        <v>3.169757063</v>
      </c>
      <c r="P195" t="n">
        <v>2.562578476</v>
      </c>
      <c r="T195" t="n">
        <v>3.929816128</v>
      </c>
      <c r="U195" t="n">
        <v>2.029596017</v>
      </c>
      <c r="V195" t="n">
        <v>2.493880925</v>
      </c>
      <c r="X195" t="n">
        <v>2.275603863</v>
      </c>
      <c r="Y195" t="n">
        <v>0.615703809</v>
      </c>
      <c r="AB195" t="n">
        <v>10.901864712</v>
      </c>
      <c r="AC195" t="n">
        <v>-1.654468969</v>
      </c>
      <c r="AE195" t="n">
        <v>2.732949342</v>
      </c>
      <c r="AF195" t="n">
        <v>2.843006928</v>
      </c>
      <c r="AG195" t="n">
        <v>10.495409042</v>
      </c>
      <c r="AH195" t="n">
        <v>3.696643045</v>
      </c>
      <c r="AJ195" t="n">
        <v>-7.603638856</v>
      </c>
      <c r="AK195" t="n">
        <v>3.235805613</v>
      </c>
      <c r="AL195" t="n">
        <v>6.491517637</v>
      </c>
      <c r="AM195" t="n">
        <v>4.826191058</v>
      </c>
      <c r="AN195" t="n">
        <v>2.59055074</v>
      </c>
      <c r="AP195" t="n">
        <v>3.019269921</v>
      </c>
      <c r="AR195" t="n">
        <v>5.280068441</v>
      </c>
      <c r="AT195" t="n">
        <v>3.783012238</v>
      </c>
      <c r="AV195" t="n">
        <v>2.673106856</v>
      </c>
      <c r="AW195" t="n">
        <v>3.085873972</v>
      </c>
    </row>
    <row r="196">
      <c r="A196" t="inlineStr">
        <is>
          <t>1995-Q4</t>
        </is>
      </c>
      <c r="B196" s="87" t="n">
        <v>35065</v>
      </c>
      <c r="C196" t="n">
        <v>-4.917327789</v>
      </c>
      <c r="D196" t="n">
        <v>2.681506428</v>
      </c>
      <c r="E196" t="n">
        <v>1.843370445</v>
      </c>
      <c r="F196" t="n">
        <v>1.174873872</v>
      </c>
      <c r="H196" t="n">
        <v>1.517638141</v>
      </c>
      <c r="I196" t="n">
        <v>0.24277484</v>
      </c>
      <c r="K196" t="n">
        <v>10.8</v>
      </c>
      <c r="L196" t="n">
        <v>4.281259436</v>
      </c>
      <c r="M196" t="n">
        <v>0.6192858570000001</v>
      </c>
      <c r="N196" t="n">
        <v>1.381050318</v>
      </c>
      <c r="P196" t="n">
        <v>2.956822426</v>
      </c>
      <c r="T196" t="n">
        <v>1.427231698</v>
      </c>
      <c r="U196" t="n">
        <v>1.306871823</v>
      </c>
      <c r="V196" t="n">
        <v>2.170762989</v>
      </c>
      <c r="X196" t="n">
        <v>1.95932285</v>
      </c>
      <c r="Y196" t="n">
        <v>2.036812447</v>
      </c>
      <c r="AB196" t="n">
        <v>8.667243652</v>
      </c>
      <c r="AC196" t="n">
        <v>-1.383877513</v>
      </c>
      <c r="AE196" t="n">
        <v>2.62018562</v>
      </c>
      <c r="AF196" t="n">
        <v>3.50889316</v>
      </c>
      <c r="AG196" t="n">
        <v>8.305406400000001</v>
      </c>
      <c r="AH196" t="n">
        <v>4.406117705</v>
      </c>
      <c r="AJ196" t="n">
        <v>-6.914685763</v>
      </c>
      <c r="AK196" t="n">
        <v>2.995966325</v>
      </c>
      <c r="AL196" t="n">
        <v>3.706822547</v>
      </c>
      <c r="AM196" t="n">
        <v>4.145191272</v>
      </c>
      <c r="AN196" t="n">
        <v>2.178042409</v>
      </c>
      <c r="AP196" t="n">
        <v>2.485423689</v>
      </c>
      <c r="AR196" t="n">
        <v>5.785010043</v>
      </c>
      <c r="AT196" t="n">
        <v>3.276458616</v>
      </c>
      <c r="AV196" t="n">
        <v>2.199579909</v>
      </c>
      <c r="AW196" t="n">
        <v>1.545603231</v>
      </c>
    </row>
    <row r="197">
      <c r="A197" t="inlineStr">
        <is>
          <t>1996-Q1</t>
        </is>
      </c>
      <c r="B197" s="87" t="n">
        <v>35156</v>
      </c>
      <c r="C197" t="n">
        <v>-0.771663571</v>
      </c>
      <c r="D197" t="n">
        <v>4.327622246</v>
      </c>
      <c r="E197" t="n">
        <v>1.704238251</v>
      </c>
      <c r="F197" t="n">
        <v>1.026925133</v>
      </c>
      <c r="H197" t="n">
        <v>0.651940818</v>
      </c>
      <c r="I197" t="n">
        <v>1.175792317</v>
      </c>
      <c r="J197" t="n">
        <v>8.39844639</v>
      </c>
      <c r="K197" t="n">
        <v>10.9</v>
      </c>
      <c r="L197" t="n">
        <v>4.977960345</v>
      </c>
      <c r="M197" t="n">
        <v>0.117692428</v>
      </c>
      <c r="N197" t="n">
        <v>0.877556676</v>
      </c>
      <c r="O197" t="n">
        <v>1.331644295</v>
      </c>
      <c r="P197" t="n">
        <v>2.395961849</v>
      </c>
      <c r="Q197" t="n">
        <v>0.729627738</v>
      </c>
      <c r="R197" t="n">
        <v>2.030457591</v>
      </c>
      <c r="T197" t="n">
        <v>4.11643026</v>
      </c>
      <c r="U197" t="n">
        <v>1.361767729</v>
      </c>
      <c r="V197" t="n">
        <v>2.145532112</v>
      </c>
      <c r="X197" t="n">
        <v>2.148013227</v>
      </c>
      <c r="Y197" t="n">
        <v>2.632531586</v>
      </c>
      <c r="Z197" t="n">
        <v>0.002773402</v>
      </c>
      <c r="AB197" t="n">
        <v>7.870924549</v>
      </c>
      <c r="AC197" t="n">
        <v>6.354726475</v>
      </c>
      <c r="AD197" t="n">
        <v>6.383132994</v>
      </c>
      <c r="AE197" t="n">
        <v>1.570670279</v>
      </c>
      <c r="AF197" t="n">
        <v>3.208381689</v>
      </c>
      <c r="AG197" t="n">
        <v>8.111951084999999</v>
      </c>
      <c r="AH197" t="n">
        <v>4.417586377</v>
      </c>
      <c r="AI197" t="n">
        <v>-0.431925335</v>
      </c>
      <c r="AJ197" t="n">
        <v>1.416965293</v>
      </c>
      <c r="AK197" t="n">
        <v>2.720293521</v>
      </c>
      <c r="AL197" t="n">
        <v>6.101967081</v>
      </c>
      <c r="AM197" t="n">
        <v>4.343291775</v>
      </c>
      <c r="AN197" t="n">
        <v>2.526539439</v>
      </c>
      <c r="AO197" t="n">
        <v>8.39099328</v>
      </c>
      <c r="AP197" t="n">
        <v>3.114674906</v>
      </c>
      <c r="AR197" t="n">
        <v>5.966153235</v>
      </c>
      <c r="AS197" t="n">
        <v>1.318867949</v>
      </c>
      <c r="AT197" t="n">
        <v>2.673177565</v>
      </c>
      <c r="AV197" t="n">
        <v>2.601103993</v>
      </c>
      <c r="AW197" t="n">
        <v>3.168866593</v>
      </c>
    </row>
    <row r="198">
      <c r="A198" t="inlineStr">
        <is>
          <t>1996-Q2</t>
        </is>
      </c>
      <c r="B198" s="87" t="n">
        <v>35247</v>
      </c>
      <c r="C198" t="n">
        <v>5.436258599</v>
      </c>
      <c r="D198" t="n">
        <v>4.623213192</v>
      </c>
      <c r="E198" t="n">
        <v>2.142674467</v>
      </c>
      <c r="F198" t="n">
        <v>1.309798977</v>
      </c>
      <c r="H198" t="n">
        <v>1.311865775</v>
      </c>
      <c r="I198" t="n">
        <v>0.7059348</v>
      </c>
      <c r="J198" t="n">
        <v>6.739028068</v>
      </c>
      <c r="K198" t="n">
        <v>9.4</v>
      </c>
      <c r="L198" t="n">
        <v>5.301418949</v>
      </c>
      <c r="M198" t="n">
        <v>0.740136741</v>
      </c>
      <c r="N198" t="n">
        <v>3.90660937</v>
      </c>
      <c r="O198" t="n">
        <v>1.483270005</v>
      </c>
      <c r="P198" t="n">
        <v>2.516124698</v>
      </c>
      <c r="Q198" t="n">
        <v>3.46730557</v>
      </c>
      <c r="R198" t="n">
        <v>1.667260511</v>
      </c>
      <c r="T198" t="n">
        <v>2.19286886</v>
      </c>
      <c r="U198" t="n">
        <v>1.050928645</v>
      </c>
      <c r="V198" t="n">
        <v>2.888540753</v>
      </c>
      <c r="X198" t="n">
        <v>1.992839644</v>
      </c>
      <c r="Y198" t="n">
        <v>2.252642313</v>
      </c>
      <c r="Z198" t="n">
        <v>-0.416204393</v>
      </c>
      <c r="AB198" t="n">
        <v>8.334355686</v>
      </c>
      <c r="AC198" t="n">
        <v>3.886748587</v>
      </c>
      <c r="AD198" t="n">
        <v>5.296348095</v>
      </c>
      <c r="AE198" t="n">
        <v>1.392523718</v>
      </c>
      <c r="AF198" t="n">
        <v>3.554278946</v>
      </c>
      <c r="AG198" t="n">
        <v>8.11017914</v>
      </c>
      <c r="AH198" t="n">
        <v>-3.918184172</v>
      </c>
      <c r="AI198" t="n">
        <v>-1.080282794</v>
      </c>
      <c r="AJ198" t="n">
        <v>8.038012172</v>
      </c>
      <c r="AK198" t="n">
        <v>3.057056759</v>
      </c>
      <c r="AL198" t="n">
        <v>5.04007894</v>
      </c>
      <c r="AM198" t="n">
        <v>3.943336305</v>
      </c>
      <c r="AN198" t="n">
        <v>3.315779988</v>
      </c>
      <c r="AO198" t="n">
        <v>8.802674270000001</v>
      </c>
      <c r="AP198" t="n">
        <v>3.135435389</v>
      </c>
      <c r="AR198" t="n">
        <v>5.46155422</v>
      </c>
      <c r="AS198" t="n">
        <v>2.265251016</v>
      </c>
      <c r="AT198" t="n">
        <v>1.363390929</v>
      </c>
      <c r="AV198" t="n">
        <v>4.002127064</v>
      </c>
      <c r="AW198" t="n">
        <v>4.098710883</v>
      </c>
    </row>
    <row r="199">
      <c r="A199" t="inlineStr">
        <is>
          <t>1996-Q3</t>
        </is>
      </c>
      <c r="B199" s="87" t="n">
        <v>35339</v>
      </c>
      <c r="C199" t="n">
        <v>8.276059804000001</v>
      </c>
      <c r="D199" t="n">
        <v>3.106777673</v>
      </c>
      <c r="E199" t="n">
        <v>2.245954192</v>
      </c>
      <c r="F199" t="n">
        <v>1.16970465</v>
      </c>
      <c r="H199" t="n">
        <v>2.052683265</v>
      </c>
      <c r="I199" t="n">
        <v>-0.09982519400000001</v>
      </c>
      <c r="J199" t="n">
        <v>7.463833953</v>
      </c>
      <c r="K199" t="n">
        <v>9.199999999999999</v>
      </c>
      <c r="L199" t="n">
        <v>2.74661798</v>
      </c>
      <c r="M199" t="n">
        <v>0.9071840370000001</v>
      </c>
      <c r="N199" t="n">
        <v>3.767712314</v>
      </c>
      <c r="O199" t="n">
        <v>1.808517093</v>
      </c>
      <c r="P199" t="n">
        <v>2.978882389</v>
      </c>
      <c r="Q199" t="n">
        <v>7.119857715</v>
      </c>
      <c r="R199" t="n">
        <v>1.799814848</v>
      </c>
      <c r="T199" t="n">
        <v>3.25219704</v>
      </c>
      <c r="U199" t="n">
        <v>1.593553936</v>
      </c>
      <c r="V199" t="n">
        <v>2.795696735</v>
      </c>
      <c r="X199" t="n">
        <v>2.113045786</v>
      </c>
      <c r="Y199" t="n">
        <v>3.088905697</v>
      </c>
      <c r="Z199" t="n">
        <v>-0.544251964</v>
      </c>
      <c r="AB199" t="n">
        <v>5.774030623</v>
      </c>
      <c r="AC199" t="n">
        <v>2.889711656</v>
      </c>
      <c r="AD199" t="n">
        <v>5.276436308</v>
      </c>
      <c r="AE199" t="n">
        <v>1.093062771</v>
      </c>
      <c r="AF199" t="n">
        <v>2.476441963</v>
      </c>
      <c r="AG199" t="n">
        <v>7.77450115</v>
      </c>
      <c r="AH199" t="n">
        <v>2.470185329</v>
      </c>
      <c r="AI199" t="n">
        <v>3.45839259</v>
      </c>
      <c r="AJ199" t="n">
        <v>7.817052743</v>
      </c>
      <c r="AK199" t="n">
        <v>3.685279605</v>
      </c>
      <c r="AL199" t="n">
        <v>6.04165779</v>
      </c>
      <c r="AM199" t="n">
        <v>3.668736716</v>
      </c>
      <c r="AN199" t="n">
        <v>3.201601703</v>
      </c>
      <c r="AO199" t="n">
        <v>5.976143888</v>
      </c>
      <c r="AP199" t="n">
        <v>4.083239602</v>
      </c>
      <c r="AR199" t="n">
        <v>7.472457273</v>
      </c>
      <c r="AS199" t="n">
        <v>3.391444464</v>
      </c>
      <c r="AT199" t="n">
        <v>1.346789099</v>
      </c>
      <c r="AV199" t="n">
        <v>4.04992139</v>
      </c>
      <c r="AW199" t="n">
        <v>4.644751385</v>
      </c>
    </row>
    <row r="200">
      <c r="A200" t="inlineStr">
        <is>
          <t>1996-Q4</t>
        </is>
      </c>
      <c r="B200" s="87" t="n">
        <v>35431</v>
      </c>
      <c r="C200" t="n">
        <v>9.410196998</v>
      </c>
      <c r="D200" t="n">
        <v>4.08658116</v>
      </c>
      <c r="E200" t="n">
        <v>2.04492447</v>
      </c>
      <c r="F200" t="n">
        <v>1.757896638</v>
      </c>
      <c r="H200" t="n">
        <v>2.454708574</v>
      </c>
      <c r="I200" t="n">
        <v>0.463524704</v>
      </c>
      <c r="J200" t="n">
        <v>6.919503629</v>
      </c>
      <c r="K200" t="n">
        <v>10.3</v>
      </c>
      <c r="L200" t="n">
        <v>3.673384172</v>
      </c>
      <c r="M200" t="n">
        <v>1.619563242</v>
      </c>
      <c r="N200" t="n">
        <v>3.049006173</v>
      </c>
      <c r="O200" t="n">
        <v>1.894465595</v>
      </c>
      <c r="P200" t="n">
        <v>2.747216257</v>
      </c>
      <c r="Q200" t="n">
        <v>8.032595581000001</v>
      </c>
      <c r="R200" t="n">
        <v>1.608400297</v>
      </c>
      <c r="T200" t="n">
        <v>5.134502586</v>
      </c>
      <c r="U200" t="n">
        <v>1.546853889</v>
      </c>
      <c r="V200" t="n">
        <v>3.22756909</v>
      </c>
      <c r="X200" t="n">
        <v>3.448762153</v>
      </c>
      <c r="Y200" t="n">
        <v>3.581131972</v>
      </c>
      <c r="Z200" t="n">
        <v>1.11714826</v>
      </c>
      <c r="AB200" t="n">
        <v>6.32153943</v>
      </c>
      <c r="AC200" t="n">
        <v>5.172166153</v>
      </c>
      <c r="AD200" t="n">
        <v>6.019868492</v>
      </c>
      <c r="AE200" t="n">
        <v>-0.042468404</v>
      </c>
      <c r="AF200" t="n">
        <v>3.37192526</v>
      </c>
      <c r="AG200" t="n">
        <v>7.58515559</v>
      </c>
      <c r="AH200" t="n">
        <v>2.751238896</v>
      </c>
      <c r="AI200" t="n">
        <v>8.670270901</v>
      </c>
      <c r="AJ200" t="n">
        <v>8.986541109999999</v>
      </c>
      <c r="AK200" t="n">
        <v>3.683802394</v>
      </c>
      <c r="AL200" t="n">
        <v>3.068896274</v>
      </c>
      <c r="AM200" t="n">
        <v>4.323955698</v>
      </c>
      <c r="AN200" t="n">
        <v>3.626027817</v>
      </c>
      <c r="AO200" t="n">
        <v>1.826203062</v>
      </c>
      <c r="AP200" t="n">
        <v>3.674688619</v>
      </c>
      <c r="AR200" t="n">
        <v>7.540726079</v>
      </c>
      <c r="AS200" t="n">
        <v>4.953283186</v>
      </c>
      <c r="AT200" t="n">
        <v>0.997581872</v>
      </c>
      <c r="AV200" t="n">
        <v>4.421314452</v>
      </c>
      <c r="AW200" t="n">
        <v>5.272397341</v>
      </c>
    </row>
    <row r="201">
      <c r="A201" t="inlineStr">
        <is>
          <t>1997-Q1</t>
        </is>
      </c>
      <c r="B201" s="87" t="n">
        <v>35521</v>
      </c>
      <c r="C201" t="n">
        <v>8.718642749000001</v>
      </c>
      <c r="D201" t="n">
        <v>3.03945315</v>
      </c>
      <c r="E201" t="n">
        <v>1.929152637</v>
      </c>
      <c r="F201" t="n">
        <v>2.985407152</v>
      </c>
      <c r="G201" t="n">
        <v>4.789292018</v>
      </c>
      <c r="H201" t="n">
        <v>3.734889509</v>
      </c>
      <c r="I201" t="n">
        <v>0.753920192</v>
      </c>
      <c r="J201" t="n">
        <v>4.860761463</v>
      </c>
      <c r="K201" t="n">
        <v>10.1</v>
      </c>
      <c r="L201" t="n">
        <v>0.855514211</v>
      </c>
      <c r="M201" t="n">
        <v>1.920512702</v>
      </c>
      <c r="N201" t="n">
        <v>4.326700118</v>
      </c>
      <c r="O201" t="n">
        <v>1.958915307</v>
      </c>
      <c r="P201" t="n">
        <v>3.180567782</v>
      </c>
      <c r="Q201" t="n">
        <v>10.951749365</v>
      </c>
      <c r="R201" t="n">
        <v>2.021948421</v>
      </c>
      <c r="T201" t="n">
        <v>4.490108705</v>
      </c>
      <c r="U201" t="n">
        <v>1.2212476</v>
      </c>
      <c r="V201" t="n">
        <v>3.244811488</v>
      </c>
      <c r="X201" t="n">
        <v>4.72345614</v>
      </c>
      <c r="Y201" t="n">
        <v>3.609920456</v>
      </c>
      <c r="Z201" t="n">
        <v>1.513028955</v>
      </c>
      <c r="AB201" t="n">
        <v>7.116691695</v>
      </c>
      <c r="AC201" t="n">
        <v>4.979098253</v>
      </c>
      <c r="AD201" t="n">
        <v>5.407830327</v>
      </c>
      <c r="AE201" t="n">
        <v>0.072796069</v>
      </c>
      <c r="AF201" t="n">
        <v>2.8000024</v>
      </c>
      <c r="AG201" t="n">
        <v>6.064861869</v>
      </c>
      <c r="AH201" t="n">
        <v>2.187184112</v>
      </c>
      <c r="AI201" t="n">
        <v>7.883021088</v>
      </c>
      <c r="AJ201" t="n">
        <v>6.31909125</v>
      </c>
      <c r="AK201" t="n">
        <v>4.386117665</v>
      </c>
      <c r="AL201" t="n">
        <v>4.261623276</v>
      </c>
      <c r="AM201" t="n">
        <v>2.490470559</v>
      </c>
      <c r="AN201" t="n">
        <v>3.519262511</v>
      </c>
      <c r="AO201" t="n">
        <v>6.031058445</v>
      </c>
      <c r="AP201" t="n">
        <v>4.553999969</v>
      </c>
      <c r="AR201" t="n">
        <v>6.801470086</v>
      </c>
      <c r="AS201" t="n">
        <v>4.807396476</v>
      </c>
      <c r="AT201" t="n">
        <v>1.184332862</v>
      </c>
      <c r="AV201" t="n">
        <v>4.314134541</v>
      </c>
      <c r="AW201" t="n">
        <v>3.837501516</v>
      </c>
    </row>
    <row r="202">
      <c r="A202" t="inlineStr">
        <is>
          <t>1997-Q2</t>
        </is>
      </c>
      <c r="B202" s="87" t="n">
        <v>35612</v>
      </c>
      <c r="C202" t="n">
        <v>7.93033306</v>
      </c>
      <c r="D202" t="n">
        <v>5.379955036</v>
      </c>
      <c r="E202" t="n">
        <v>1.379951582</v>
      </c>
      <c r="F202" t="n">
        <v>3.849557522</v>
      </c>
      <c r="G202" t="n">
        <v>4.563745487</v>
      </c>
      <c r="H202" t="n">
        <v>4.181304643</v>
      </c>
      <c r="I202" t="n">
        <v>1.659510469</v>
      </c>
      <c r="J202" t="n">
        <v>6.066168546</v>
      </c>
      <c r="K202" t="n">
        <v>10</v>
      </c>
      <c r="L202" t="n">
        <v>-0.175512856</v>
      </c>
      <c r="M202" t="n">
        <v>1.856092443</v>
      </c>
      <c r="N202" t="n">
        <v>3.320563274</v>
      </c>
      <c r="O202" t="n">
        <v>2.497562619</v>
      </c>
      <c r="P202" t="n">
        <v>3.353322192</v>
      </c>
      <c r="Q202" t="n">
        <v>13.679320344</v>
      </c>
      <c r="R202" t="n">
        <v>2.531672258</v>
      </c>
      <c r="T202" t="n">
        <v>5.246261722</v>
      </c>
      <c r="U202" t="n">
        <v>2.208525937</v>
      </c>
      <c r="V202" t="n">
        <v>3.11646091</v>
      </c>
      <c r="X202" t="n">
        <v>5.386438935</v>
      </c>
      <c r="Y202" t="n">
        <v>4.784821359</v>
      </c>
      <c r="Z202" t="n">
        <v>3.17095798</v>
      </c>
      <c r="AA202" t="n">
        <v>3.27187</v>
      </c>
      <c r="AB202" t="n">
        <v>9.897787577000001</v>
      </c>
      <c r="AC202" t="n">
        <v>5.253925996</v>
      </c>
      <c r="AD202" t="n">
        <v>4.577301145</v>
      </c>
      <c r="AE202" t="n">
        <v>1.507795945</v>
      </c>
      <c r="AF202" t="n">
        <v>0.745657737</v>
      </c>
      <c r="AG202" t="n">
        <v>7.655936708</v>
      </c>
      <c r="AH202" t="n">
        <v>11.23012665</v>
      </c>
      <c r="AI202" t="n">
        <v>12.49666025</v>
      </c>
      <c r="AJ202" t="n">
        <v>7.348415853</v>
      </c>
      <c r="AK202" t="n">
        <v>4.309994557</v>
      </c>
      <c r="AL202" t="n">
        <v>6.923068938</v>
      </c>
      <c r="AM202" t="n">
        <v>3.580006168</v>
      </c>
      <c r="AN202" t="n">
        <v>3.66368986</v>
      </c>
      <c r="AO202" t="n">
        <v>5.17815251</v>
      </c>
      <c r="AP202" t="n">
        <v>4.25348435</v>
      </c>
      <c r="AR202" t="n">
        <v>7.123096144</v>
      </c>
      <c r="AS202" t="n">
        <v>5.968176756</v>
      </c>
      <c r="AT202" t="n">
        <v>3.297293248</v>
      </c>
      <c r="AV202" t="n">
        <v>4.308074979</v>
      </c>
      <c r="AW202" t="n">
        <v>3.258806281</v>
      </c>
    </row>
    <row r="203">
      <c r="A203" t="inlineStr">
        <is>
          <t>1997-Q3</t>
        </is>
      </c>
      <c r="B203" s="87" t="n">
        <v>35704</v>
      </c>
      <c r="C203" t="n">
        <v>8.163017930000001</v>
      </c>
      <c r="D203" t="n">
        <v>4.717808636</v>
      </c>
      <c r="E203" t="n">
        <v>2.295440938</v>
      </c>
      <c r="F203" t="n">
        <v>4.284750802</v>
      </c>
      <c r="G203" t="n">
        <v>1.872821588</v>
      </c>
      <c r="H203" t="n">
        <v>4.511271996</v>
      </c>
      <c r="I203" t="n">
        <v>3.210484396</v>
      </c>
      <c r="J203" t="n">
        <v>7.321640408</v>
      </c>
      <c r="K203" t="n">
        <v>8.6</v>
      </c>
      <c r="L203" t="n">
        <v>-1.270408896</v>
      </c>
      <c r="M203" t="n">
        <v>1.836564881</v>
      </c>
      <c r="N203" t="n">
        <v>2.738326569</v>
      </c>
      <c r="O203" t="n">
        <v>2.736627601</v>
      </c>
      <c r="P203" t="n">
        <v>3.694137141</v>
      </c>
      <c r="Q203" t="n">
        <v>13.142516112</v>
      </c>
      <c r="R203" t="n">
        <v>2.720810578</v>
      </c>
      <c r="T203" t="n">
        <v>7.105859955</v>
      </c>
      <c r="U203" t="n">
        <v>2.382594707</v>
      </c>
      <c r="V203" t="n">
        <v>3.332453525</v>
      </c>
      <c r="X203" t="n">
        <v>4.945745676</v>
      </c>
      <c r="Y203" t="n">
        <v>5.027766158</v>
      </c>
      <c r="Z203" t="n">
        <v>4.214102871</v>
      </c>
      <c r="AA203" t="n">
        <v>3.99521</v>
      </c>
      <c r="AB203" t="n">
        <v>12.593391762</v>
      </c>
      <c r="AC203" t="n">
        <v>6.130558333</v>
      </c>
      <c r="AD203" t="n">
        <v>3.276665969</v>
      </c>
      <c r="AE203" t="n">
        <v>2.038184679</v>
      </c>
      <c r="AF203" t="n">
        <v>0.815839041</v>
      </c>
      <c r="AG203" t="n">
        <v>6.632700464</v>
      </c>
      <c r="AH203" t="n">
        <v>4.394313167</v>
      </c>
      <c r="AI203" t="n">
        <v>10.62841389</v>
      </c>
      <c r="AJ203" t="n">
        <v>7.578957599</v>
      </c>
      <c r="AK203" t="n">
        <v>4.364193094</v>
      </c>
      <c r="AL203" t="n">
        <v>3.363715205</v>
      </c>
      <c r="AM203" t="n">
        <v>2.654062192</v>
      </c>
      <c r="AN203" t="n">
        <v>3.82994644</v>
      </c>
      <c r="AO203" t="n">
        <v>4.001960673</v>
      </c>
      <c r="AP203" t="n">
        <v>4.196041148</v>
      </c>
      <c r="AR203" t="n">
        <v>6.241769502</v>
      </c>
      <c r="AS203" t="n">
        <v>5.526510802</v>
      </c>
      <c r="AT203" t="n">
        <v>3.570033257</v>
      </c>
      <c r="AV203" t="n">
        <v>4.673802575</v>
      </c>
      <c r="AW203" t="n">
        <v>2.144435333</v>
      </c>
    </row>
    <row r="204">
      <c r="A204" t="inlineStr">
        <is>
          <t>1997-Q4</t>
        </is>
      </c>
      <c r="B204" s="87" t="n">
        <v>35796</v>
      </c>
      <c r="C204" t="n">
        <v>7.662890987</v>
      </c>
      <c r="D204" t="n">
        <v>5.259586154</v>
      </c>
      <c r="E204" t="n">
        <v>3.226253559</v>
      </c>
      <c r="F204" t="n">
        <v>4.045011335</v>
      </c>
      <c r="G204" t="n">
        <v>3.727207295</v>
      </c>
      <c r="H204" t="n">
        <v>4.6802186</v>
      </c>
      <c r="I204" t="n">
        <v>3.314626134</v>
      </c>
      <c r="J204" t="n">
        <v>8.085937937000001</v>
      </c>
      <c r="K204" t="n">
        <v>8.6</v>
      </c>
      <c r="L204" t="n">
        <v>-1.564318312</v>
      </c>
      <c r="M204" t="n">
        <v>1.823222609</v>
      </c>
      <c r="N204" t="n">
        <v>2.689372527</v>
      </c>
      <c r="O204" t="n">
        <v>3.441296443</v>
      </c>
      <c r="P204" t="n">
        <v>4.566510105</v>
      </c>
      <c r="Q204" t="n">
        <v>14.36215951</v>
      </c>
      <c r="R204" t="n">
        <v>3.502583382</v>
      </c>
      <c r="T204" t="n">
        <v>8.233936129</v>
      </c>
      <c r="U204" t="n">
        <v>3.370638414</v>
      </c>
      <c r="V204" t="n">
        <v>3.265275549</v>
      </c>
      <c r="X204" t="n">
        <v>4.588792041</v>
      </c>
      <c r="Y204" t="n">
        <v>4.917627663</v>
      </c>
      <c r="Z204" t="n">
        <v>3.822851354</v>
      </c>
      <c r="AA204" t="n">
        <v>4.01085</v>
      </c>
      <c r="AB204" t="n">
        <v>12.966069377</v>
      </c>
      <c r="AC204" t="n">
        <v>6.725338216</v>
      </c>
      <c r="AD204" t="n">
        <v>3.470157148</v>
      </c>
      <c r="AE204" t="n">
        <v>4.171701862</v>
      </c>
      <c r="AF204" t="n">
        <v>-0.263779672</v>
      </c>
      <c r="AG204" t="n">
        <v>4.380777853</v>
      </c>
      <c r="AH204" t="n">
        <v>4.159702107</v>
      </c>
      <c r="AI204" t="n">
        <v>5.452974873</v>
      </c>
      <c r="AJ204" t="n">
        <v>7.015513316</v>
      </c>
      <c r="AK204" t="n">
        <v>4.956982825</v>
      </c>
      <c r="AL204" t="n">
        <v>6.533050651</v>
      </c>
      <c r="AM204" t="n">
        <v>1.13063107</v>
      </c>
      <c r="AN204" t="n">
        <v>3.784516662</v>
      </c>
      <c r="AO204" t="n">
        <v>10.217622716</v>
      </c>
      <c r="AP204" t="n">
        <v>4.601245602</v>
      </c>
      <c r="AR204" t="n">
        <v>3.642516597</v>
      </c>
      <c r="AS204" t="n">
        <v>4.115633689</v>
      </c>
      <c r="AT204" t="n">
        <v>4.959759972</v>
      </c>
      <c r="AV204" t="n">
        <v>4.487684458</v>
      </c>
      <c r="AW204" t="n">
        <v>1.209032657</v>
      </c>
    </row>
    <row r="205">
      <c r="A205" t="inlineStr">
        <is>
          <t>1998-Q1</t>
        </is>
      </c>
      <c r="B205" s="87" t="n">
        <v>35886</v>
      </c>
      <c r="C205" t="n">
        <v>5.993873078</v>
      </c>
      <c r="D205" t="n">
        <v>5.31468035</v>
      </c>
      <c r="E205" t="n">
        <v>3.415020318</v>
      </c>
      <c r="F205" t="n">
        <v>3.280151433</v>
      </c>
      <c r="G205" t="n">
        <v>0.733014722</v>
      </c>
      <c r="H205" t="n">
        <v>4.776552234</v>
      </c>
      <c r="I205" t="n">
        <v>3.507300589</v>
      </c>
      <c r="J205" t="n">
        <v>6.481769509</v>
      </c>
      <c r="K205" t="n">
        <v>7.3</v>
      </c>
      <c r="L205" t="n">
        <v>-1.160666815</v>
      </c>
      <c r="M205" t="n">
        <v>3.339233881</v>
      </c>
      <c r="N205" t="n">
        <v>2.945633139</v>
      </c>
      <c r="O205" t="n">
        <v>3.840767904</v>
      </c>
      <c r="P205" t="n">
        <v>4.422499613</v>
      </c>
      <c r="Q205" t="n">
        <v>11.264366507</v>
      </c>
      <c r="R205" t="n">
        <v>3.813032344</v>
      </c>
      <c r="T205" t="n">
        <v>6.193127801</v>
      </c>
      <c r="U205" t="n">
        <v>3.922779195</v>
      </c>
      <c r="V205" t="n">
        <v>3.224435432</v>
      </c>
      <c r="X205" t="n">
        <v>3.454071886</v>
      </c>
      <c r="Y205" t="n">
        <v>5.574859177</v>
      </c>
      <c r="Z205" t="n">
        <v>3.745965437</v>
      </c>
      <c r="AA205" t="n">
        <v>4.91695</v>
      </c>
      <c r="AB205" t="n">
        <v>10.127689913</v>
      </c>
      <c r="AC205" t="n">
        <v>-0.352975057</v>
      </c>
      <c r="AD205" t="n">
        <v>3.788908908</v>
      </c>
      <c r="AE205" t="n">
        <v>3.074021447</v>
      </c>
      <c r="AF205" t="n">
        <v>-1.733327413</v>
      </c>
      <c r="AG205" t="n">
        <v>-3.189063545</v>
      </c>
      <c r="AH205" t="n">
        <v>4.616145437</v>
      </c>
      <c r="AI205" t="n">
        <v>12.321888355</v>
      </c>
      <c r="AJ205" t="n">
        <v>7.811544534</v>
      </c>
      <c r="AK205" t="n">
        <v>5.224915944</v>
      </c>
      <c r="AL205" t="n">
        <v>4.748427465</v>
      </c>
      <c r="AM205" t="n">
        <v>0.941708278</v>
      </c>
      <c r="AN205" t="n">
        <v>3.572375652</v>
      </c>
      <c r="AO205" t="n">
        <v>5.658779718</v>
      </c>
      <c r="AP205" t="n">
        <v>4.398434698</v>
      </c>
      <c r="AR205" t="n">
        <v>4.435865351</v>
      </c>
      <c r="AS205" t="n">
        <v>4.217114387</v>
      </c>
      <c r="AT205" t="n">
        <v>4.448087298</v>
      </c>
      <c r="AV205" t="n">
        <v>4.855005883</v>
      </c>
      <c r="AW205" t="n">
        <v>1.006025756</v>
      </c>
    </row>
    <row r="206">
      <c r="A206" t="inlineStr">
        <is>
          <t>1998-Q2</t>
        </is>
      </c>
      <c r="B206" s="87" t="n">
        <v>35977</v>
      </c>
      <c r="C206" t="n">
        <v>6.486822435</v>
      </c>
      <c r="D206" t="n">
        <v>3.211634659</v>
      </c>
      <c r="E206" t="n">
        <v>4.202095618</v>
      </c>
      <c r="F206" t="n">
        <v>2.045164039</v>
      </c>
      <c r="G206" t="n">
        <v>1.679318313</v>
      </c>
      <c r="H206" t="n">
        <v>3.661507904</v>
      </c>
      <c r="I206" t="n">
        <v>4.001986722</v>
      </c>
      <c r="J206" t="n">
        <v>6.122219205</v>
      </c>
      <c r="K206" t="n">
        <v>6.9</v>
      </c>
      <c r="L206" t="n">
        <v>-0.574593126</v>
      </c>
      <c r="M206" t="n">
        <v>1.575506415</v>
      </c>
      <c r="N206" t="n">
        <v>0.443072991</v>
      </c>
      <c r="O206" t="n">
        <v>3.042656746</v>
      </c>
      <c r="P206" t="n">
        <v>4.651187369</v>
      </c>
      <c r="Q206" t="n">
        <v>6.173124798</v>
      </c>
      <c r="R206" t="n">
        <v>3.004502486</v>
      </c>
      <c r="T206" t="n">
        <v>6.715898753</v>
      </c>
      <c r="U206" t="n">
        <v>3.697757078</v>
      </c>
      <c r="V206" t="n">
        <v>2.631211906</v>
      </c>
      <c r="X206" t="n">
        <v>3.323224357</v>
      </c>
      <c r="Y206" t="n">
        <v>4.254539266</v>
      </c>
      <c r="Z206" t="n">
        <v>4.168501972</v>
      </c>
      <c r="AA206" t="n">
        <v>5.85828</v>
      </c>
      <c r="AB206" t="n">
        <v>8.608128914</v>
      </c>
      <c r="AC206" t="n">
        <v>9.107924450000001</v>
      </c>
      <c r="AD206" t="n">
        <v>3.294011994</v>
      </c>
      <c r="AE206" t="n">
        <v>2.294670374</v>
      </c>
      <c r="AF206" t="n">
        <v>-1.413809707</v>
      </c>
      <c r="AG206" t="n">
        <v>-7.263875197</v>
      </c>
      <c r="AH206" t="n">
        <v>6.99470896</v>
      </c>
      <c r="AI206" t="n">
        <v>7.380806885</v>
      </c>
      <c r="AJ206" t="n">
        <v>6.14740104</v>
      </c>
      <c r="AK206" t="n">
        <v>4.885897594</v>
      </c>
      <c r="AL206" t="n">
        <v>3.440224839</v>
      </c>
      <c r="AM206" t="n">
        <v>-0.5106661810000001</v>
      </c>
      <c r="AN206" t="n">
        <v>2.745796988</v>
      </c>
      <c r="AO206" t="n">
        <v>3.950015821</v>
      </c>
      <c r="AP206" t="n">
        <v>5.047223434</v>
      </c>
      <c r="AR206" t="n">
        <v>2.922906069</v>
      </c>
      <c r="AS206" t="n">
        <v>2.614424609</v>
      </c>
      <c r="AT206" t="n">
        <v>4.599044093</v>
      </c>
      <c r="AV206" t="n">
        <v>4.095726841</v>
      </c>
      <c r="AW206" t="n">
        <v>0.518211659</v>
      </c>
    </row>
    <row r="207">
      <c r="A207" t="inlineStr">
        <is>
          <t>1998-Q3</t>
        </is>
      </c>
      <c r="B207" s="87" t="n">
        <v>36069</v>
      </c>
      <c r="C207" t="n">
        <v>3.555725661</v>
      </c>
      <c r="D207" t="n">
        <v>5.01319564</v>
      </c>
      <c r="E207" t="n">
        <v>3.560580102</v>
      </c>
      <c r="F207" t="n">
        <v>1.449198849</v>
      </c>
      <c r="G207" t="n">
        <v>0.493606783</v>
      </c>
      <c r="H207" t="n">
        <v>3.381592962</v>
      </c>
      <c r="I207" t="n">
        <v>2.839442394</v>
      </c>
      <c r="J207" t="n">
        <v>3.185290632</v>
      </c>
      <c r="K207" t="n">
        <v>7.8</v>
      </c>
      <c r="L207" t="n">
        <v>0.048266945</v>
      </c>
      <c r="M207" t="n">
        <v>1.734068336</v>
      </c>
      <c r="N207" t="n">
        <v>2.578105832</v>
      </c>
      <c r="O207" t="n">
        <v>2.857286228</v>
      </c>
      <c r="P207" t="n">
        <v>4.398071992</v>
      </c>
      <c r="Q207" t="n">
        <v>3.283419804</v>
      </c>
      <c r="R207" t="n">
        <v>2.910715131</v>
      </c>
      <c r="T207" t="n">
        <v>5.567899621</v>
      </c>
      <c r="U207" t="n">
        <v>3.599928979</v>
      </c>
      <c r="V207" t="n">
        <v>2.585979259</v>
      </c>
      <c r="X207" t="n">
        <v>3.162955466</v>
      </c>
      <c r="Y207" t="n">
        <v>2.975993538</v>
      </c>
      <c r="Z207" t="n">
        <v>4.153071069</v>
      </c>
      <c r="AA207" t="n">
        <v>6.50887</v>
      </c>
      <c r="AB207" t="n">
        <v>10.889019055</v>
      </c>
      <c r="AC207" t="n">
        <v>10.067178757</v>
      </c>
      <c r="AD207" t="n">
        <v>4.25045855</v>
      </c>
      <c r="AE207" t="n">
        <v>1.77414987</v>
      </c>
      <c r="AF207" t="n">
        <v>-1.43797265</v>
      </c>
      <c r="AG207" t="n">
        <v>-6.384827184</v>
      </c>
      <c r="AH207" t="n">
        <v>7.750321853</v>
      </c>
      <c r="AI207" t="n">
        <v>4.509649884</v>
      </c>
      <c r="AJ207" t="n">
        <v>4.703848882</v>
      </c>
      <c r="AK207" t="n">
        <v>4.266446114</v>
      </c>
      <c r="AL207" t="n">
        <v>1.694102631</v>
      </c>
      <c r="AM207" t="n">
        <v>-0.172157466</v>
      </c>
      <c r="AN207" t="n">
        <v>2.555131276</v>
      </c>
      <c r="AO207" t="n">
        <v>5.098162942</v>
      </c>
      <c r="AP207" t="n">
        <v>4.847647587</v>
      </c>
      <c r="AR207" t="n">
        <v>0.416471932</v>
      </c>
      <c r="AS207" t="n">
        <v>2.611495257</v>
      </c>
      <c r="AT207" t="n">
        <v>4.377631718</v>
      </c>
      <c r="AV207" t="n">
        <v>4.097768623</v>
      </c>
      <c r="AW207" t="n">
        <v>0.198422096</v>
      </c>
    </row>
    <row r="208">
      <c r="A208" t="inlineStr">
        <is>
          <t>1998-Q4</t>
        </is>
      </c>
      <c r="B208" s="87" t="n">
        <v>36161</v>
      </c>
      <c r="C208" t="n">
        <v>-0.429833848</v>
      </c>
      <c r="D208" t="n">
        <v>5.070297213</v>
      </c>
      <c r="E208" t="n">
        <v>2.880063636</v>
      </c>
      <c r="F208" t="n">
        <v>1.113036174</v>
      </c>
      <c r="G208" t="n">
        <v>-1.461765409</v>
      </c>
      <c r="H208" t="n">
        <v>3.783318734</v>
      </c>
      <c r="I208" t="n">
        <v>1.809775149</v>
      </c>
      <c r="J208" t="n">
        <v>-2.430512939</v>
      </c>
      <c r="K208" t="n">
        <v>9.1</v>
      </c>
      <c r="L208" t="n">
        <v>0.313259313</v>
      </c>
      <c r="M208" t="n">
        <v>0.569700948</v>
      </c>
      <c r="N208" t="n">
        <v>2.921187732</v>
      </c>
      <c r="O208" t="n">
        <v>1.852306565</v>
      </c>
      <c r="P208" t="n">
        <v>4.109017483</v>
      </c>
      <c r="Q208" t="n">
        <v>-1.676426406</v>
      </c>
      <c r="R208" t="n">
        <v>1.95773502</v>
      </c>
      <c r="T208" t="n">
        <v>3.455893555</v>
      </c>
      <c r="U208" t="n">
        <v>3.261212146</v>
      </c>
      <c r="V208" t="n">
        <v>2.74666242</v>
      </c>
      <c r="X208" t="n">
        <v>2.686900661</v>
      </c>
      <c r="Y208" t="n">
        <v>2.807237979</v>
      </c>
      <c r="Z208" t="n">
        <v>3.347565152</v>
      </c>
      <c r="AA208" t="n">
        <v>6.20471</v>
      </c>
      <c r="AB208" t="n">
        <v>5.966093959</v>
      </c>
      <c r="AC208" t="n">
        <v>10.565392908</v>
      </c>
      <c r="AD208" t="n">
        <v>3.341054771</v>
      </c>
      <c r="AE208" t="n">
        <v>-0.497494914</v>
      </c>
      <c r="AF208" t="n">
        <v>-0.684045067</v>
      </c>
      <c r="AG208" t="n">
        <v>-3.60860654</v>
      </c>
      <c r="AH208" t="n">
        <v>7.213415327</v>
      </c>
      <c r="AI208" t="n">
        <v>1.572739888</v>
      </c>
      <c r="AJ208" t="n">
        <v>2.307175445</v>
      </c>
      <c r="AK208" t="n">
        <v>3.887741933</v>
      </c>
      <c r="AL208" t="n">
        <v>0.7902903529999999</v>
      </c>
      <c r="AM208" t="n">
        <v>1.036070025</v>
      </c>
      <c r="AN208" t="n">
        <v>2.472114573</v>
      </c>
      <c r="AO208" t="n">
        <v>3.584604088</v>
      </c>
      <c r="AP208" t="n">
        <v>4.931888145</v>
      </c>
      <c r="AR208" t="n">
        <v>8.544941828000001</v>
      </c>
      <c r="AS208" t="n">
        <v>3.001034084</v>
      </c>
      <c r="AT208" t="n">
        <v>3.508671079</v>
      </c>
      <c r="AV208" t="n">
        <v>4.879540776</v>
      </c>
      <c r="AW208" t="n">
        <v>0.281043355</v>
      </c>
    </row>
    <row r="209">
      <c r="A209" t="inlineStr">
        <is>
          <t>1999-Q1</t>
        </is>
      </c>
      <c r="B209" s="87" t="n">
        <v>36251</v>
      </c>
      <c r="C209" t="n">
        <v>-2.176492064</v>
      </c>
      <c r="D209" t="n">
        <v>5.144222487</v>
      </c>
      <c r="E209" t="n">
        <v>2.802380423</v>
      </c>
      <c r="F209" t="n">
        <v>1.904799309</v>
      </c>
      <c r="G209" t="n">
        <v>0.806933002</v>
      </c>
      <c r="H209" t="n">
        <v>4.194104167</v>
      </c>
      <c r="I209" t="n">
        <v>0.980938477</v>
      </c>
      <c r="J209" t="n">
        <v>-2.345096542</v>
      </c>
      <c r="K209" t="n">
        <v>8.9</v>
      </c>
      <c r="L209" t="n">
        <v>0.389752585</v>
      </c>
      <c r="M209" t="n">
        <v>0.781503637</v>
      </c>
      <c r="N209" t="n">
        <v>2.31105754</v>
      </c>
      <c r="O209" t="n">
        <v>2.201976892</v>
      </c>
      <c r="P209" t="n">
        <v>4.235197998</v>
      </c>
      <c r="Q209" t="n">
        <v>-3.214105644</v>
      </c>
      <c r="R209" t="n">
        <v>2.195719511</v>
      </c>
      <c r="T209" t="n">
        <v>5.934262693</v>
      </c>
      <c r="U209" t="n">
        <v>2.917935161</v>
      </c>
      <c r="V209" t="n">
        <v>2.814456738</v>
      </c>
      <c r="X209" t="n">
        <v>2.595865531</v>
      </c>
      <c r="Y209" t="n">
        <v>2.361704355</v>
      </c>
      <c r="Z209" t="n">
        <v>2.542323756</v>
      </c>
      <c r="AA209" t="n">
        <v>6.19852</v>
      </c>
      <c r="AB209" t="n">
        <v>9.267591113</v>
      </c>
      <c r="AC209" t="n">
        <v>13.130337029</v>
      </c>
      <c r="AD209" t="n">
        <v>0.974113499</v>
      </c>
      <c r="AE209" t="n">
        <v>0.836750988</v>
      </c>
      <c r="AF209" t="n">
        <v>-0.840349148</v>
      </c>
      <c r="AG209" t="n">
        <v>6.583397539</v>
      </c>
      <c r="AH209" t="n">
        <v>8.987914550999999</v>
      </c>
      <c r="AI209" t="n">
        <v>-0.610116429</v>
      </c>
      <c r="AJ209" t="n">
        <v>2.400965429</v>
      </c>
      <c r="AK209" t="n">
        <v>4.213417</v>
      </c>
      <c r="AL209" t="n">
        <v>0.548929035</v>
      </c>
      <c r="AM209" t="n">
        <v>2.814452373</v>
      </c>
      <c r="AN209" t="n">
        <v>2.691228607</v>
      </c>
      <c r="AO209" t="n">
        <v>1.381265466</v>
      </c>
      <c r="AP209" t="n">
        <v>4.809349106</v>
      </c>
      <c r="AR209" t="n">
        <v>3.104377191</v>
      </c>
      <c r="AS209" t="n">
        <v>4.036026006</v>
      </c>
      <c r="AT209" t="n">
        <v>4.254494014</v>
      </c>
      <c r="AU209" t="n">
        <v>-4.090021275</v>
      </c>
      <c r="AV209" t="n">
        <v>4.821857932</v>
      </c>
      <c r="AW209" t="n">
        <v>0.979536196</v>
      </c>
    </row>
    <row r="210">
      <c r="A210" t="inlineStr">
        <is>
          <t>1999-Q2</t>
        </is>
      </c>
      <c r="B210" s="87" t="n">
        <v>36342</v>
      </c>
      <c r="C210" t="n">
        <v>-5.140582449</v>
      </c>
      <c r="D210" t="n">
        <v>4.524858331</v>
      </c>
      <c r="E210" t="n">
        <v>3.015718622</v>
      </c>
      <c r="F210" t="n">
        <v>2.956680585</v>
      </c>
      <c r="G210" t="n">
        <v>-0.567030978</v>
      </c>
      <c r="H210" t="n">
        <v>5.009661214</v>
      </c>
      <c r="I210" t="n">
        <v>0.668622955</v>
      </c>
      <c r="J210" t="n">
        <v>-3.999743151</v>
      </c>
      <c r="K210" t="n">
        <v>7.9</v>
      </c>
      <c r="L210" t="n">
        <v>0.469801119</v>
      </c>
      <c r="M210" t="n">
        <v>1.220940342</v>
      </c>
      <c r="N210" t="n">
        <v>3.621945401</v>
      </c>
      <c r="O210" t="n">
        <v>2.319158426</v>
      </c>
      <c r="P210" t="n">
        <v>4.29500515</v>
      </c>
      <c r="Q210" t="n">
        <v>-1.809843964</v>
      </c>
      <c r="R210" t="n">
        <v>2.371061073</v>
      </c>
      <c r="T210" t="n">
        <v>4.390231672</v>
      </c>
      <c r="U210" t="n">
        <v>2.811587694</v>
      </c>
      <c r="V210" t="n">
        <v>2.945406795</v>
      </c>
      <c r="X210" t="n">
        <v>2.171067645</v>
      </c>
      <c r="Y210" t="n">
        <v>2.86197618</v>
      </c>
      <c r="Z210" t="n">
        <v>2.104492878</v>
      </c>
      <c r="AA210" t="n">
        <v>7.53136</v>
      </c>
      <c r="AB210" t="n">
        <v>8.461195906</v>
      </c>
      <c r="AC210" t="n">
        <v>0.142207928</v>
      </c>
      <c r="AD210" t="n">
        <v>5.145577007</v>
      </c>
      <c r="AE210" t="n">
        <v>0.632990589</v>
      </c>
      <c r="AF210" t="n">
        <v>-0.023716739</v>
      </c>
      <c r="AG210" t="n">
        <v>12.161310752</v>
      </c>
      <c r="AH210" t="n">
        <v>7.563588316</v>
      </c>
      <c r="AI210" t="n">
        <v>-1.685688786</v>
      </c>
      <c r="AJ210" t="n">
        <v>2.272572188</v>
      </c>
      <c r="AK210" t="n">
        <v>4.624423196</v>
      </c>
      <c r="AL210" t="n">
        <v>-0.532298456</v>
      </c>
      <c r="AM210" t="n">
        <v>3.15467854</v>
      </c>
      <c r="AN210" t="n">
        <v>2.969196934</v>
      </c>
      <c r="AO210" t="n">
        <v>4.012286977</v>
      </c>
      <c r="AP210" t="n">
        <v>3.76305499</v>
      </c>
      <c r="AR210" t="n">
        <v>1.338683375</v>
      </c>
      <c r="AS210" t="n">
        <v>7.723274183</v>
      </c>
      <c r="AT210" t="n">
        <v>3.536364442</v>
      </c>
      <c r="AU210" t="n">
        <v>-3.864923672</v>
      </c>
      <c r="AV210" t="n">
        <v>4.727531513</v>
      </c>
      <c r="AW210" t="n">
        <v>1.639478496</v>
      </c>
    </row>
    <row r="211">
      <c r="A211" t="inlineStr">
        <is>
          <t>1999-Q3</t>
        </is>
      </c>
      <c r="B211" s="87" t="n">
        <v>36434</v>
      </c>
      <c r="C211" t="n">
        <v>-5.124917266</v>
      </c>
      <c r="D211" t="n">
        <v>3.771894361</v>
      </c>
      <c r="E211" t="n">
        <v>3.727972036</v>
      </c>
      <c r="F211" t="n">
        <v>4.147585346</v>
      </c>
      <c r="G211" t="n">
        <v>-0.460334059</v>
      </c>
      <c r="H211" t="n">
        <v>5.690714411</v>
      </c>
      <c r="I211" t="n">
        <v>1.14584436</v>
      </c>
      <c r="J211" t="n">
        <v>-1.137973834</v>
      </c>
      <c r="K211" t="n">
        <v>7.6</v>
      </c>
      <c r="L211" t="n">
        <v>1.520286798</v>
      </c>
      <c r="M211" t="n">
        <v>1.884277516</v>
      </c>
      <c r="N211" t="n">
        <v>2.381316969</v>
      </c>
      <c r="O211" t="n">
        <v>2.888593062</v>
      </c>
      <c r="P211" t="n">
        <v>4.69249431</v>
      </c>
      <c r="Q211" t="n">
        <v>-0.696146449</v>
      </c>
      <c r="R211" t="n">
        <v>2.906349624</v>
      </c>
      <c r="T211" t="n">
        <v>3.644917667</v>
      </c>
      <c r="U211" t="n">
        <v>3.360034558</v>
      </c>
      <c r="V211" t="n">
        <v>3.315935057</v>
      </c>
      <c r="X211" t="n">
        <v>3.261680731</v>
      </c>
      <c r="Y211" t="n">
        <v>2.896443297</v>
      </c>
      <c r="Z211" t="n">
        <v>3.04147059</v>
      </c>
      <c r="AA211" t="n">
        <v>6.92997</v>
      </c>
      <c r="AB211" t="n">
        <v>8.569872321</v>
      </c>
      <c r="AC211" t="n">
        <v>1.247165969</v>
      </c>
      <c r="AD211" t="n">
        <v>4.595801926</v>
      </c>
      <c r="AE211" t="n">
        <v>1.364548648</v>
      </c>
      <c r="AF211" t="n">
        <v>0.325941511</v>
      </c>
      <c r="AG211" t="n">
        <v>13.301165229</v>
      </c>
      <c r="AH211" t="n">
        <v>8.647590941000001</v>
      </c>
      <c r="AI211" t="n">
        <v>2.76484054</v>
      </c>
      <c r="AJ211" t="n">
        <v>2.739787432</v>
      </c>
      <c r="AK211" t="n">
        <v>5.167646605</v>
      </c>
      <c r="AL211" t="n">
        <v>3.365528578</v>
      </c>
      <c r="AM211" t="n">
        <v>5.945934267</v>
      </c>
      <c r="AN211" t="n">
        <v>3.429668047</v>
      </c>
      <c r="AO211" t="n">
        <v>5.424282293</v>
      </c>
      <c r="AP211" t="n">
        <v>3.631586651</v>
      </c>
      <c r="AR211" t="n">
        <v>1.53597906</v>
      </c>
      <c r="AS211" t="n">
        <v>4.029228356</v>
      </c>
      <c r="AT211" t="n">
        <v>3.772483766</v>
      </c>
      <c r="AU211" t="n">
        <v>-4.137498025</v>
      </c>
      <c r="AV211" t="n">
        <v>4.800205237</v>
      </c>
      <c r="AW211" t="n">
        <v>2.974826457</v>
      </c>
    </row>
    <row r="212">
      <c r="A212" t="inlineStr">
        <is>
          <t>1999-Q4</t>
        </is>
      </c>
      <c r="B212" s="87" t="n">
        <v>36526</v>
      </c>
      <c r="C212" t="n">
        <v>-1.014421187</v>
      </c>
      <c r="D212" t="n">
        <v>3.981283125</v>
      </c>
      <c r="E212" t="n">
        <v>3.912393851</v>
      </c>
      <c r="F212" t="n">
        <v>5.145646191</v>
      </c>
      <c r="G212" t="n">
        <v>2.146137339</v>
      </c>
      <c r="H212" t="n">
        <v>5.738706566</v>
      </c>
      <c r="I212" t="n">
        <v>3.922264136</v>
      </c>
      <c r="J212" t="n">
        <v>4.746771837</v>
      </c>
      <c r="K212" t="n">
        <v>6.7</v>
      </c>
      <c r="L212" t="n">
        <v>2.488744304</v>
      </c>
      <c r="M212" t="n">
        <v>3.112604617</v>
      </c>
      <c r="N212" t="n">
        <v>3.481498563</v>
      </c>
      <c r="O212" t="n">
        <v>3.926451125</v>
      </c>
      <c r="P212" t="n">
        <v>4.729579291</v>
      </c>
      <c r="Q212" t="n">
        <v>3.765004515</v>
      </c>
      <c r="R212" t="n">
        <v>3.948406356</v>
      </c>
      <c r="T212" t="n">
        <v>3.610436149</v>
      </c>
      <c r="U212" t="n">
        <v>4.011202289</v>
      </c>
      <c r="V212" t="n">
        <v>3.587226214</v>
      </c>
      <c r="X212" t="n">
        <v>3.915956025</v>
      </c>
      <c r="Y212" t="n">
        <v>3.724339464</v>
      </c>
      <c r="Z212" t="n">
        <v>4.14525372</v>
      </c>
      <c r="AA212" t="n">
        <v>7.28888</v>
      </c>
      <c r="AB212" t="n">
        <v>14.068412661</v>
      </c>
      <c r="AC212" t="n">
        <v>2.493294406</v>
      </c>
      <c r="AD212" t="n">
        <v>5.706024954</v>
      </c>
      <c r="AE212" t="n">
        <v>3.456481319</v>
      </c>
      <c r="AF212" t="n">
        <v>-0.44144726</v>
      </c>
      <c r="AG212" t="n">
        <v>13.732506182</v>
      </c>
      <c r="AH212" t="n">
        <v>7.541269504</v>
      </c>
      <c r="AI212" t="n">
        <v>8.975076575999999</v>
      </c>
      <c r="AJ212" t="n">
        <v>3.543927829</v>
      </c>
      <c r="AK212" t="n">
        <v>5.68013208</v>
      </c>
      <c r="AL212" t="n">
        <v>4.608690002</v>
      </c>
      <c r="AM212" t="n">
        <v>6.166146738</v>
      </c>
      <c r="AN212" t="n">
        <v>3.92287558</v>
      </c>
      <c r="AO212" t="n">
        <v>7.256674333</v>
      </c>
      <c r="AP212" t="n">
        <v>3.447603511</v>
      </c>
      <c r="AR212" t="n">
        <v>-5.997217872</v>
      </c>
      <c r="AS212" t="n">
        <v>5.054276227</v>
      </c>
      <c r="AT212" t="n">
        <v>4.507405266</v>
      </c>
      <c r="AU212" t="n">
        <v>-1.017626507</v>
      </c>
      <c r="AV212" t="n">
        <v>4.82762665</v>
      </c>
      <c r="AW212" t="n">
        <v>4.007388325</v>
      </c>
    </row>
    <row r="213">
      <c r="A213" t="inlineStr">
        <is>
          <t>2000-Q1</t>
        </is>
      </c>
      <c r="B213" s="87" t="n">
        <v>36617</v>
      </c>
      <c r="C213" t="n">
        <v>-0.106447324</v>
      </c>
      <c r="D213" t="n">
        <v>3.629155773</v>
      </c>
      <c r="E213" t="n">
        <v>4.363269692</v>
      </c>
      <c r="F213" t="n">
        <v>4.798242571</v>
      </c>
      <c r="G213" t="n">
        <v>2.883701206</v>
      </c>
      <c r="H213" t="n">
        <v>5.516373336</v>
      </c>
      <c r="I213" t="n">
        <v>4.524231357</v>
      </c>
      <c r="J213" t="n">
        <v>5.470718815</v>
      </c>
      <c r="K213" t="n">
        <v>8.699999999999999</v>
      </c>
      <c r="L213" t="n">
        <v>3.786894275</v>
      </c>
      <c r="M213" t="n">
        <v>3.390831342</v>
      </c>
      <c r="N213" t="n">
        <v>3.552324637</v>
      </c>
      <c r="O213" t="n">
        <v>4.154910082</v>
      </c>
      <c r="P213" t="n">
        <v>5.352987572</v>
      </c>
      <c r="Q213" t="n">
        <v>8.528626125000001</v>
      </c>
      <c r="R213" t="n">
        <v>4.166424166</v>
      </c>
      <c r="T213" t="n">
        <v>4.969214053</v>
      </c>
      <c r="U213" t="n">
        <v>4.428531025</v>
      </c>
      <c r="V213" t="n">
        <v>3.932853957</v>
      </c>
      <c r="X213" t="n">
        <v>4.315425993</v>
      </c>
      <c r="Y213" t="n">
        <v>3.330421774</v>
      </c>
      <c r="Z213" t="n">
        <v>4.933587382</v>
      </c>
      <c r="AA213" t="n">
        <v>7.79075</v>
      </c>
      <c r="AB213" t="n">
        <v>8.510489567</v>
      </c>
      <c r="AC213" t="n">
        <v>2.450192987</v>
      </c>
      <c r="AD213" t="n">
        <v>9.03366872</v>
      </c>
      <c r="AE213" t="n">
        <v>3.879919254</v>
      </c>
      <c r="AF213" t="n">
        <v>2.66273411</v>
      </c>
      <c r="AG213" t="n">
        <v>12.474605041</v>
      </c>
      <c r="AH213" t="n">
        <v>10.085298909</v>
      </c>
      <c r="AI213" t="n">
        <v>6.232969711</v>
      </c>
      <c r="AJ213" t="n">
        <v>4.429808789</v>
      </c>
      <c r="AK213" t="n">
        <v>4.59487388</v>
      </c>
      <c r="AL213" t="n">
        <v>5.392929627</v>
      </c>
      <c r="AM213" t="n">
        <v>6.447941364</v>
      </c>
      <c r="AN213" t="n">
        <v>4.295279104</v>
      </c>
      <c r="AO213" t="n">
        <v>6.264859821</v>
      </c>
      <c r="AP213" t="n">
        <v>4.36261334</v>
      </c>
      <c r="AR213" t="n">
        <v>-1.717387611</v>
      </c>
      <c r="AS213" t="n">
        <v>4.439305858</v>
      </c>
      <c r="AT213" t="n">
        <v>4.037058905</v>
      </c>
      <c r="AU213" t="n">
        <v>2.265206291</v>
      </c>
      <c r="AV213" t="n">
        <v>4.225955859</v>
      </c>
      <c r="AW213" t="n">
        <v>4.221428472</v>
      </c>
    </row>
    <row r="214">
      <c r="A214" t="inlineStr">
        <is>
          <t>2000-Q2</t>
        </is>
      </c>
      <c r="B214" s="87" t="n">
        <v>36708</v>
      </c>
      <c r="C214" t="n">
        <v>-0.59039067</v>
      </c>
      <c r="D214" t="n">
        <v>4.263651211</v>
      </c>
      <c r="E214" t="n">
        <v>3.688748328</v>
      </c>
      <c r="F214" t="n">
        <v>4.127696246</v>
      </c>
      <c r="G214" t="n">
        <v>4.08802929</v>
      </c>
      <c r="H214" t="n">
        <v>5.88475154</v>
      </c>
      <c r="I214" t="n">
        <v>4.260350807</v>
      </c>
      <c r="J214" t="n">
        <v>5.163414822</v>
      </c>
      <c r="K214" t="n">
        <v>9.1</v>
      </c>
      <c r="L214" t="n">
        <v>4.507332425</v>
      </c>
      <c r="M214" t="n">
        <v>4.24010877</v>
      </c>
      <c r="N214" t="n">
        <v>4.193146465</v>
      </c>
      <c r="O214" t="n">
        <v>4.507370506</v>
      </c>
      <c r="P214" t="n">
        <v>5.421931736</v>
      </c>
      <c r="Q214" t="n">
        <v>10.278861027</v>
      </c>
      <c r="R214" t="n">
        <v>4.549785664</v>
      </c>
      <c r="T214" t="n">
        <v>5.219166567</v>
      </c>
      <c r="U214" t="n">
        <v>4.597302088</v>
      </c>
      <c r="V214" t="n">
        <v>4.611194785</v>
      </c>
      <c r="X214" t="n">
        <v>4.675778783</v>
      </c>
      <c r="Y214" t="n">
        <v>3.318944495</v>
      </c>
      <c r="Z214" t="n">
        <v>4.98225375</v>
      </c>
      <c r="AA214" t="n">
        <v>5.21917</v>
      </c>
      <c r="AB214" t="n">
        <v>10.364490657</v>
      </c>
      <c r="AC214" t="n">
        <v>6.166681994</v>
      </c>
      <c r="AD214" t="n">
        <v>7.873969455</v>
      </c>
      <c r="AE214" t="n">
        <v>4.351585247</v>
      </c>
      <c r="AF214" t="n">
        <v>2.761449558</v>
      </c>
      <c r="AG214" t="n">
        <v>9.187473677</v>
      </c>
      <c r="AH214" t="n">
        <v>6.348169711</v>
      </c>
      <c r="AI214" t="n">
        <v>7.596413279</v>
      </c>
      <c r="AJ214" t="n">
        <v>5.385770769</v>
      </c>
      <c r="AK214" t="n">
        <v>4.598909197</v>
      </c>
      <c r="AL214" t="n">
        <v>3.823557163</v>
      </c>
      <c r="AM214" t="n">
        <v>5.625922652</v>
      </c>
      <c r="AN214" t="n">
        <v>4.833618118</v>
      </c>
      <c r="AO214" t="n">
        <v>5.10516841</v>
      </c>
      <c r="AP214" t="n">
        <v>3.271881856</v>
      </c>
      <c r="AR214" t="n">
        <v>0.969890695</v>
      </c>
      <c r="AS214" t="n">
        <v>1.585764955</v>
      </c>
      <c r="AT214" t="n">
        <v>5.952211184</v>
      </c>
      <c r="AU214" t="n">
        <v>6.849094604</v>
      </c>
      <c r="AV214" t="n">
        <v>5.244682769</v>
      </c>
      <c r="AW214" t="n">
        <v>4.349746582</v>
      </c>
    </row>
    <row r="215">
      <c r="A215" t="inlineStr">
        <is>
          <t>2000-Q3</t>
        </is>
      </c>
      <c r="B215" s="87" t="n">
        <v>36800</v>
      </c>
      <c r="C215" t="n">
        <v>-0.557525176</v>
      </c>
      <c r="D215" t="n">
        <v>3.327682486</v>
      </c>
      <c r="E215" t="n">
        <v>2.813851352</v>
      </c>
      <c r="F215" t="n">
        <v>3.112976565</v>
      </c>
      <c r="G215" t="n">
        <v>5.138599793</v>
      </c>
      <c r="H215" t="n">
        <v>5.313760943</v>
      </c>
      <c r="I215" t="n">
        <v>4.46981649</v>
      </c>
      <c r="J215" t="n">
        <v>4.137393538</v>
      </c>
      <c r="K215" t="n">
        <v>8.800000000000001</v>
      </c>
      <c r="L215" t="n">
        <v>4.892675711</v>
      </c>
      <c r="M215" t="n">
        <v>3.023594733</v>
      </c>
      <c r="N215" t="n">
        <v>3.839186166</v>
      </c>
      <c r="O215" t="n">
        <v>3.873083884</v>
      </c>
      <c r="P215" t="n">
        <v>5.161589328</v>
      </c>
      <c r="Q215" t="n">
        <v>10.499845089</v>
      </c>
      <c r="R215" t="n">
        <v>3.925872345</v>
      </c>
      <c r="T215" t="n">
        <v>6.300021502</v>
      </c>
      <c r="U215" t="n">
        <v>3.975832463</v>
      </c>
      <c r="V215" t="n">
        <v>3.618410753</v>
      </c>
      <c r="X215" t="n">
        <v>3.424487919</v>
      </c>
      <c r="Y215" t="n">
        <v>4.848009813</v>
      </c>
      <c r="Z215" t="n">
        <v>4.014420201</v>
      </c>
      <c r="AA215" t="n">
        <v>5.30476</v>
      </c>
      <c r="AB215" t="n">
        <v>8.617758115999999</v>
      </c>
      <c r="AC215" t="n">
        <v>8.535522330999999</v>
      </c>
      <c r="AD215" t="n">
        <v>10.688439462</v>
      </c>
      <c r="AE215" t="n">
        <v>4.068438222</v>
      </c>
      <c r="AF215" t="n">
        <v>2.242779557</v>
      </c>
      <c r="AG215" t="n">
        <v>9.159237157</v>
      </c>
      <c r="AH215" t="n">
        <v>5.176510222</v>
      </c>
      <c r="AI215" t="n">
        <v>7.222554203</v>
      </c>
      <c r="AJ215" t="n">
        <v>5.431823544</v>
      </c>
      <c r="AK215" t="n">
        <v>4.029299506</v>
      </c>
      <c r="AL215" t="n">
        <v>2.720635596</v>
      </c>
      <c r="AM215" t="n">
        <v>3.147494723</v>
      </c>
      <c r="AN215" t="n">
        <v>4.113518778</v>
      </c>
      <c r="AO215" t="n">
        <v>3.228054332</v>
      </c>
      <c r="AP215" t="n">
        <v>3.767341175</v>
      </c>
      <c r="AR215" t="n">
        <v>2.221834096</v>
      </c>
      <c r="AS215" t="n">
        <v>5.493547976</v>
      </c>
      <c r="AT215" t="n">
        <v>5.97620495</v>
      </c>
      <c r="AU215" t="n">
        <v>10.300768391</v>
      </c>
      <c r="AV215" t="n">
        <v>3.974084496</v>
      </c>
      <c r="AW215" t="n">
        <v>4.244972525</v>
      </c>
    </row>
    <row r="216">
      <c r="A216" t="inlineStr">
        <is>
          <t>2000-Q4</t>
        </is>
      </c>
      <c r="B216" s="87" t="n">
        <v>36892</v>
      </c>
      <c r="C216" t="n">
        <v>-1.893523605</v>
      </c>
      <c r="D216" t="n">
        <v>1.234410265</v>
      </c>
      <c r="E216" t="n">
        <v>3.840717246</v>
      </c>
      <c r="F216" t="n">
        <v>2.902469136</v>
      </c>
      <c r="G216" t="n">
        <v>4.95726446</v>
      </c>
      <c r="H216" t="n">
        <v>4.030670264</v>
      </c>
      <c r="I216" t="n">
        <v>3.068143538</v>
      </c>
      <c r="J216" t="n">
        <v>3.133435319</v>
      </c>
      <c r="K216" t="n">
        <v>7.5</v>
      </c>
      <c r="L216" t="n">
        <v>4.227882244</v>
      </c>
      <c r="M216" t="n">
        <v>1.925958447</v>
      </c>
      <c r="N216" t="n">
        <v>3.408058061</v>
      </c>
      <c r="O216" t="n">
        <v>3.377636482</v>
      </c>
      <c r="P216" t="n">
        <v>5.053621203</v>
      </c>
      <c r="Q216" t="n">
        <v>10.133565414</v>
      </c>
      <c r="R216" t="n">
        <v>3.407836268</v>
      </c>
      <c r="T216" t="n">
        <v>6.521533141</v>
      </c>
      <c r="U216" t="n">
        <v>3.378702281</v>
      </c>
      <c r="V216" t="n">
        <v>2.961118541</v>
      </c>
      <c r="X216" t="n">
        <v>2.32006242</v>
      </c>
      <c r="Y216" t="n">
        <v>4.662254616</v>
      </c>
      <c r="Z216" t="n">
        <v>4.719708081</v>
      </c>
      <c r="AA216" t="n">
        <v>3.63806</v>
      </c>
      <c r="AB216" t="n">
        <v>7.17345437</v>
      </c>
      <c r="AC216" t="n">
        <v>2.937174607</v>
      </c>
      <c r="AD216" t="n">
        <v>8.453917070999999</v>
      </c>
      <c r="AE216" t="n">
        <v>3.947553038</v>
      </c>
      <c r="AF216" t="n">
        <v>3.199096151</v>
      </c>
      <c r="AG216" t="n">
        <v>5.752766405</v>
      </c>
      <c r="AH216" t="n">
        <v>6.228152058</v>
      </c>
      <c r="AI216" t="n">
        <v>2.437613653</v>
      </c>
      <c r="AJ216" t="n">
        <v>3.569486833</v>
      </c>
      <c r="AK216" t="n">
        <v>3.919383045</v>
      </c>
      <c r="AL216" t="n">
        <v>1.023131807</v>
      </c>
      <c r="AM216" t="n">
        <v>2.102241362</v>
      </c>
      <c r="AN216" t="n">
        <v>3.347188116</v>
      </c>
      <c r="AO216" t="n">
        <v>4.218750539</v>
      </c>
      <c r="AP216" t="n">
        <v>3.865423683</v>
      </c>
      <c r="AR216" t="n">
        <v>3.270736555</v>
      </c>
      <c r="AS216" t="n">
        <v>4.380027268</v>
      </c>
      <c r="AT216" t="n">
        <v>3.697530752</v>
      </c>
      <c r="AU216" t="n">
        <v>8.639856942</v>
      </c>
      <c r="AV216" t="n">
        <v>2.901620472</v>
      </c>
      <c r="AW216" t="n">
        <v>3.988198371</v>
      </c>
    </row>
    <row r="217">
      <c r="A217" t="inlineStr">
        <is>
          <t>2001-Q1</t>
        </is>
      </c>
      <c r="B217" s="87" t="n">
        <v>36982</v>
      </c>
      <c r="C217" t="n">
        <v>-1.397726021</v>
      </c>
      <c r="D217" t="n">
        <v>1.871500603</v>
      </c>
      <c r="E217" t="n">
        <v>2.320940779</v>
      </c>
      <c r="F217" t="n">
        <v>2.233500049</v>
      </c>
      <c r="G217" t="n">
        <v>4.253811622</v>
      </c>
      <c r="H217" t="n">
        <v>2.934982125</v>
      </c>
      <c r="I217" t="n">
        <v>2.329370434</v>
      </c>
      <c r="J217" t="n">
        <v>3.909925092</v>
      </c>
      <c r="K217" t="n">
        <v>9.5</v>
      </c>
      <c r="L217" t="n">
        <v>4.017827968</v>
      </c>
      <c r="M217" t="n">
        <v>2.508870736</v>
      </c>
      <c r="N217" t="n">
        <v>1.297581844</v>
      </c>
      <c r="O217" t="n">
        <v>3.184183042</v>
      </c>
      <c r="P217" t="n">
        <v>4.497433227</v>
      </c>
      <c r="Q217" t="n">
        <v>7.634577085</v>
      </c>
      <c r="R217" t="n">
        <v>3.15445241</v>
      </c>
      <c r="T217" t="n">
        <v>3.942677064</v>
      </c>
      <c r="U217" t="n">
        <v>3.004006971</v>
      </c>
      <c r="V217" t="n">
        <v>2.42362437</v>
      </c>
      <c r="X217" t="n">
        <v>2.187060305</v>
      </c>
      <c r="Y217" t="n">
        <v>5.557085016</v>
      </c>
      <c r="Z217" t="n">
        <v>4.578976567</v>
      </c>
      <c r="AA217" t="n">
        <v>2.0557</v>
      </c>
      <c r="AB217" t="n">
        <v>8.024988371999999</v>
      </c>
      <c r="AC217" t="n">
        <v>3.236197523</v>
      </c>
      <c r="AD217" t="n">
        <v>4.842186723</v>
      </c>
      <c r="AE217" t="n">
        <v>3.581152634</v>
      </c>
      <c r="AF217" t="n">
        <v>2.229648921</v>
      </c>
      <c r="AG217" t="n">
        <v>5.057922525</v>
      </c>
      <c r="AH217" t="n">
        <v>2.648294948</v>
      </c>
      <c r="AI217" t="n">
        <v>3.972394052</v>
      </c>
      <c r="AJ217" t="n">
        <v>1.694244523</v>
      </c>
      <c r="AK217" t="n">
        <v>3.38834738</v>
      </c>
      <c r="AL217" t="n">
        <v>0.716239133</v>
      </c>
      <c r="AM217" t="n">
        <v>0.989313618</v>
      </c>
      <c r="AN217" t="n">
        <v>2.595906581</v>
      </c>
      <c r="AO217" t="n">
        <v>3.16538471</v>
      </c>
      <c r="AP217" t="n">
        <v>1.28655306</v>
      </c>
      <c r="AR217" t="n">
        <v>2.908315331</v>
      </c>
      <c r="AS217" t="n">
        <v>4.602326766</v>
      </c>
      <c r="AT217" t="n">
        <v>3.394949151</v>
      </c>
      <c r="AU217" t="n">
        <v>1.473860968</v>
      </c>
      <c r="AV217" t="n">
        <v>2.195542847</v>
      </c>
      <c r="AW217" t="n">
        <v>3.418422297</v>
      </c>
    </row>
    <row r="218">
      <c r="A218" t="inlineStr">
        <is>
          <t>2001-Q2</t>
        </is>
      </c>
      <c r="B218" s="87" t="n">
        <v>37073</v>
      </c>
      <c r="C218" t="n">
        <v>-0.616979289</v>
      </c>
      <c r="D218" t="n">
        <v>1.74550259</v>
      </c>
      <c r="E218" t="n">
        <v>1.427896793</v>
      </c>
      <c r="F218" t="n">
        <v>1.521366065</v>
      </c>
      <c r="G218" t="n">
        <v>2.29400222</v>
      </c>
      <c r="H218" t="n">
        <v>2.000024935</v>
      </c>
      <c r="I218" t="n">
        <v>2.464105512</v>
      </c>
      <c r="J218" t="n">
        <v>4.749313346</v>
      </c>
      <c r="K218" t="n">
        <v>8.6</v>
      </c>
      <c r="L218" t="n">
        <v>3.229332402</v>
      </c>
      <c r="M218" t="n">
        <v>1.614648595</v>
      </c>
      <c r="N218" t="n">
        <v>0.646322458</v>
      </c>
      <c r="O218" t="n">
        <v>2.343826419</v>
      </c>
      <c r="P218" t="n">
        <v>3.967871265</v>
      </c>
      <c r="Q218" t="n">
        <v>5.135468321</v>
      </c>
      <c r="R218" t="n">
        <v>2.258177598</v>
      </c>
      <c r="T218" t="n">
        <v>3.271092038</v>
      </c>
      <c r="U218" t="n">
        <v>2.186958701</v>
      </c>
      <c r="V218" t="n">
        <v>1.352992036</v>
      </c>
      <c r="X218" t="n">
        <v>1.997150082</v>
      </c>
      <c r="Y218" t="n">
        <v>4.317066945</v>
      </c>
      <c r="Z218" t="n">
        <v>4.326832446</v>
      </c>
      <c r="AA218" t="n">
        <v>4.03951</v>
      </c>
      <c r="AB218" t="n">
        <v>6.286376254</v>
      </c>
      <c r="AC218" t="n">
        <v>5.703597801</v>
      </c>
      <c r="AD218" t="n">
        <v>1.132283102</v>
      </c>
      <c r="AE218" t="n">
        <v>2.339788366</v>
      </c>
      <c r="AF218" t="n">
        <v>0.983897409</v>
      </c>
      <c r="AG218" t="n">
        <v>5.023056985</v>
      </c>
      <c r="AH218" t="n">
        <v>2.714056602</v>
      </c>
      <c r="AI218" t="n">
        <v>8.880637245999999</v>
      </c>
      <c r="AJ218" t="n">
        <v>-0.362475336</v>
      </c>
      <c r="AK218" t="n">
        <v>2.763484672</v>
      </c>
      <c r="AL218" t="n">
        <v>2.010408746</v>
      </c>
      <c r="AM218" t="n">
        <v>2.377180298</v>
      </c>
      <c r="AN218" t="n">
        <v>1.465570225</v>
      </c>
      <c r="AO218" t="n">
        <v>1.475594534</v>
      </c>
      <c r="AP218" t="n">
        <v>2.809783105</v>
      </c>
      <c r="AR218" t="n">
        <v>2.972357697</v>
      </c>
      <c r="AS218" t="n">
        <v>3.419325726</v>
      </c>
      <c r="AT218" t="n">
        <v>0.8658474779999999</v>
      </c>
      <c r="AU218" t="n">
        <v>-7.06006791</v>
      </c>
      <c r="AV218" t="n">
        <v>0.9919329569999999</v>
      </c>
      <c r="AW218" t="n">
        <v>2.987731083</v>
      </c>
    </row>
    <row r="219">
      <c r="A219" t="inlineStr">
        <is>
          <t>2001-Q3</t>
        </is>
      </c>
      <c r="B219" s="87" t="n">
        <v>37165</v>
      </c>
      <c r="C219" t="n">
        <v>-4.991747166</v>
      </c>
      <c r="D219" t="n">
        <v>2.707935624</v>
      </c>
      <c r="E219" t="n">
        <v>1.029870939</v>
      </c>
      <c r="F219" t="n">
        <v>0.860147315</v>
      </c>
      <c r="G219" t="n">
        <v>0.577316268</v>
      </c>
      <c r="H219" t="n">
        <v>0.905883926</v>
      </c>
      <c r="I219" t="n">
        <v>1.510846558</v>
      </c>
      <c r="J219" t="n">
        <v>2.548029688</v>
      </c>
      <c r="K219" t="n">
        <v>8</v>
      </c>
      <c r="L219" t="n">
        <v>2.349840796</v>
      </c>
      <c r="M219" t="n">
        <v>1.473312741</v>
      </c>
      <c r="N219" t="n">
        <v>1.270204581</v>
      </c>
      <c r="O219" t="n">
        <v>1.89554422</v>
      </c>
      <c r="P219" t="n">
        <v>3.816464409</v>
      </c>
      <c r="Q219" t="n">
        <v>5.998784838</v>
      </c>
      <c r="R219" t="n">
        <v>1.877922966</v>
      </c>
      <c r="T219" t="n">
        <v>2.321661348</v>
      </c>
      <c r="U219" t="n">
        <v>1.832166793</v>
      </c>
      <c r="V219" t="n">
        <v>0.787994651</v>
      </c>
      <c r="X219" t="n">
        <v>2.084341176</v>
      </c>
      <c r="Y219" t="n">
        <v>4.064341291</v>
      </c>
      <c r="Z219" t="n">
        <v>4.367790257</v>
      </c>
      <c r="AA219" t="n">
        <v>3.94624</v>
      </c>
      <c r="AB219" t="n">
        <v>3.72228251</v>
      </c>
      <c r="AC219" t="n">
        <v>0.008066897</v>
      </c>
      <c r="AD219" t="n">
        <v>-2.899958952</v>
      </c>
      <c r="AE219" t="n">
        <v>1.426085419</v>
      </c>
      <c r="AF219" t="n">
        <v>-0.141895355</v>
      </c>
      <c r="AG219" t="n">
        <v>3.587655198</v>
      </c>
      <c r="AH219" t="n">
        <v>2.40733446</v>
      </c>
      <c r="AI219" t="n">
        <v>3.385232379</v>
      </c>
      <c r="AJ219" t="n">
        <v>-1.152979787</v>
      </c>
      <c r="AK219" t="n">
        <v>2.099586695</v>
      </c>
      <c r="AL219" t="n">
        <v>2.273552328</v>
      </c>
      <c r="AM219" t="n">
        <v>2.753237046</v>
      </c>
      <c r="AN219" t="n">
        <v>0.904695753</v>
      </c>
      <c r="AO219" t="n">
        <v>1.875577048</v>
      </c>
      <c r="AP219" t="n">
        <v>1.473782928</v>
      </c>
      <c r="AR219" t="n">
        <v>2.747117542</v>
      </c>
      <c r="AS219" t="n">
        <v>2.835296618</v>
      </c>
      <c r="AT219" t="n">
        <v>0.460885146</v>
      </c>
      <c r="AU219" t="n">
        <v>-7.277589154</v>
      </c>
      <c r="AV219" t="n">
        <v>0.487352367</v>
      </c>
      <c r="AW219" t="n">
        <v>2.248753055</v>
      </c>
    </row>
    <row r="220">
      <c r="A220" t="inlineStr">
        <is>
          <t>2001-Q4</t>
        </is>
      </c>
      <c r="B220" s="87" t="n">
        <v>37257</v>
      </c>
      <c r="C220" t="n">
        <v>-10.676443041</v>
      </c>
      <c r="D220" t="n">
        <v>4.324171385</v>
      </c>
      <c r="E220" t="n">
        <v>0.026194513</v>
      </c>
      <c r="F220" t="n">
        <v>-0.215954218</v>
      </c>
      <c r="G220" t="n">
        <v>-0.919462856</v>
      </c>
      <c r="H220" t="n">
        <v>1.346715383</v>
      </c>
      <c r="I220" t="n">
        <v>0.297796233</v>
      </c>
      <c r="J220" t="n">
        <v>2.228416214</v>
      </c>
      <c r="K220" t="n">
        <v>7.5</v>
      </c>
      <c r="L220" t="n">
        <v>2.551222736</v>
      </c>
      <c r="M220" t="n">
        <v>1.667410094</v>
      </c>
      <c r="N220" t="n">
        <v>0.09178534200000001</v>
      </c>
      <c r="O220" t="n">
        <v>1.339661959</v>
      </c>
      <c r="P220" t="n">
        <v>3.468590213</v>
      </c>
      <c r="Q220" t="n">
        <v>5.187264809</v>
      </c>
      <c r="R220" t="n">
        <v>1.33596128</v>
      </c>
      <c r="T220" t="n">
        <v>0.960704517</v>
      </c>
      <c r="U220" t="n">
        <v>1.029692501</v>
      </c>
      <c r="V220" t="n">
        <v>0.286949727</v>
      </c>
      <c r="X220" t="n">
        <v>2.023096039</v>
      </c>
      <c r="Y220" t="n">
        <v>2.880212644</v>
      </c>
      <c r="Z220" t="n">
        <v>3.233156885</v>
      </c>
      <c r="AA220" t="n">
        <v>6.2882</v>
      </c>
      <c r="AB220" t="n">
        <v>5.022700956</v>
      </c>
      <c r="AC220" t="n">
        <v>7.14886675</v>
      </c>
      <c r="AD220" t="n">
        <v>-3.304167614</v>
      </c>
      <c r="AE220" t="n">
        <v>-0.195295387</v>
      </c>
      <c r="AF220" t="n">
        <v>-1.44030995</v>
      </c>
      <c r="AG220" t="n">
        <v>5.756611965</v>
      </c>
      <c r="AH220" t="n">
        <v>4.473013311</v>
      </c>
      <c r="AI220" t="n">
        <v>8.142610638000001</v>
      </c>
      <c r="AJ220" t="n">
        <v>-0.925984519</v>
      </c>
      <c r="AK220" t="n">
        <v>1.114656486</v>
      </c>
      <c r="AL220" t="n">
        <v>3.121832283</v>
      </c>
      <c r="AM220" t="n">
        <v>4.075308609</v>
      </c>
      <c r="AN220" t="n">
        <v>0.5044597199999999</v>
      </c>
      <c r="AO220" t="n">
        <v>-0.733756628</v>
      </c>
      <c r="AP220" t="n">
        <v>2.209251062</v>
      </c>
      <c r="AR220" t="n">
        <v>4.373815847</v>
      </c>
      <c r="AS220" t="n">
        <v>3.135117983</v>
      </c>
      <c r="AT220" t="n">
        <v>1.618099231</v>
      </c>
      <c r="AU220" t="n">
        <v>-10.129126144</v>
      </c>
      <c r="AV220" t="n">
        <v>0.170642236</v>
      </c>
      <c r="AW220" t="n">
        <v>2.165989875</v>
      </c>
    </row>
    <row r="221">
      <c r="A221" t="inlineStr">
        <is>
          <t>2002-Q1</t>
        </is>
      </c>
      <c r="B221" s="87" t="n">
        <v>37347</v>
      </c>
      <c r="C221" t="n">
        <v>-15.219743824</v>
      </c>
      <c r="D221" t="n">
        <v>4.044698166</v>
      </c>
      <c r="E221" t="n">
        <v>1.234245472</v>
      </c>
      <c r="F221" t="n">
        <v>0.585145927</v>
      </c>
      <c r="G221" t="n">
        <v>0.991357965</v>
      </c>
      <c r="H221" t="n">
        <v>2.309048819</v>
      </c>
      <c r="I221" t="n">
        <v>0.167217074</v>
      </c>
      <c r="J221" t="n">
        <v>2.016226946</v>
      </c>
      <c r="K221" t="n">
        <v>8.9</v>
      </c>
      <c r="L221" t="n">
        <v>1.255544526</v>
      </c>
      <c r="M221" t="n">
        <v>-0.859365479</v>
      </c>
      <c r="N221" t="n">
        <v>1.156465893</v>
      </c>
      <c r="O221" t="n">
        <v>0.408215896</v>
      </c>
      <c r="P221" t="n">
        <v>2.81718344</v>
      </c>
      <c r="Q221" t="n">
        <v>4.413932402</v>
      </c>
      <c r="R221" t="n">
        <v>0.550506585</v>
      </c>
      <c r="T221" t="n">
        <v>1.126430168</v>
      </c>
      <c r="U221" t="n">
        <v>0.85884176</v>
      </c>
      <c r="V221" t="n">
        <v>0.445600062</v>
      </c>
      <c r="X221" t="n">
        <v>1.693117859</v>
      </c>
      <c r="Y221" t="n">
        <v>2.452555275</v>
      </c>
      <c r="Z221" t="n">
        <v>4.789777569</v>
      </c>
      <c r="AA221" t="n">
        <v>6.56987</v>
      </c>
      <c r="AB221" t="n">
        <v>5.334970545</v>
      </c>
      <c r="AC221" t="n">
        <v>0.26552225</v>
      </c>
      <c r="AD221" t="n">
        <v>-1.751837803</v>
      </c>
      <c r="AE221" t="n">
        <v>-0.744919873</v>
      </c>
      <c r="AF221" t="n">
        <v>-2.00159206</v>
      </c>
      <c r="AG221" t="n">
        <v>7.134576542</v>
      </c>
      <c r="AH221" t="n">
        <v>3.226006935</v>
      </c>
      <c r="AI221" t="n">
        <v>5.764942388</v>
      </c>
      <c r="AJ221" t="n">
        <v>-1.623655671</v>
      </c>
      <c r="AK221" t="n">
        <v>0.388732546</v>
      </c>
      <c r="AL221" t="n">
        <v>0.88159529</v>
      </c>
      <c r="AM221" t="n">
        <v>4.63572311</v>
      </c>
      <c r="AN221" t="n">
        <v>0.798056091</v>
      </c>
      <c r="AO221" t="n">
        <v>0.835752063</v>
      </c>
      <c r="AP221" t="n">
        <v>2.712151949</v>
      </c>
      <c r="AR221" t="n">
        <v>3.972498328</v>
      </c>
      <c r="AS221" t="n">
        <v>3.218124368</v>
      </c>
      <c r="AT221" t="n">
        <v>1.092210054</v>
      </c>
      <c r="AU221" t="n">
        <v>-1.695970785</v>
      </c>
      <c r="AV221" t="n">
        <v>1.328812048</v>
      </c>
      <c r="AW221" t="n">
        <v>2.644757559</v>
      </c>
    </row>
    <row r="222">
      <c r="A222" t="inlineStr">
        <is>
          <t>2002-Q2</t>
        </is>
      </c>
      <c r="B222" s="87" t="n">
        <v>37438</v>
      </c>
      <c r="C222" t="n">
        <v>-14.147871056</v>
      </c>
      <c r="D222" t="n">
        <v>4.968623973</v>
      </c>
      <c r="E222" t="n">
        <v>2.001417005</v>
      </c>
      <c r="F222" t="n">
        <v>1.42783499</v>
      </c>
      <c r="G222" t="n">
        <v>2.058281787</v>
      </c>
      <c r="H222" t="n">
        <v>2.635438778</v>
      </c>
      <c r="I222" t="n">
        <v>-0.165005773</v>
      </c>
      <c r="J222" t="n">
        <v>0.968933949</v>
      </c>
      <c r="K222" t="n">
        <v>8.800000000000001</v>
      </c>
      <c r="L222" t="n">
        <v>1.493794132</v>
      </c>
      <c r="M222" t="n">
        <v>-0.360213902</v>
      </c>
      <c r="N222" t="n">
        <v>0.655051924</v>
      </c>
      <c r="O222" t="n">
        <v>0.85696691</v>
      </c>
      <c r="P222" t="n">
        <v>2.894575266</v>
      </c>
      <c r="Q222" t="n">
        <v>7.931210375</v>
      </c>
      <c r="R222" t="n">
        <v>1.032736643</v>
      </c>
      <c r="T222" t="n">
        <v>2.004818638</v>
      </c>
      <c r="U222" t="n">
        <v>1.134503402</v>
      </c>
      <c r="V222" t="n">
        <v>0.853401551</v>
      </c>
      <c r="X222" t="n">
        <v>1.884465006</v>
      </c>
      <c r="Y222" t="n">
        <v>5.022569822</v>
      </c>
      <c r="Z222" t="n">
        <v>4.524127833</v>
      </c>
      <c r="AA222" t="n">
        <v>5.04817</v>
      </c>
      <c r="AB222" t="n">
        <v>4.341125857</v>
      </c>
      <c r="AC222" t="n">
        <v>0.951638529</v>
      </c>
      <c r="AD222" t="n">
        <v>-0.810197159</v>
      </c>
      <c r="AE222" t="n">
        <v>0.056115225</v>
      </c>
      <c r="AF222" t="n">
        <v>-0.460341856</v>
      </c>
      <c r="AG222" t="n">
        <v>7.677398844</v>
      </c>
      <c r="AH222" t="n">
        <v>6.365735177</v>
      </c>
      <c r="AI222" t="n">
        <v>4.918108936</v>
      </c>
      <c r="AJ222" t="n">
        <v>-0.184469003</v>
      </c>
      <c r="AK222" t="n">
        <v>0.231510228</v>
      </c>
      <c r="AL222" t="n">
        <v>3.161011274</v>
      </c>
      <c r="AM222" t="n">
        <v>4.526682367</v>
      </c>
      <c r="AN222" t="n">
        <v>1.460126238</v>
      </c>
      <c r="AO222" t="n">
        <v>2.210853287</v>
      </c>
      <c r="AP222" t="n">
        <v>1.255985013</v>
      </c>
      <c r="AR222" t="n">
        <v>3.924155081</v>
      </c>
      <c r="AS222" t="n">
        <v>2.843929428</v>
      </c>
      <c r="AT222" t="n">
        <v>2.687913151</v>
      </c>
      <c r="AU222" t="n">
        <v>7.767540922</v>
      </c>
      <c r="AV222" t="n">
        <v>1.322883902</v>
      </c>
      <c r="AW222" t="n">
        <v>3.430329068</v>
      </c>
    </row>
    <row r="223">
      <c r="A223" t="inlineStr">
        <is>
          <t>2002-Q3</t>
        </is>
      </c>
      <c r="B223" s="87" t="n">
        <v>37530</v>
      </c>
      <c r="C223" t="n">
        <v>-9.897878081</v>
      </c>
      <c r="D223" t="n">
        <v>4.041128963</v>
      </c>
      <c r="E223" t="n">
        <v>2.303842512</v>
      </c>
      <c r="F223" t="n">
        <v>2.16566171</v>
      </c>
      <c r="G223" t="n">
        <v>3.860205355</v>
      </c>
      <c r="H223" t="n">
        <v>3.592704106</v>
      </c>
      <c r="I223" t="n">
        <v>0.235462251</v>
      </c>
      <c r="J223" t="n">
        <v>2.266307892</v>
      </c>
      <c r="K223" t="n">
        <v>9.6</v>
      </c>
      <c r="L223" t="n">
        <v>1.519330472</v>
      </c>
      <c r="M223" t="n">
        <v>0.290961797</v>
      </c>
      <c r="N223" t="n">
        <v>0.098620025</v>
      </c>
      <c r="O223" t="n">
        <v>1.174860996</v>
      </c>
      <c r="P223" t="n">
        <v>2.572877781</v>
      </c>
      <c r="Q223" t="n">
        <v>7.867074</v>
      </c>
      <c r="R223" t="n">
        <v>1.321151664</v>
      </c>
      <c r="T223" t="n">
        <v>1.126803875</v>
      </c>
      <c r="U223" t="n">
        <v>1.28005732</v>
      </c>
      <c r="V223" t="n">
        <v>1.641876157</v>
      </c>
      <c r="X223" t="n">
        <v>2.121003971</v>
      </c>
      <c r="Y223" t="n">
        <v>3.943039937</v>
      </c>
      <c r="Z223" t="n">
        <v>4.559708297</v>
      </c>
      <c r="AA223" t="n">
        <v>4.38065</v>
      </c>
      <c r="AB223" t="n">
        <v>7.237324623</v>
      </c>
      <c r="AC223" t="n">
        <v>2.598411946</v>
      </c>
      <c r="AD223" t="n">
        <v>0.37089228</v>
      </c>
      <c r="AE223" t="n">
        <v>0.5713050039999999</v>
      </c>
      <c r="AF223" t="n">
        <v>0.952255372</v>
      </c>
      <c r="AG223" t="n">
        <v>8.390946791999999</v>
      </c>
      <c r="AH223" t="n">
        <v>3.227644226</v>
      </c>
      <c r="AI223" t="n">
        <v>8.541352212</v>
      </c>
      <c r="AJ223" t="n">
        <v>0.374701718</v>
      </c>
      <c r="AK223" t="n">
        <v>0.212975631</v>
      </c>
      <c r="AL223" t="n">
        <v>0.39411656</v>
      </c>
      <c r="AM223" t="n">
        <v>4.954294932</v>
      </c>
      <c r="AN223" t="n">
        <v>2.067742059</v>
      </c>
      <c r="AO223" t="n">
        <v>2.666949446</v>
      </c>
      <c r="AP223" t="n">
        <v>0.6493960050000001</v>
      </c>
      <c r="AR223" t="n">
        <v>5.840887725</v>
      </c>
      <c r="AS223" t="n">
        <v>3.419694208</v>
      </c>
      <c r="AT223" t="n">
        <v>2.903583012</v>
      </c>
      <c r="AU223" t="n">
        <v>7.889603215</v>
      </c>
      <c r="AV223" t="n">
        <v>2.14066999</v>
      </c>
      <c r="AW223" t="n">
        <v>4.323745815</v>
      </c>
    </row>
    <row r="224">
      <c r="A224" t="inlineStr">
        <is>
          <t>2002-Q4</t>
        </is>
      </c>
      <c r="B224" s="87" t="n">
        <v>37622</v>
      </c>
      <c r="C224" t="n">
        <v>-3.483175649</v>
      </c>
      <c r="D224" t="n">
        <v>3.636500281</v>
      </c>
      <c r="E224" t="n">
        <v>1.267064042</v>
      </c>
      <c r="F224" t="n">
        <v>2.649962126</v>
      </c>
      <c r="G224" t="n">
        <v>5.202334176</v>
      </c>
      <c r="H224" t="n">
        <v>3.530710093</v>
      </c>
      <c r="I224" t="n">
        <v>-0.113581342</v>
      </c>
      <c r="J224" t="n">
        <v>3.411896075</v>
      </c>
      <c r="K224" t="n">
        <v>9.1</v>
      </c>
      <c r="L224" t="n">
        <v>1.671351657</v>
      </c>
      <c r="M224" t="n">
        <v>0.268003793</v>
      </c>
      <c r="N224" t="n">
        <v>-0.034579328</v>
      </c>
      <c r="O224" t="n">
        <v>1.214560389</v>
      </c>
      <c r="P224" t="n">
        <v>2.642993741</v>
      </c>
      <c r="Q224" t="n">
        <v>7.085629257</v>
      </c>
      <c r="R224" t="n">
        <v>1.335995792</v>
      </c>
      <c r="T224" t="n">
        <v>2.566135818</v>
      </c>
      <c r="U224" t="n">
        <v>1.207509292</v>
      </c>
      <c r="V224" t="n">
        <v>1.74995671</v>
      </c>
      <c r="X224" t="n">
        <v>2.787727694</v>
      </c>
      <c r="Y224" t="n">
        <v>4.467728455</v>
      </c>
      <c r="Z224" t="n">
        <v>5.065645819</v>
      </c>
      <c r="AA224" t="n">
        <v>2.11781</v>
      </c>
      <c r="AB224" t="n">
        <v>6.60292627</v>
      </c>
      <c r="AC224" t="n">
        <v>-1.462542032</v>
      </c>
      <c r="AD224" t="n">
        <v>0.7110426480000001</v>
      </c>
      <c r="AE224" t="n">
        <v>1.124546723</v>
      </c>
      <c r="AF224" t="n">
        <v>1.579333499</v>
      </c>
      <c r="AG224" t="n">
        <v>7.68238505</v>
      </c>
      <c r="AH224" t="n">
        <v>0.242984006</v>
      </c>
      <c r="AI224" t="n">
        <v>9.259624931999999</v>
      </c>
      <c r="AJ224" t="n">
        <v>1.255927894</v>
      </c>
      <c r="AK224" t="n">
        <v>0.040300273</v>
      </c>
      <c r="AL224" t="n">
        <v>0.653043538</v>
      </c>
      <c r="AM224" t="n">
        <v>4.794762286</v>
      </c>
      <c r="AN224" t="n">
        <v>2.211472278</v>
      </c>
      <c r="AO224" t="n">
        <v>2.460811588</v>
      </c>
      <c r="AP224" t="n">
        <v>-1.48022333</v>
      </c>
      <c r="AR224" t="n">
        <v>4.294945255</v>
      </c>
      <c r="AS224" t="n">
        <v>4.138594366</v>
      </c>
      <c r="AT224" t="n">
        <v>2.179730955</v>
      </c>
      <c r="AU224" t="n">
        <v>12.07772573</v>
      </c>
      <c r="AV224" t="n">
        <v>1.991286185</v>
      </c>
      <c r="AW224" t="n">
        <v>4.388621949</v>
      </c>
    </row>
    <row r="225">
      <c r="A225" t="inlineStr">
        <is>
          <t>2003-Q1</t>
        </is>
      </c>
      <c r="B225" s="87" t="n">
        <v>37712</v>
      </c>
      <c r="C225" t="n">
        <v>5.274229353</v>
      </c>
      <c r="D225" t="n">
        <v>3.060549459</v>
      </c>
      <c r="E225" t="n">
        <v>1.124192645</v>
      </c>
      <c r="F225" t="n">
        <v>1.506806857</v>
      </c>
      <c r="G225" t="n">
        <v>2.395779823</v>
      </c>
      <c r="H225" t="n">
        <v>2.581037167</v>
      </c>
      <c r="I225" t="n">
        <v>-0.77692315</v>
      </c>
      <c r="J225" t="n">
        <v>3.442378563</v>
      </c>
      <c r="K225" t="n">
        <v>11.1</v>
      </c>
      <c r="L225" t="n">
        <v>2.895924906</v>
      </c>
      <c r="M225" t="n">
        <v>-0.705732301</v>
      </c>
      <c r="N225" t="n">
        <v>0.534887129</v>
      </c>
      <c r="O225" t="n">
        <v>0.80900887</v>
      </c>
      <c r="P225" t="n">
        <v>3.159366222</v>
      </c>
      <c r="Q225" t="n">
        <v>8.783747612000001</v>
      </c>
      <c r="R225" t="n">
        <v>1.012647023</v>
      </c>
      <c r="T225" t="n">
        <v>1.179534314</v>
      </c>
      <c r="U225" t="n">
        <v>1.031236244</v>
      </c>
      <c r="V225" t="n">
        <v>1.397032921</v>
      </c>
      <c r="X225" t="n">
        <v>2.820568247</v>
      </c>
      <c r="Y225" t="n">
        <v>5.778436775</v>
      </c>
      <c r="Z225" t="n">
        <v>3.535047471</v>
      </c>
      <c r="AA225" t="n">
        <v>3.58059</v>
      </c>
      <c r="AB225" t="n">
        <v>3.142372484</v>
      </c>
      <c r="AC225" t="n">
        <v>6.543380706</v>
      </c>
      <c r="AD225" t="n">
        <v>1.537870469</v>
      </c>
      <c r="AE225" t="n">
        <v>0.663220408</v>
      </c>
      <c r="AF225" t="n">
        <v>1.471604743</v>
      </c>
      <c r="AG225" t="n">
        <v>4.318227912</v>
      </c>
      <c r="AH225" t="n">
        <v>-0.302107057</v>
      </c>
      <c r="AI225" t="n">
        <v>10.005215256</v>
      </c>
      <c r="AJ225" t="n">
        <v>2.185821228</v>
      </c>
      <c r="AK225" t="n">
        <v>0.671931395</v>
      </c>
      <c r="AL225" t="n">
        <v>1.72265858</v>
      </c>
      <c r="AM225" t="n">
        <v>4.443959916</v>
      </c>
      <c r="AN225" t="n">
        <v>1.853903895</v>
      </c>
      <c r="AO225" t="n">
        <v>2.601922617</v>
      </c>
      <c r="AP225" t="n">
        <v>-1.551766468</v>
      </c>
      <c r="AR225" t="n">
        <v>5.806124548</v>
      </c>
      <c r="AS225" t="n">
        <v>2.739415217</v>
      </c>
      <c r="AT225" t="n">
        <v>3.549786432</v>
      </c>
      <c r="AU225" t="n">
        <v>8.088298775</v>
      </c>
      <c r="AV225" t="n">
        <v>1.67618894</v>
      </c>
      <c r="AW225" t="n">
        <v>3.922632384</v>
      </c>
    </row>
    <row r="226">
      <c r="A226" t="inlineStr">
        <is>
          <t>2003-Q2</t>
        </is>
      </c>
      <c r="B226" s="87" t="n">
        <v>37803</v>
      </c>
      <c r="C226" t="n">
        <v>8.146920201</v>
      </c>
      <c r="D226" t="n">
        <v>1.74785822</v>
      </c>
      <c r="E226" t="n">
        <v>0.749897907</v>
      </c>
      <c r="F226" t="n">
        <v>0.8604794099999999</v>
      </c>
      <c r="G226" t="n">
        <v>0.944306128</v>
      </c>
      <c r="H226" t="n">
        <v>1.829610796</v>
      </c>
      <c r="I226" t="n">
        <v>-0.907234556</v>
      </c>
      <c r="J226" t="n">
        <v>4.566615296</v>
      </c>
      <c r="K226" t="n">
        <v>9.1</v>
      </c>
      <c r="L226" t="n">
        <v>3.437100287</v>
      </c>
      <c r="M226" t="n">
        <v>-1.029136139</v>
      </c>
      <c r="N226" t="n">
        <v>-0.390223556</v>
      </c>
      <c r="O226" t="n">
        <v>0.351665631</v>
      </c>
      <c r="P226" t="n">
        <v>2.85865151</v>
      </c>
      <c r="Q226" t="n">
        <v>7.542121227</v>
      </c>
      <c r="R226" t="n">
        <v>0.552532854</v>
      </c>
      <c r="T226" t="n">
        <v>1.629539742</v>
      </c>
      <c r="U226" t="n">
        <v>0.351379462</v>
      </c>
      <c r="V226" t="n">
        <v>1.361815778</v>
      </c>
      <c r="X226" t="n">
        <v>2.937379487</v>
      </c>
      <c r="Y226" t="n">
        <v>5.29512856</v>
      </c>
      <c r="Z226" t="n">
        <v>4.010750161</v>
      </c>
      <c r="AA226" t="n">
        <v>5.54613</v>
      </c>
      <c r="AB226" t="n">
        <v>2.986829099</v>
      </c>
      <c r="AC226" t="n">
        <v>-0.378647032</v>
      </c>
      <c r="AD226" t="n">
        <v>0.717987314</v>
      </c>
      <c r="AE226" t="n">
        <v>0.09290642</v>
      </c>
      <c r="AF226" t="n">
        <v>1.348042655</v>
      </c>
      <c r="AG226" t="n">
        <v>2.30354585</v>
      </c>
      <c r="AH226" t="n">
        <v>0.434553878</v>
      </c>
      <c r="AI226" t="n">
        <v>8.574431958</v>
      </c>
      <c r="AJ226" t="n">
        <v>1.49229089</v>
      </c>
      <c r="AK226" t="n">
        <v>-0.023899152</v>
      </c>
      <c r="AL226" t="n">
        <v>-0.822423342</v>
      </c>
      <c r="AM226" t="n">
        <v>3.536510439</v>
      </c>
      <c r="AN226" t="n">
        <v>1.566383857</v>
      </c>
      <c r="AO226" t="n">
        <v>3.814284192</v>
      </c>
      <c r="AP226" t="n">
        <v>-1.97190001</v>
      </c>
      <c r="AR226" t="n">
        <v>6.33166326</v>
      </c>
      <c r="AS226" t="n">
        <v>3.042289881</v>
      </c>
      <c r="AT226" t="n">
        <v>1.315840025</v>
      </c>
      <c r="AU226" t="n">
        <v>3.964297877</v>
      </c>
      <c r="AV226" t="n">
        <v>1.956993642</v>
      </c>
      <c r="AW226" t="n">
        <v>3.121689799</v>
      </c>
    </row>
    <row r="227">
      <c r="A227" t="inlineStr">
        <is>
          <t>2003-Q3</t>
        </is>
      </c>
      <c r="B227" s="87" t="n">
        <v>37895</v>
      </c>
      <c r="C227" t="n">
        <v>10.707165722</v>
      </c>
      <c r="D227" t="n">
        <v>3.198499611</v>
      </c>
      <c r="E227" t="n">
        <v>0.743862173</v>
      </c>
      <c r="F227" t="n">
        <v>0.733625686</v>
      </c>
      <c r="G227" t="n">
        <v>0.6562727779999999</v>
      </c>
      <c r="H227" t="n">
        <v>1.33311469</v>
      </c>
      <c r="I227" t="n">
        <v>-0.153254964</v>
      </c>
      <c r="J227" t="n">
        <v>4.575144803</v>
      </c>
      <c r="K227" t="n">
        <v>10</v>
      </c>
      <c r="L227" t="n">
        <v>3.854416022</v>
      </c>
      <c r="M227" t="n">
        <v>-0.757230853</v>
      </c>
      <c r="N227" t="n">
        <v>-0.38683434</v>
      </c>
      <c r="O227" t="n">
        <v>0.476880624</v>
      </c>
      <c r="P227" t="n">
        <v>2.90257618</v>
      </c>
      <c r="Q227" t="n">
        <v>6.465869578</v>
      </c>
      <c r="R227" t="n">
        <v>0.704305855</v>
      </c>
      <c r="T227" t="n">
        <v>3.086446568</v>
      </c>
      <c r="U227" t="n">
        <v>0.604721701</v>
      </c>
      <c r="V227" t="n">
        <v>1.993284692</v>
      </c>
      <c r="X227" t="n">
        <v>3.22417345</v>
      </c>
      <c r="Y227" t="n">
        <v>5.347760594</v>
      </c>
      <c r="Z227" t="n">
        <v>4.2867635</v>
      </c>
      <c r="AA227" t="n">
        <v>7.68505</v>
      </c>
      <c r="AB227" t="n">
        <v>1.890845283</v>
      </c>
      <c r="AC227" t="n">
        <v>0.654018046</v>
      </c>
      <c r="AD227" t="n">
        <v>1.470320549</v>
      </c>
      <c r="AE227" t="n">
        <v>-0.20750274</v>
      </c>
      <c r="AF227" t="n">
        <v>1.328497323</v>
      </c>
      <c r="AG227" t="n">
        <v>2.214156235</v>
      </c>
      <c r="AH227" t="n">
        <v>3.100756718</v>
      </c>
      <c r="AI227" t="n">
        <v>9.533791222</v>
      </c>
      <c r="AJ227" t="n">
        <v>0.665411049</v>
      </c>
      <c r="AK227" t="n">
        <v>-0.09033127000000001</v>
      </c>
      <c r="AL227" t="n">
        <v>2.08615488</v>
      </c>
      <c r="AM227" t="n">
        <v>4.492679194</v>
      </c>
      <c r="AN227" t="n">
        <v>2.106250355</v>
      </c>
      <c r="AO227" t="n">
        <v>3.692228658</v>
      </c>
      <c r="AP227" t="n">
        <v>-0.651382451</v>
      </c>
      <c r="AR227" t="n">
        <v>4.41818704</v>
      </c>
      <c r="AS227" t="n">
        <v>3.323429813</v>
      </c>
      <c r="AT227" t="n">
        <v>2.203069223</v>
      </c>
      <c r="AU227" t="n">
        <v>5.487093424</v>
      </c>
      <c r="AV227" t="n">
        <v>3.239908302</v>
      </c>
      <c r="AW227" t="n">
        <v>2.52095906</v>
      </c>
    </row>
    <row r="228">
      <c r="A228" t="inlineStr">
        <is>
          <t>2003-Q4</t>
        </is>
      </c>
      <c r="B228" s="87" t="n">
        <v>37987</v>
      </c>
      <c r="C228" t="n">
        <v>11.646839589</v>
      </c>
      <c r="D228" t="n">
        <v>4.047735406</v>
      </c>
      <c r="E228" t="n">
        <v>1.345604763</v>
      </c>
      <c r="F228" t="n">
        <v>1.056515373</v>
      </c>
      <c r="G228" t="n">
        <v>0.6815383699999999</v>
      </c>
      <c r="H228" t="n">
        <v>1.475555706</v>
      </c>
      <c r="I228" t="n">
        <v>1.526215749</v>
      </c>
      <c r="J228" t="n">
        <v>3.259144005</v>
      </c>
      <c r="K228" t="n">
        <v>10</v>
      </c>
      <c r="L228" t="n">
        <v>4.120358349</v>
      </c>
      <c r="M228" t="n">
        <v>-0.351561509</v>
      </c>
      <c r="N228" t="n">
        <v>1.804920682</v>
      </c>
      <c r="O228" t="n">
        <v>1.056314195</v>
      </c>
      <c r="P228" t="n">
        <v>3.008540784</v>
      </c>
      <c r="Q228" t="n">
        <v>8.451928375</v>
      </c>
      <c r="R228" t="n">
        <v>1.285744012</v>
      </c>
      <c r="T228" t="n">
        <v>2.113220514</v>
      </c>
      <c r="U228" t="n">
        <v>1.384465085</v>
      </c>
      <c r="V228" t="n">
        <v>2.76326008</v>
      </c>
      <c r="X228" t="n">
        <v>3.133087692</v>
      </c>
      <c r="Y228" t="n">
        <v>6.775966831</v>
      </c>
      <c r="Z228" t="n">
        <v>4.114730477</v>
      </c>
      <c r="AA228" t="n">
        <v>11.13362</v>
      </c>
      <c r="AB228" t="n">
        <v>6.114707669</v>
      </c>
      <c r="AC228" t="n">
        <v>1.915706784</v>
      </c>
      <c r="AD228" t="n">
        <v>2.001067855</v>
      </c>
      <c r="AE228" t="n">
        <v>0.353215945</v>
      </c>
      <c r="AF228" t="n">
        <v>2.146909807</v>
      </c>
      <c r="AG228" t="n">
        <v>3.773317382</v>
      </c>
      <c r="AH228" t="n">
        <v>7.355872708</v>
      </c>
      <c r="AI228" t="n">
        <v>6.596572117</v>
      </c>
      <c r="AJ228" t="n">
        <v>1.534430196</v>
      </c>
      <c r="AK228" t="n">
        <v>0.29448898</v>
      </c>
      <c r="AL228" t="n">
        <v>0.978627379</v>
      </c>
      <c r="AM228" t="n">
        <v>4.463571659</v>
      </c>
      <c r="AN228" t="n">
        <v>2.863571361</v>
      </c>
      <c r="AO228" t="n">
        <v>3.884648234</v>
      </c>
      <c r="AP228" t="n">
        <v>0.473932977</v>
      </c>
      <c r="AR228" t="n">
        <v>5.468526981</v>
      </c>
      <c r="AS228" t="n">
        <v>2.262543304</v>
      </c>
      <c r="AT228" t="n">
        <v>2.679383653</v>
      </c>
      <c r="AU228" t="n">
        <v>6.405673062</v>
      </c>
      <c r="AV228" t="n">
        <v>4.29507652</v>
      </c>
      <c r="AW228" t="n">
        <v>2.261629374</v>
      </c>
    </row>
    <row r="229">
      <c r="A229" t="inlineStr">
        <is>
          <t>2004-Q1</t>
        </is>
      </c>
      <c r="B229" s="87" t="n">
        <v>38078</v>
      </c>
      <c r="C229" t="n">
        <v>11.179734771</v>
      </c>
      <c r="D229" t="n">
        <v>4.655553248</v>
      </c>
      <c r="E229" t="n">
        <v>1.565596742</v>
      </c>
      <c r="F229" t="n">
        <v>2.842043453</v>
      </c>
      <c r="G229" t="n">
        <v>2.5332047</v>
      </c>
      <c r="H229" t="n">
        <v>1.644029179</v>
      </c>
      <c r="I229" t="n">
        <v>2.872348422</v>
      </c>
      <c r="J229" t="n">
        <v>4.810334611</v>
      </c>
      <c r="K229" t="n">
        <v>10.6</v>
      </c>
      <c r="L229" t="n">
        <v>4.013227877</v>
      </c>
      <c r="M229" t="n">
        <v>0.9820827680000001</v>
      </c>
      <c r="N229" t="n">
        <v>1.749947147</v>
      </c>
      <c r="O229" t="n">
        <v>1.866839102</v>
      </c>
      <c r="P229" t="n">
        <v>2.674117613</v>
      </c>
      <c r="Q229" t="n">
        <v>8.478721161999999</v>
      </c>
      <c r="R229" t="n">
        <v>2.133447841</v>
      </c>
      <c r="T229" t="n">
        <v>4.152698172</v>
      </c>
      <c r="U229" t="n">
        <v>2.127079068</v>
      </c>
      <c r="V229" t="n">
        <v>3.137524502</v>
      </c>
      <c r="X229" t="n">
        <v>3.016035467</v>
      </c>
      <c r="Y229" t="n">
        <v>6.510927293</v>
      </c>
      <c r="Z229" t="n">
        <v>4.918874993</v>
      </c>
      <c r="AA229" t="n">
        <v>9.083130000000001</v>
      </c>
      <c r="AB229" t="n">
        <v>6.536090081</v>
      </c>
      <c r="AC229" t="n">
        <v>4.301351642</v>
      </c>
      <c r="AD229" t="n">
        <v>3.298043168</v>
      </c>
      <c r="AE229" t="n">
        <v>0.915864499</v>
      </c>
      <c r="AF229" t="n">
        <v>2.832507645</v>
      </c>
      <c r="AG229" t="n">
        <v>5.772676581</v>
      </c>
      <c r="AH229" t="n">
        <v>6.802966233</v>
      </c>
      <c r="AI229" t="n">
        <v>9.532087316</v>
      </c>
      <c r="AJ229" t="n">
        <v>2.710681326</v>
      </c>
      <c r="AK229" t="n">
        <v>1.184842103</v>
      </c>
      <c r="AL229" t="n">
        <v>4.531030867</v>
      </c>
      <c r="AM229" t="n">
        <v>5.663839054</v>
      </c>
      <c r="AN229" t="n">
        <v>3.45120728</v>
      </c>
      <c r="AO229" t="n">
        <v>6.615240489</v>
      </c>
      <c r="AP229" t="n">
        <v>1.274706115</v>
      </c>
      <c r="AQ229" t="n">
        <v>6.664650625</v>
      </c>
      <c r="AR229" t="n">
        <v>4.973187542</v>
      </c>
      <c r="AS229" t="n">
        <v>3.305334925</v>
      </c>
      <c r="AT229" t="n">
        <v>3.373222847</v>
      </c>
      <c r="AU229" t="n">
        <v>9.24505679</v>
      </c>
      <c r="AV229" t="n">
        <v>4.353382086</v>
      </c>
      <c r="AW229" t="n">
        <v>3.154859005</v>
      </c>
    </row>
    <row r="230">
      <c r="A230" t="inlineStr">
        <is>
          <t>2004-Q2</t>
        </is>
      </c>
      <c r="B230" s="87" t="n">
        <v>38169</v>
      </c>
      <c r="C230" t="n">
        <v>6.531458475</v>
      </c>
      <c r="D230" t="n">
        <v>4.906885433</v>
      </c>
      <c r="E230" t="n">
        <v>2.286144967</v>
      </c>
      <c r="F230" t="n">
        <v>3.609431397</v>
      </c>
      <c r="G230" t="n">
        <v>6.265538791</v>
      </c>
      <c r="H230" t="n">
        <v>3.003268745</v>
      </c>
      <c r="I230" t="n">
        <v>3.558833208</v>
      </c>
      <c r="J230" t="n">
        <v>6.203928936</v>
      </c>
      <c r="K230" t="n">
        <v>11.6</v>
      </c>
      <c r="L230" t="n">
        <v>4.144092529</v>
      </c>
      <c r="M230" t="n">
        <v>1.369765682</v>
      </c>
      <c r="N230" t="n">
        <v>3.316610306</v>
      </c>
      <c r="O230" t="n">
        <v>2.424212081</v>
      </c>
      <c r="P230" t="n">
        <v>3.139803256</v>
      </c>
      <c r="Q230" t="n">
        <v>5.302907794</v>
      </c>
      <c r="R230" t="n">
        <v>2.669633282</v>
      </c>
      <c r="T230" t="n">
        <v>3.558635394</v>
      </c>
      <c r="U230" t="n">
        <v>3.010604092</v>
      </c>
      <c r="V230" t="n">
        <v>3.166394844</v>
      </c>
      <c r="X230" t="n">
        <v>2.790967473</v>
      </c>
      <c r="Y230" t="n">
        <v>4.637807316</v>
      </c>
      <c r="Z230" t="n">
        <v>5.021636056</v>
      </c>
      <c r="AA230" t="n">
        <v>8.918200000000001</v>
      </c>
      <c r="AB230" t="n">
        <v>8.344241256</v>
      </c>
      <c r="AC230" t="n">
        <v>6.40407472</v>
      </c>
      <c r="AD230" t="n">
        <v>4.558145496</v>
      </c>
      <c r="AE230" t="n">
        <v>1.506205581</v>
      </c>
      <c r="AF230" t="n">
        <v>2.147488513</v>
      </c>
      <c r="AG230" t="n">
        <v>6.744794051</v>
      </c>
      <c r="AH230" t="n">
        <v>4.31039395</v>
      </c>
      <c r="AI230" t="n">
        <v>8.393511756000001</v>
      </c>
      <c r="AJ230" t="n">
        <v>4.066559214</v>
      </c>
      <c r="AK230" t="n">
        <v>2.019591561</v>
      </c>
      <c r="AL230" t="n">
        <v>5.247423309</v>
      </c>
      <c r="AM230" t="n">
        <v>6.111176581</v>
      </c>
      <c r="AN230" t="n">
        <v>3.640907655</v>
      </c>
      <c r="AO230" t="n">
        <v>5.270863371</v>
      </c>
      <c r="AP230" t="n">
        <v>2.767450994</v>
      </c>
      <c r="AQ230" t="n">
        <v>7.520946818</v>
      </c>
      <c r="AR230" t="n">
        <v>4.103015286</v>
      </c>
      <c r="AS230" t="n">
        <v>4.384369377</v>
      </c>
      <c r="AT230" t="n">
        <v>4.401587721</v>
      </c>
      <c r="AU230" t="n">
        <v>11.413895422</v>
      </c>
      <c r="AV230" t="n">
        <v>4.234811649</v>
      </c>
      <c r="AW230" t="n">
        <v>4.088062152</v>
      </c>
    </row>
    <row r="231">
      <c r="A231" t="inlineStr">
        <is>
          <t>2004-Q3</t>
        </is>
      </c>
      <c r="B231" s="87" t="n">
        <v>38261</v>
      </c>
      <c r="C231" t="n">
        <v>9.204278593</v>
      </c>
      <c r="D231" t="n">
        <v>3.911325224</v>
      </c>
      <c r="E231" t="n">
        <v>2.947118388</v>
      </c>
      <c r="F231" t="n">
        <v>4.087253884</v>
      </c>
      <c r="G231" t="n">
        <v>6.586345351</v>
      </c>
      <c r="H231" t="n">
        <v>3.831186233</v>
      </c>
      <c r="I231" t="n">
        <v>2.586778475</v>
      </c>
      <c r="J231" t="n">
        <v>8.487706233999999</v>
      </c>
      <c r="K231" t="n">
        <v>9.800000000000001</v>
      </c>
      <c r="L231" t="n">
        <v>4.80719992</v>
      </c>
      <c r="M231" t="n">
        <v>0.412210116</v>
      </c>
      <c r="N231" t="n">
        <v>3.205574354</v>
      </c>
      <c r="O231" t="n">
        <v>2.119893168</v>
      </c>
      <c r="P231" t="n">
        <v>3.427716114</v>
      </c>
      <c r="Q231" t="n">
        <v>6.635269976</v>
      </c>
      <c r="R231" t="n">
        <v>2.351262391</v>
      </c>
      <c r="T231" t="n">
        <v>3.444933735</v>
      </c>
      <c r="U231" t="n">
        <v>2.586883886</v>
      </c>
      <c r="V231" t="n">
        <v>2.720095344</v>
      </c>
      <c r="X231" t="n">
        <v>2.042502952</v>
      </c>
      <c r="Y231" t="n">
        <v>5.373131112</v>
      </c>
      <c r="Z231" t="n">
        <v>5.028625807</v>
      </c>
      <c r="AA231" t="n">
        <v>8.669359999999999</v>
      </c>
      <c r="AB231" t="n">
        <v>6.879240935</v>
      </c>
      <c r="AC231" t="n">
        <v>11.422376965</v>
      </c>
      <c r="AD231" t="n">
        <v>4.976548076</v>
      </c>
      <c r="AE231" t="n">
        <v>1.568368135</v>
      </c>
      <c r="AF231" t="n">
        <v>2.4701548</v>
      </c>
      <c r="AG231" t="n">
        <v>5.145618814</v>
      </c>
      <c r="AH231" t="n">
        <v>5.629941662</v>
      </c>
      <c r="AI231" t="n">
        <v>6.564603736</v>
      </c>
      <c r="AJ231" t="n">
        <v>3.883217511</v>
      </c>
      <c r="AK231" t="n">
        <v>2.081437618</v>
      </c>
      <c r="AL231" t="n">
        <v>2.590648363</v>
      </c>
      <c r="AM231" t="n">
        <v>4.220321611</v>
      </c>
      <c r="AN231" t="n">
        <v>3.186046582</v>
      </c>
      <c r="AO231" t="n">
        <v>3.587098962</v>
      </c>
      <c r="AP231" t="n">
        <v>1.903675089</v>
      </c>
      <c r="AQ231" t="n">
        <v>7.337355389</v>
      </c>
      <c r="AR231" t="n">
        <v>6.085767095</v>
      </c>
      <c r="AS231" t="n">
        <v>3.920745431</v>
      </c>
      <c r="AT231" t="n">
        <v>3.708987318</v>
      </c>
      <c r="AU231" t="n">
        <v>9.546928334</v>
      </c>
      <c r="AV231" t="n">
        <v>3.490834069</v>
      </c>
      <c r="AW231" t="n">
        <v>5.219011064</v>
      </c>
    </row>
    <row r="232">
      <c r="A232" t="inlineStr">
        <is>
          <t>2004-Q4</t>
        </is>
      </c>
      <c r="B232" s="87" t="n">
        <v>38353</v>
      </c>
      <c r="C232" t="n">
        <v>8.796626463000001</v>
      </c>
      <c r="D232" t="n">
        <v>3.008457499</v>
      </c>
      <c r="E232" t="n">
        <v>3.15275242</v>
      </c>
      <c r="F232" t="n">
        <v>3.736801233</v>
      </c>
      <c r="G232" t="n">
        <v>6.304453471</v>
      </c>
      <c r="H232" t="n">
        <v>3.860541692</v>
      </c>
      <c r="I232" t="n">
        <v>1.527874806</v>
      </c>
      <c r="J232" t="n">
        <v>9.163232827</v>
      </c>
      <c r="K232" t="n">
        <v>8.800000000000001</v>
      </c>
      <c r="L232" t="n">
        <v>5.61187753</v>
      </c>
      <c r="M232" t="n">
        <v>0.037919387</v>
      </c>
      <c r="N232" t="n">
        <v>2.413156435</v>
      </c>
      <c r="O232" t="n">
        <v>1.74340005</v>
      </c>
      <c r="P232" t="n">
        <v>3.242952159</v>
      </c>
      <c r="Q232" t="n">
        <v>6.081763675</v>
      </c>
      <c r="R232" t="n">
        <v>2.038228148</v>
      </c>
      <c r="T232" t="n">
        <v>4.809876335</v>
      </c>
      <c r="U232" t="n">
        <v>2.616364138</v>
      </c>
      <c r="V232" t="n">
        <v>2.337558049</v>
      </c>
      <c r="X232" t="n">
        <v>1.594642326</v>
      </c>
      <c r="Y232" t="n">
        <v>2.774821603</v>
      </c>
      <c r="Z232" t="n">
        <v>4.409740077</v>
      </c>
      <c r="AA232" t="n">
        <v>7.25254</v>
      </c>
      <c r="AB232" t="n">
        <v>4.001987145</v>
      </c>
      <c r="AC232" t="n">
        <v>9.128707845999999</v>
      </c>
      <c r="AD232" t="n">
        <v>5.89493682</v>
      </c>
      <c r="AE232" t="n">
        <v>0.888956745</v>
      </c>
      <c r="AF232" t="n">
        <v>1.170376749</v>
      </c>
      <c r="AG232" t="n">
        <v>3.218131462</v>
      </c>
      <c r="AH232" t="n">
        <v>0.7014781410000001</v>
      </c>
      <c r="AI232" t="n">
        <v>7.663962762</v>
      </c>
      <c r="AJ232" t="n">
        <v>4.116366093</v>
      </c>
      <c r="AK232" t="n">
        <v>1.75917512</v>
      </c>
      <c r="AL232" t="n">
        <v>3.565399274</v>
      </c>
      <c r="AM232" t="n">
        <v>3.241452169</v>
      </c>
      <c r="AN232" t="n">
        <v>2.793640837</v>
      </c>
      <c r="AO232" t="n">
        <v>4.392886406</v>
      </c>
      <c r="AP232" t="n">
        <v>1.219915938</v>
      </c>
      <c r="AQ232" t="n">
        <v>6.593498112</v>
      </c>
      <c r="AR232" t="n">
        <v>5.932134389</v>
      </c>
      <c r="AS232" t="n">
        <v>3.685662657</v>
      </c>
      <c r="AT232" t="n">
        <v>3.949648131</v>
      </c>
      <c r="AU232" t="n">
        <v>8.057711694</v>
      </c>
      <c r="AV232" t="n">
        <v>3.355765916</v>
      </c>
      <c r="AW232" t="n">
        <v>5.732671708</v>
      </c>
    </row>
    <row r="233">
      <c r="A233" t="inlineStr">
        <is>
          <t>2005-Q1</t>
        </is>
      </c>
      <c r="B233" s="87" t="n">
        <v>38443</v>
      </c>
      <c r="C233" t="n">
        <v>8.386798328999999</v>
      </c>
      <c r="D233" t="n">
        <v>2.987883708</v>
      </c>
      <c r="E233" t="n">
        <v>2.135790981</v>
      </c>
      <c r="F233" t="n">
        <v>2.742948498</v>
      </c>
      <c r="G233" t="n">
        <v>5.609908305</v>
      </c>
      <c r="H233" t="n">
        <v>3.474673797</v>
      </c>
      <c r="I233" t="n">
        <v>1.729925617</v>
      </c>
      <c r="J233" t="n">
        <v>6.499424808</v>
      </c>
      <c r="K233" t="n">
        <v>11.1</v>
      </c>
      <c r="L233" t="n">
        <v>6.462987313</v>
      </c>
      <c r="M233" t="n">
        <v>0.213170875</v>
      </c>
      <c r="N233" t="n">
        <v>1.552318238</v>
      </c>
      <c r="O233" t="n">
        <v>1.484595588</v>
      </c>
      <c r="P233" t="n">
        <v>3.625992408</v>
      </c>
      <c r="Q233" t="n">
        <v>5.498247043</v>
      </c>
      <c r="R233" t="n">
        <v>1.667400613</v>
      </c>
      <c r="T233" t="n">
        <v>4.512511681</v>
      </c>
      <c r="U233" t="n">
        <v>1.944021621</v>
      </c>
      <c r="V233" t="n">
        <v>2.507636307</v>
      </c>
      <c r="X233" t="n">
        <v>1.757313168</v>
      </c>
      <c r="Y233" t="n">
        <v>0.335709457</v>
      </c>
      <c r="Z233" t="n">
        <v>3.847112957</v>
      </c>
      <c r="AA233" t="n">
        <v>8.73418</v>
      </c>
      <c r="AB233" t="n">
        <v>6.188939596</v>
      </c>
      <c r="AC233" t="n">
        <v>1.997800807</v>
      </c>
      <c r="AD233" t="n">
        <v>4.012506971</v>
      </c>
      <c r="AE233" t="n">
        <v>0.470352949</v>
      </c>
      <c r="AF233" t="n">
        <v>0.950377019</v>
      </c>
      <c r="AG233" t="n">
        <v>2.806402673</v>
      </c>
      <c r="AH233" t="n">
        <v>0.513413943</v>
      </c>
      <c r="AI233" t="n">
        <v>6.976282461</v>
      </c>
      <c r="AJ233" t="n">
        <v>2.844668462</v>
      </c>
      <c r="AK233" t="n">
        <v>1.171867896</v>
      </c>
      <c r="AL233" t="n">
        <v>1.652411811</v>
      </c>
      <c r="AM233" t="n">
        <v>2.69076491</v>
      </c>
      <c r="AN233" t="n">
        <v>2.774985263</v>
      </c>
      <c r="AO233" t="n">
        <v>2.481864468</v>
      </c>
      <c r="AP233" t="n">
        <v>1.085613464</v>
      </c>
      <c r="AQ233" t="n">
        <v>6.456869917</v>
      </c>
      <c r="AR233" t="n">
        <v>5.871141577</v>
      </c>
      <c r="AS233" t="n">
        <v>3.600539006</v>
      </c>
      <c r="AT233" t="n">
        <v>2.461651639</v>
      </c>
      <c r="AU233" t="n">
        <v>10.009156426</v>
      </c>
      <c r="AV233" t="n">
        <v>3.908617441</v>
      </c>
      <c r="AW233" t="n">
        <v>5.214827056</v>
      </c>
    </row>
    <row r="234">
      <c r="A234" t="inlineStr">
        <is>
          <t>2005-Q2</t>
        </is>
      </c>
      <c r="B234" s="87" t="n">
        <v>38534</v>
      </c>
      <c r="C234" t="n">
        <v>11.948188939</v>
      </c>
      <c r="D234" t="n">
        <v>2.753134876</v>
      </c>
      <c r="E234" t="n">
        <v>2.434520073</v>
      </c>
      <c r="F234" t="n">
        <v>2.374112111</v>
      </c>
      <c r="G234" t="n">
        <v>4.207654692</v>
      </c>
      <c r="H234" t="n">
        <v>3.001929546</v>
      </c>
      <c r="I234" t="n">
        <v>2.208036417</v>
      </c>
      <c r="J234" t="n">
        <v>5.918192551</v>
      </c>
      <c r="K234" t="n">
        <v>11.1</v>
      </c>
      <c r="L234" t="n">
        <v>6.66315956</v>
      </c>
      <c r="M234" t="n">
        <v>0.235374775</v>
      </c>
      <c r="N234" t="n">
        <v>2.938909518</v>
      </c>
      <c r="O234" t="n">
        <v>1.418044385</v>
      </c>
      <c r="P234" t="n">
        <v>3.528592933</v>
      </c>
      <c r="Q234" t="n">
        <v>10.426398487</v>
      </c>
      <c r="R234" t="n">
        <v>1.638553989</v>
      </c>
      <c r="T234" t="n">
        <v>2.382177932</v>
      </c>
      <c r="U234" t="n">
        <v>1.474064975</v>
      </c>
      <c r="V234" t="n">
        <v>2.488344896</v>
      </c>
      <c r="X234" t="n">
        <v>2.182544108</v>
      </c>
      <c r="Y234" t="n">
        <v>0.593025488</v>
      </c>
      <c r="Z234" t="n">
        <v>4.599915603</v>
      </c>
      <c r="AA234" t="n">
        <v>9.571870000000001</v>
      </c>
      <c r="AB234" t="n">
        <v>5.799555569</v>
      </c>
      <c r="AC234" t="n">
        <v>10.47974865</v>
      </c>
      <c r="AD234" t="n">
        <v>4.203552447</v>
      </c>
      <c r="AE234" t="n">
        <v>0.7908785739999999</v>
      </c>
      <c r="AF234" t="n">
        <v>1.721787725</v>
      </c>
      <c r="AG234" t="n">
        <v>3.95274556</v>
      </c>
      <c r="AH234" t="n">
        <v>1.212892415</v>
      </c>
      <c r="AI234" t="n">
        <v>7.93047588</v>
      </c>
      <c r="AJ234" t="n">
        <v>1.564940344</v>
      </c>
      <c r="AK234" t="n">
        <v>1.400109726</v>
      </c>
      <c r="AL234" t="n">
        <v>1.975538457</v>
      </c>
      <c r="AM234" t="n">
        <v>3.441088972</v>
      </c>
      <c r="AN234" t="n">
        <v>2.738222466</v>
      </c>
      <c r="AO234" t="n">
        <v>1.808896023</v>
      </c>
      <c r="AP234" t="n">
        <v>0.881126993</v>
      </c>
      <c r="AQ234" t="n">
        <v>6.03398762</v>
      </c>
      <c r="AR234" t="n">
        <v>7.371956553</v>
      </c>
      <c r="AS234" t="n">
        <v>4.093745727</v>
      </c>
      <c r="AT234" t="n">
        <v>2.775460235</v>
      </c>
      <c r="AU234" t="n">
        <v>7.959938306</v>
      </c>
      <c r="AV234" t="n">
        <v>3.607410366</v>
      </c>
      <c r="AW234" t="n">
        <v>5.626881145</v>
      </c>
    </row>
    <row r="235">
      <c r="A235" t="inlineStr">
        <is>
          <t>2005-Q3</t>
        </is>
      </c>
      <c r="B235" s="87" t="n">
        <v>38626</v>
      </c>
      <c r="C235" t="n">
        <v>7.336131589</v>
      </c>
      <c r="D235" t="n">
        <v>3.108686953</v>
      </c>
      <c r="E235" t="n">
        <v>2.169683195</v>
      </c>
      <c r="F235" t="n">
        <v>1.890494825</v>
      </c>
      <c r="G235" t="n">
        <v>2.132339832</v>
      </c>
      <c r="H235" t="n">
        <v>3.033425786</v>
      </c>
      <c r="I235" t="n">
        <v>3.32655788</v>
      </c>
      <c r="J235" t="n">
        <v>5.40996593</v>
      </c>
      <c r="K235" t="n">
        <v>10.8</v>
      </c>
      <c r="L235" t="n">
        <v>6.770945585</v>
      </c>
      <c r="M235" t="n">
        <v>1.283930039</v>
      </c>
      <c r="N235" t="n">
        <v>2.811266815</v>
      </c>
      <c r="O235" t="n">
        <v>1.927022297</v>
      </c>
      <c r="P235" t="n">
        <v>3.55585132</v>
      </c>
      <c r="Q235" t="n">
        <v>10.570550846</v>
      </c>
      <c r="R235" t="n">
        <v>2.145212694</v>
      </c>
      <c r="T235" t="n">
        <v>2.749714844</v>
      </c>
      <c r="U235" t="n">
        <v>1.716947831</v>
      </c>
      <c r="V235" t="n">
        <v>2.697523804</v>
      </c>
      <c r="X235" t="n">
        <v>2.830213868</v>
      </c>
      <c r="Y235" t="n">
        <v>0.648996724</v>
      </c>
      <c r="Z235" t="n">
        <v>4.123749924</v>
      </c>
      <c r="AA235" t="n">
        <v>8.495150000000001</v>
      </c>
      <c r="AB235" t="n">
        <v>5.35849944</v>
      </c>
      <c r="AC235" t="n">
        <v>5.776445444</v>
      </c>
      <c r="AD235" t="n">
        <v>4.272324006</v>
      </c>
      <c r="AE235" t="n">
        <v>1.431507002</v>
      </c>
      <c r="AF235" t="n">
        <v>2.128905101</v>
      </c>
      <c r="AG235" t="n">
        <v>5.091342447</v>
      </c>
      <c r="AH235" t="n">
        <v>0.895882906</v>
      </c>
      <c r="AI235" t="n">
        <v>12.71652963</v>
      </c>
      <c r="AJ235" t="n">
        <v>2.639909666</v>
      </c>
      <c r="AK235" t="n">
        <v>2.608579642</v>
      </c>
      <c r="AL235" t="n">
        <v>4.022621316</v>
      </c>
      <c r="AM235" t="n">
        <v>3.647380879</v>
      </c>
      <c r="AN235" t="n">
        <v>3.04130125</v>
      </c>
      <c r="AO235" t="n">
        <v>4.301783664</v>
      </c>
      <c r="AP235" t="n">
        <v>0.365490739</v>
      </c>
      <c r="AQ235" t="n">
        <v>6.292683691</v>
      </c>
      <c r="AR235" t="n">
        <v>6.661423037</v>
      </c>
      <c r="AS235" t="n">
        <v>3.931414701</v>
      </c>
      <c r="AT235" t="n">
        <v>3.166641586</v>
      </c>
      <c r="AU235" t="n">
        <v>8.263382384</v>
      </c>
      <c r="AV235" t="n">
        <v>3.447674589</v>
      </c>
      <c r="AW235" t="n">
        <v>5.344718501</v>
      </c>
    </row>
    <row r="236">
      <c r="A236" t="inlineStr">
        <is>
          <t>2005-Q4</t>
        </is>
      </c>
      <c r="B236" s="87" t="n">
        <v>38718</v>
      </c>
      <c r="C236" t="n">
        <v>7.88084008</v>
      </c>
      <c r="D236" t="n">
        <v>3.127987739</v>
      </c>
      <c r="E236" t="n">
        <v>2.745511747</v>
      </c>
      <c r="F236" t="n">
        <v>2.307236791</v>
      </c>
      <c r="G236" t="n">
        <v>2.629931577</v>
      </c>
      <c r="H236" t="n">
        <v>3.309946552</v>
      </c>
      <c r="I236" t="n">
        <v>4.131559632</v>
      </c>
      <c r="J236" t="n">
        <v>5.39086184</v>
      </c>
      <c r="K236" t="n">
        <v>12.4</v>
      </c>
      <c r="L236" t="n">
        <v>6.813487959</v>
      </c>
      <c r="M236" t="n">
        <v>1.868182917</v>
      </c>
      <c r="N236" t="n">
        <v>2.042172351</v>
      </c>
      <c r="O236" t="n">
        <v>2.219045123</v>
      </c>
      <c r="P236" t="n">
        <v>3.894805996</v>
      </c>
      <c r="Q236" t="n">
        <v>10.820481945</v>
      </c>
      <c r="R236" t="n">
        <v>2.411838184</v>
      </c>
      <c r="T236" t="n">
        <v>1.51700612</v>
      </c>
      <c r="U236" t="n">
        <v>1.74628103</v>
      </c>
      <c r="V236" t="n">
        <v>2.655979785</v>
      </c>
      <c r="X236" t="n">
        <v>3.591993845</v>
      </c>
      <c r="Y236" t="n">
        <v>1.54047551</v>
      </c>
      <c r="Z236" t="n">
        <v>4.813503262</v>
      </c>
      <c r="AA236" t="n">
        <v>9.12449</v>
      </c>
      <c r="AB236" t="n">
        <v>6.164641809</v>
      </c>
      <c r="AC236" t="n">
        <v>6.277517135</v>
      </c>
      <c r="AD236" t="n">
        <v>4.826392146</v>
      </c>
      <c r="AE236" t="n">
        <v>1.320840026</v>
      </c>
      <c r="AF236" t="n">
        <v>2.504562285</v>
      </c>
      <c r="AG236" t="n">
        <v>5.356820232</v>
      </c>
      <c r="AH236" t="n">
        <v>7.283461651</v>
      </c>
      <c r="AI236" t="n">
        <v>14.346869763</v>
      </c>
      <c r="AJ236" t="n">
        <v>2.98911839</v>
      </c>
      <c r="AK236" t="n">
        <v>3.03095707</v>
      </c>
      <c r="AL236" t="n">
        <v>3.242347929</v>
      </c>
      <c r="AM236" t="n">
        <v>2.868027639</v>
      </c>
      <c r="AN236" t="n">
        <v>3.117851549</v>
      </c>
      <c r="AO236" t="n">
        <v>5.106056506</v>
      </c>
      <c r="AP236" t="n">
        <v>0.79709233</v>
      </c>
      <c r="AQ236" t="n">
        <v>7.285694895</v>
      </c>
      <c r="AR236" t="n">
        <v>6.584962316</v>
      </c>
      <c r="AS236" t="n">
        <v>5.32889674</v>
      </c>
      <c r="AT236" t="n">
        <v>3.000148179</v>
      </c>
      <c r="AU236" t="n">
        <v>10.057769953</v>
      </c>
      <c r="AV236" t="n">
        <v>2.982672051</v>
      </c>
      <c r="AW236" t="n">
        <v>4.929278424</v>
      </c>
    </row>
    <row r="237">
      <c r="A237" t="inlineStr">
        <is>
          <t>2006-Q1</t>
        </is>
      </c>
      <c r="B237" s="87" t="n">
        <v>38808</v>
      </c>
      <c r="C237" t="n">
        <v>7.584254548</v>
      </c>
      <c r="D237" t="n">
        <v>2.461552833</v>
      </c>
      <c r="E237" t="n">
        <v>3.941823902</v>
      </c>
      <c r="F237" t="n">
        <v>2.397412528</v>
      </c>
      <c r="G237" t="n">
        <v>3.605163834</v>
      </c>
      <c r="H237" t="n">
        <v>3.788607776</v>
      </c>
      <c r="I237" t="n">
        <v>4.477622087</v>
      </c>
      <c r="J237" t="n">
        <v>6.330046462</v>
      </c>
      <c r="K237" t="n">
        <v>12.5</v>
      </c>
      <c r="L237" t="n">
        <v>6.782381969</v>
      </c>
      <c r="M237" t="n">
        <v>2.850319478</v>
      </c>
      <c r="N237" t="n">
        <v>3.700915407</v>
      </c>
      <c r="O237" t="n">
        <v>2.870462496</v>
      </c>
      <c r="P237" t="n">
        <v>4.068499687</v>
      </c>
      <c r="Q237" t="n">
        <v>11.409671799</v>
      </c>
      <c r="R237" t="n">
        <v>3.099517909</v>
      </c>
      <c r="T237" t="n">
        <v>3.030122397</v>
      </c>
      <c r="U237" t="n">
        <v>2.250067039</v>
      </c>
      <c r="V237" t="n">
        <v>2.899088529</v>
      </c>
      <c r="X237" t="n">
        <v>3.511892168</v>
      </c>
      <c r="Y237" t="n">
        <v>5.469142465</v>
      </c>
      <c r="Z237" t="n">
        <v>4.724286871</v>
      </c>
      <c r="AA237" t="n">
        <v>9.933770000000001</v>
      </c>
      <c r="AB237" t="n">
        <v>5.984083779</v>
      </c>
      <c r="AC237" t="n">
        <v>9.185705615</v>
      </c>
      <c r="AD237" t="n">
        <v>5.985337676</v>
      </c>
      <c r="AE237" t="n">
        <v>1.749458875</v>
      </c>
      <c r="AF237" t="n">
        <v>2.136058874</v>
      </c>
      <c r="AG237" t="n">
        <v>6.180250599</v>
      </c>
      <c r="AH237" t="n">
        <v>8.270585242999999</v>
      </c>
      <c r="AI237" t="n">
        <v>10.466573266</v>
      </c>
      <c r="AJ237" t="n">
        <v>4.628335254</v>
      </c>
      <c r="AK237" t="n">
        <v>3.34016397</v>
      </c>
      <c r="AL237" t="n">
        <v>2.236542887</v>
      </c>
      <c r="AM237" t="n">
        <v>3.35526021</v>
      </c>
      <c r="AN237" t="n">
        <v>3.402646202</v>
      </c>
      <c r="AO237" t="n">
        <v>5.523385565</v>
      </c>
      <c r="AP237" t="n">
        <v>0.845485679</v>
      </c>
      <c r="AQ237" t="n">
        <v>7.478151816</v>
      </c>
      <c r="AR237" t="n">
        <v>7.780949726</v>
      </c>
      <c r="AS237" t="n">
        <v>5.165438191</v>
      </c>
      <c r="AT237" t="n">
        <v>4.169095691</v>
      </c>
      <c r="AU237" t="n">
        <v>6.412512747</v>
      </c>
      <c r="AV237" t="n">
        <v>3.224857572</v>
      </c>
      <c r="AW237" t="n">
        <v>5.698531564</v>
      </c>
    </row>
    <row r="238">
      <c r="A238" t="inlineStr">
        <is>
          <t>2006-Q2</t>
        </is>
      </c>
      <c r="B238" s="87" t="n">
        <v>38899</v>
      </c>
      <c r="C238" t="n">
        <v>6.627991669</v>
      </c>
      <c r="D238" t="n">
        <v>2.22064599</v>
      </c>
      <c r="E238" t="n">
        <v>3.145066729</v>
      </c>
      <c r="F238" t="n">
        <v>2.148910077</v>
      </c>
      <c r="G238" t="n">
        <v>2.456332603</v>
      </c>
      <c r="H238" t="n">
        <v>3.094238728</v>
      </c>
      <c r="I238" t="n">
        <v>4.10827205</v>
      </c>
      <c r="J238" t="n">
        <v>6.805144037</v>
      </c>
      <c r="K238" t="n">
        <v>13.7</v>
      </c>
      <c r="L238" t="n">
        <v>7.495183479</v>
      </c>
      <c r="M238" t="n">
        <v>4.076210279</v>
      </c>
      <c r="N238" t="n">
        <v>4.73163812</v>
      </c>
      <c r="O238" t="n">
        <v>3.413107746</v>
      </c>
      <c r="P238" t="n">
        <v>4.158393396</v>
      </c>
      <c r="Q238" t="n">
        <v>9.410871691000001</v>
      </c>
      <c r="R238" t="n">
        <v>3.71865603</v>
      </c>
      <c r="T238" t="n">
        <v>4.532839963</v>
      </c>
      <c r="U238" t="n">
        <v>3.081511942</v>
      </c>
      <c r="V238" t="n">
        <v>2.77824526</v>
      </c>
      <c r="X238" t="n">
        <v>2.878971437</v>
      </c>
      <c r="Y238" t="n">
        <v>5.54199109</v>
      </c>
      <c r="Z238" t="n">
        <v>4.127962991</v>
      </c>
      <c r="AA238" t="n">
        <v>8.08975</v>
      </c>
      <c r="AB238" t="n">
        <v>4.259648794</v>
      </c>
      <c r="AC238" t="n">
        <v>5.611977389</v>
      </c>
      <c r="AD238" t="n">
        <v>6.828779763</v>
      </c>
      <c r="AE238" t="n">
        <v>1.678303528</v>
      </c>
      <c r="AF238" t="n">
        <v>1.510653164</v>
      </c>
      <c r="AG238" t="n">
        <v>4.975060286</v>
      </c>
      <c r="AH238" t="n">
        <v>7.700275134</v>
      </c>
      <c r="AI238" t="n">
        <v>13.558134889</v>
      </c>
      <c r="AJ238" t="n">
        <v>5.342148001</v>
      </c>
      <c r="AK238" t="n">
        <v>4.154503032</v>
      </c>
      <c r="AL238" t="n">
        <v>1.830309635</v>
      </c>
      <c r="AM238" t="n">
        <v>2.192304711</v>
      </c>
      <c r="AN238" t="n">
        <v>3.416516244</v>
      </c>
      <c r="AO238" t="n">
        <v>7.791322472</v>
      </c>
      <c r="AP238" t="n">
        <v>1.444794216</v>
      </c>
      <c r="AQ238" t="n">
        <v>7.904591578</v>
      </c>
      <c r="AR238" t="n">
        <v>8.036279042</v>
      </c>
      <c r="AS238" t="n">
        <v>5.563420078</v>
      </c>
      <c r="AT238" t="n">
        <v>5.127442889</v>
      </c>
      <c r="AU238" t="n">
        <v>9.192999221000001</v>
      </c>
      <c r="AV238" t="n">
        <v>2.977269026</v>
      </c>
      <c r="AW238" t="n">
        <v>5.309865816</v>
      </c>
    </row>
    <row r="239">
      <c r="A239" t="inlineStr">
        <is>
          <t>2006-Q3</t>
        </is>
      </c>
      <c r="B239" s="87" t="n">
        <v>38991</v>
      </c>
      <c r="C239" t="n">
        <v>8.86772318</v>
      </c>
      <c r="D239" t="n">
        <v>2.599530808</v>
      </c>
      <c r="E239" t="n">
        <v>3.564840914</v>
      </c>
      <c r="F239" t="n">
        <v>2.642265239</v>
      </c>
      <c r="G239" t="n">
        <v>4.926066006</v>
      </c>
      <c r="H239" t="n">
        <v>2.144768711</v>
      </c>
      <c r="I239" t="n">
        <v>3.815607339</v>
      </c>
      <c r="J239" t="n">
        <v>5.74063243</v>
      </c>
      <c r="K239" t="n">
        <v>12.2</v>
      </c>
      <c r="L239" t="n">
        <v>7.069406839</v>
      </c>
      <c r="M239" t="n">
        <v>3.983992369</v>
      </c>
      <c r="N239" t="n">
        <v>3.917567281</v>
      </c>
      <c r="O239" t="n">
        <v>3.242535082</v>
      </c>
      <c r="P239" t="n">
        <v>4.119341277</v>
      </c>
      <c r="Q239" t="n">
        <v>9.299084325999999</v>
      </c>
      <c r="R239" t="n">
        <v>3.536473425</v>
      </c>
      <c r="T239" t="n">
        <v>4.020140348</v>
      </c>
      <c r="U239" t="n">
        <v>2.582188989</v>
      </c>
      <c r="V239" t="n">
        <v>2.121411034</v>
      </c>
      <c r="X239" t="n">
        <v>2.216567566</v>
      </c>
      <c r="Y239" t="n">
        <v>4.591190257</v>
      </c>
      <c r="Z239" t="n">
        <v>3.923059967</v>
      </c>
      <c r="AA239" t="n">
        <v>10.12762</v>
      </c>
      <c r="AB239" t="n">
        <v>6.518605255</v>
      </c>
      <c r="AC239" t="n">
        <v>5.697449288</v>
      </c>
      <c r="AD239" t="n">
        <v>4.751521155</v>
      </c>
      <c r="AE239" t="n">
        <v>1.479910736</v>
      </c>
      <c r="AF239" t="n">
        <v>0.290903547</v>
      </c>
      <c r="AG239" t="n">
        <v>5.08739741</v>
      </c>
      <c r="AH239" t="n">
        <v>6.092032751</v>
      </c>
      <c r="AI239" t="n">
        <v>11.722214411</v>
      </c>
      <c r="AJ239" t="n">
        <v>4.754816283</v>
      </c>
      <c r="AK239" t="n">
        <v>3.389040595</v>
      </c>
      <c r="AL239" t="n">
        <v>2.028880944</v>
      </c>
      <c r="AM239" t="n">
        <v>2.349646555</v>
      </c>
      <c r="AN239" t="n">
        <v>2.872939808</v>
      </c>
      <c r="AO239" t="n">
        <v>7.493571426</v>
      </c>
      <c r="AP239" t="n">
        <v>1.810916905</v>
      </c>
      <c r="AQ239" t="n">
        <v>8.470743569</v>
      </c>
      <c r="AR239" t="n">
        <v>8.332406147</v>
      </c>
      <c r="AS239" t="n">
        <v>6.461844357</v>
      </c>
      <c r="AT239" t="n">
        <v>5.128099772</v>
      </c>
      <c r="AU239" t="n">
        <v>6.861392983</v>
      </c>
      <c r="AV239" t="n">
        <v>2.328291152</v>
      </c>
      <c r="AW239" t="n">
        <v>5.328082893</v>
      </c>
    </row>
    <row r="240">
      <c r="A240" t="inlineStr">
        <is>
          <t>2006-Q4</t>
        </is>
      </c>
      <c r="B240" s="87" t="n">
        <v>39083</v>
      </c>
      <c r="C240" t="n">
        <v>9.065844289999999</v>
      </c>
      <c r="D240" t="n">
        <v>3.133807236</v>
      </c>
      <c r="E240" t="n">
        <v>3.711236823</v>
      </c>
      <c r="F240" t="n">
        <v>3.017495577</v>
      </c>
      <c r="G240" t="n">
        <v>4.852043923</v>
      </c>
      <c r="H240" t="n">
        <v>1.547877248</v>
      </c>
      <c r="I240" t="n">
        <v>4.180117133</v>
      </c>
      <c r="J240" t="n">
        <v>6.417569163</v>
      </c>
      <c r="K240" t="n">
        <v>12.5</v>
      </c>
      <c r="L240" t="n">
        <v>6.493653413</v>
      </c>
      <c r="M240" t="n">
        <v>5.063854346</v>
      </c>
      <c r="N240" t="n">
        <v>3.300487701</v>
      </c>
      <c r="O240" t="n">
        <v>3.781479324</v>
      </c>
      <c r="P240" t="n">
        <v>4.065349107</v>
      </c>
      <c r="Q240" t="n">
        <v>9.482544264</v>
      </c>
      <c r="R240" t="n">
        <v>3.898058525</v>
      </c>
      <c r="T240" t="n">
        <v>4.536379989</v>
      </c>
      <c r="U240" t="n">
        <v>2.597987596</v>
      </c>
      <c r="V240" t="n">
        <v>2.56167383</v>
      </c>
      <c r="X240" t="n">
        <v>1.757480153</v>
      </c>
      <c r="Y240" t="n">
        <v>6.716217109</v>
      </c>
      <c r="Z240" t="n">
        <v>3.691379482</v>
      </c>
      <c r="AA240" t="n">
        <v>9.25047</v>
      </c>
      <c r="AB240" t="n">
        <v>3.579486928</v>
      </c>
      <c r="AC240" t="n">
        <v>5.004576498</v>
      </c>
      <c r="AD240" t="n">
        <v>4.463461432</v>
      </c>
      <c r="AE240" t="n">
        <v>2.615453796</v>
      </c>
      <c r="AF240" t="n">
        <v>1.458262776</v>
      </c>
      <c r="AG240" t="n">
        <v>4.844886613</v>
      </c>
      <c r="AH240" t="n">
        <v>2.335149527</v>
      </c>
      <c r="AI240" t="n">
        <v>12.481426024</v>
      </c>
      <c r="AJ240" t="n">
        <v>3.289580094</v>
      </c>
      <c r="AK240" t="n">
        <v>3.588306691</v>
      </c>
      <c r="AL240" t="n">
        <v>3.663027189</v>
      </c>
      <c r="AM240" t="n">
        <v>3.669739914</v>
      </c>
      <c r="AN240" t="n">
        <v>3.093108192</v>
      </c>
      <c r="AO240" t="n">
        <v>3.970184692</v>
      </c>
      <c r="AP240" t="n">
        <v>2.39958247</v>
      </c>
      <c r="AQ240" t="n">
        <v>8.296872165</v>
      </c>
      <c r="AR240" t="n">
        <v>9.771209016</v>
      </c>
      <c r="AS240" t="n">
        <v>6.906481386</v>
      </c>
      <c r="AT240" t="n">
        <v>5.112126199</v>
      </c>
      <c r="AU240" t="n">
        <v>5.777239084</v>
      </c>
      <c r="AV240" t="n">
        <v>2.608901984</v>
      </c>
      <c r="AW240" t="n">
        <v>6.074561979</v>
      </c>
    </row>
    <row r="241">
      <c r="A241" t="inlineStr">
        <is>
          <t>2007-Q1</t>
        </is>
      </c>
      <c r="B241" s="87" t="n">
        <v>39173</v>
      </c>
      <c r="C241" t="n">
        <v>8.773236846</v>
      </c>
      <c r="D241" t="n">
        <v>4.444412787</v>
      </c>
      <c r="E241" t="n">
        <v>3.538523787</v>
      </c>
      <c r="F241" t="n">
        <v>3.839182017</v>
      </c>
      <c r="G241" t="n">
        <v>5.14403439</v>
      </c>
      <c r="H241" t="n">
        <v>1.375255855</v>
      </c>
      <c r="I241" t="n">
        <v>3.617509588</v>
      </c>
      <c r="J241" t="n">
        <v>6.522902719</v>
      </c>
      <c r="K241" t="n">
        <v>13.8</v>
      </c>
      <c r="L241" t="n">
        <v>6.415747103</v>
      </c>
      <c r="M241" t="n">
        <v>4.137000847</v>
      </c>
      <c r="N241" t="n">
        <v>2.356446554</v>
      </c>
      <c r="O241" t="n">
        <v>3.524352065</v>
      </c>
      <c r="P241" t="n">
        <v>3.82836033</v>
      </c>
      <c r="Q241" t="n">
        <v>10.572501566</v>
      </c>
      <c r="R241" t="n">
        <v>3.701891357</v>
      </c>
      <c r="T241" t="n">
        <v>3.963126531</v>
      </c>
      <c r="U241" t="n">
        <v>2.575259076</v>
      </c>
      <c r="V241" t="n">
        <v>2.010945225</v>
      </c>
      <c r="X241" t="n">
        <v>2.014354485</v>
      </c>
      <c r="Y241" t="n">
        <v>2.537298304</v>
      </c>
      <c r="Z241" t="n">
        <v>1.601316965</v>
      </c>
      <c r="AA241" t="n">
        <v>9.557230000000001</v>
      </c>
      <c r="AB241" t="n">
        <v>7.745337426</v>
      </c>
      <c r="AC241" t="n">
        <v>7.44643438</v>
      </c>
      <c r="AD241" t="n">
        <v>4.784542224</v>
      </c>
      <c r="AE241" t="n">
        <v>2.232657179</v>
      </c>
      <c r="AF241" t="n">
        <v>1.97344673</v>
      </c>
      <c r="AG241" t="n">
        <v>4.880914676</v>
      </c>
      <c r="AH241" t="n">
        <v>7.380761828</v>
      </c>
      <c r="AI241" t="n">
        <v>15.240676474</v>
      </c>
      <c r="AJ241" t="n">
        <v>2.218998746</v>
      </c>
      <c r="AK241" t="n">
        <v>4.125437165</v>
      </c>
      <c r="AL241" t="n">
        <v>3.081328949</v>
      </c>
      <c r="AM241" t="n">
        <v>3.247520319</v>
      </c>
      <c r="AN241" t="n">
        <v>2.734406548</v>
      </c>
      <c r="AO241" t="n">
        <v>7.131878746</v>
      </c>
      <c r="AP241" t="n">
        <v>2.638146476</v>
      </c>
      <c r="AQ241" t="n">
        <v>8.172613295</v>
      </c>
      <c r="AR241" t="n">
        <v>9.483634873</v>
      </c>
      <c r="AS241" t="n">
        <v>8.111827663</v>
      </c>
      <c r="AT241" t="n">
        <v>4.51364573</v>
      </c>
      <c r="AU241" t="n">
        <v>6.486233951</v>
      </c>
      <c r="AV241" t="n">
        <v>1.540715325</v>
      </c>
      <c r="AW241" t="n">
        <v>5.935401527</v>
      </c>
    </row>
    <row r="242">
      <c r="A242" t="inlineStr">
        <is>
          <t>2007-Q2</t>
        </is>
      </c>
      <c r="B242" s="87" t="n">
        <v>39264</v>
      </c>
      <c r="C242" t="n">
        <v>9.80824024</v>
      </c>
      <c r="D242" t="n">
        <v>4.882578106</v>
      </c>
      <c r="E242" t="n">
        <v>4.37804119</v>
      </c>
      <c r="F242" t="n">
        <v>3.944579043</v>
      </c>
      <c r="G242" t="n">
        <v>6.518869427</v>
      </c>
      <c r="H242" t="n">
        <v>2.304651418</v>
      </c>
      <c r="I242" t="n">
        <v>4.22538251</v>
      </c>
      <c r="J242" t="n">
        <v>5.330994796</v>
      </c>
      <c r="K242" t="n">
        <v>15</v>
      </c>
      <c r="L242" t="n">
        <v>5.178002909</v>
      </c>
      <c r="M242" t="n">
        <v>3.231288249</v>
      </c>
      <c r="N242" t="n">
        <v>-1.053004057</v>
      </c>
      <c r="O242" t="n">
        <v>3.135375755</v>
      </c>
      <c r="P242" t="n">
        <v>3.75333511</v>
      </c>
      <c r="Q242" t="n">
        <v>8.726488796</v>
      </c>
      <c r="R242" t="n">
        <v>3.172690143</v>
      </c>
      <c r="T242" t="n">
        <v>5.573297422</v>
      </c>
      <c r="U242" t="n">
        <v>2.327269437</v>
      </c>
      <c r="V242" t="n">
        <v>2.10001148</v>
      </c>
      <c r="X242" t="n">
        <v>2.134079066</v>
      </c>
      <c r="Y242" t="n">
        <v>5.19988242</v>
      </c>
      <c r="Z242" t="n">
        <v>0.126276076</v>
      </c>
      <c r="AA242" t="n">
        <v>10.72776</v>
      </c>
      <c r="AB242" t="n">
        <v>5.836305807</v>
      </c>
      <c r="AC242" t="n">
        <v>8.097602883</v>
      </c>
      <c r="AD242" t="n">
        <v>4.717011451</v>
      </c>
      <c r="AE242" t="n">
        <v>1.730398669</v>
      </c>
      <c r="AF242" t="n">
        <v>1.854129915</v>
      </c>
      <c r="AG242" t="n">
        <v>5.921792787</v>
      </c>
      <c r="AH242" t="n">
        <v>9.44358937</v>
      </c>
      <c r="AI242" t="n">
        <v>11.945996804</v>
      </c>
      <c r="AJ242" t="n">
        <v>2.013028846</v>
      </c>
      <c r="AK242" t="n">
        <v>3.114534741</v>
      </c>
      <c r="AL242" t="n">
        <v>2.950936351</v>
      </c>
      <c r="AM242" t="n">
        <v>3.713741109</v>
      </c>
      <c r="AN242" t="n">
        <v>2.704772987</v>
      </c>
      <c r="AO242" t="n">
        <v>5.91707538</v>
      </c>
      <c r="AP242" t="n">
        <v>2.10749605</v>
      </c>
      <c r="AQ242" t="n">
        <v>8.808004554</v>
      </c>
      <c r="AR242" t="n">
        <v>9.634117917999999</v>
      </c>
      <c r="AS242" t="n">
        <v>7.183572378</v>
      </c>
      <c r="AT242" t="n">
        <v>3.35433376</v>
      </c>
      <c r="AU242" t="n">
        <v>3.369974427</v>
      </c>
      <c r="AV242" t="n">
        <v>1.938641595</v>
      </c>
      <c r="AW242" t="n">
        <v>5.307973813</v>
      </c>
    </row>
    <row r="243">
      <c r="A243" t="inlineStr">
        <is>
          <t>2007-Q3</t>
        </is>
      </c>
      <c r="B243" s="87" t="n">
        <v>39356</v>
      </c>
      <c r="C243" t="n">
        <v>8.264478924000001</v>
      </c>
      <c r="D243" t="n">
        <v>4.523165039</v>
      </c>
      <c r="E243" t="n">
        <v>3.51356223</v>
      </c>
      <c r="F243" t="n">
        <v>3.832958079</v>
      </c>
      <c r="G243" t="n">
        <v>5.890267119</v>
      </c>
      <c r="H243" t="n">
        <v>2.448100483</v>
      </c>
      <c r="I243" t="n">
        <v>4.315850417</v>
      </c>
      <c r="J243" t="n">
        <v>4.125367062</v>
      </c>
      <c r="K243" t="n">
        <v>14.3</v>
      </c>
      <c r="L243" t="n">
        <v>5.37730355</v>
      </c>
      <c r="M243" t="n">
        <v>2.952319578</v>
      </c>
      <c r="N243" t="n">
        <v>0.547088857</v>
      </c>
      <c r="O243" t="n">
        <v>2.982242443</v>
      </c>
      <c r="P243" t="n">
        <v>3.586420235</v>
      </c>
      <c r="Q243" t="n">
        <v>6.505879188</v>
      </c>
      <c r="R243" t="n">
        <v>3.064454947</v>
      </c>
      <c r="T243" t="n">
        <v>5.53988642</v>
      </c>
      <c r="U243" t="n">
        <v>2.681226693</v>
      </c>
      <c r="V243" t="n">
        <v>2.298118027</v>
      </c>
      <c r="X243" t="n">
        <v>2.592506351</v>
      </c>
      <c r="Y243" t="n">
        <v>4.047603993</v>
      </c>
      <c r="Z243" t="n">
        <v>0.083611486</v>
      </c>
      <c r="AA243" t="n">
        <v>9.11082</v>
      </c>
      <c r="AB243" t="n">
        <v>1.904568263</v>
      </c>
      <c r="AC243" t="n">
        <v>7.315938588</v>
      </c>
      <c r="AD243" t="n">
        <v>7.448063467</v>
      </c>
      <c r="AE243" t="n">
        <v>1.525031992</v>
      </c>
      <c r="AF243" t="n">
        <v>1.505053658</v>
      </c>
      <c r="AG243" t="n">
        <v>5.463010624</v>
      </c>
      <c r="AH243" t="n">
        <v>8.105828926999999</v>
      </c>
      <c r="AI243" t="n">
        <v>10.412275109</v>
      </c>
      <c r="AJ243" t="n">
        <v>2.370677535</v>
      </c>
      <c r="AK243" t="n">
        <v>3.646875004</v>
      </c>
      <c r="AL243" t="n">
        <v>3.212887301</v>
      </c>
      <c r="AM243" t="n">
        <v>3.818665162</v>
      </c>
      <c r="AN243" t="n">
        <v>2.856548226</v>
      </c>
      <c r="AO243" t="n">
        <v>5.965105492</v>
      </c>
      <c r="AP243" t="n">
        <v>2.433312185</v>
      </c>
      <c r="AQ243" t="n">
        <v>8.711191776</v>
      </c>
      <c r="AR243" t="n">
        <v>10.123132621</v>
      </c>
      <c r="AS243" t="n">
        <v>7.551967458</v>
      </c>
      <c r="AT243" t="n">
        <v>2.943265772</v>
      </c>
      <c r="AU243" t="n">
        <v>4.765524045</v>
      </c>
      <c r="AV243" t="n">
        <v>2.39855985</v>
      </c>
      <c r="AW243" t="n">
        <v>5.090652339</v>
      </c>
    </row>
    <row r="244">
      <c r="A244" t="inlineStr">
        <is>
          <t>2007-Q4</t>
        </is>
      </c>
      <c r="B244" s="87" t="n">
        <v>39448</v>
      </c>
      <c r="C244" t="n">
        <v>9.193317517000001</v>
      </c>
      <c r="D244" t="n">
        <v>3.624118379</v>
      </c>
      <c r="E244" t="n">
        <v>3.324194079</v>
      </c>
      <c r="F244" t="n">
        <v>3.083887246</v>
      </c>
      <c r="G244" t="n">
        <v>6.269318171</v>
      </c>
      <c r="H244" t="n">
        <v>2.15730178</v>
      </c>
      <c r="I244" t="n">
        <v>4.076142249</v>
      </c>
      <c r="J244" t="n">
        <v>3.761817867</v>
      </c>
      <c r="K244" t="n">
        <v>13.9</v>
      </c>
      <c r="L244" t="n">
        <v>5.280013098</v>
      </c>
      <c r="M244" t="n">
        <v>2.091368972</v>
      </c>
      <c r="N244" t="n">
        <v>1.834574414</v>
      </c>
      <c r="O244" t="n">
        <v>2.33168222</v>
      </c>
      <c r="P244" t="n">
        <v>3.259496584</v>
      </c>
      <c r="Q244" t="n">
        <v>3.303558272</v>
      </c>
      <c r="R244" t="n">
        <v>2.626670298</v>
      </c>
      <c r="T244" t="n">
        <v>6.09991302</v>
      </c>
      <c r="U244" t="n">
        <v>2.109940115</v>
      </c>
      <c r="V244" t="n">
        <v>1.773061659</v>
      </c>
      <c r="X244" t="n">
        <v>2.334807137</v>
      </c>
      <c r="Y244" t="n">
        <v>0.964196719</v>
      </c>
      <c r="Z244" t="n">
        <v>-0.5167278749999999</v>
      </c>
      <c r="AA244" t="n">
        <v>10.89759</v>
      </c>
      <c r="AB244" t="n">
        <v>5.805148748</v>
      </c>
      <c r="AC244" t="n">
        <v>10.888773031</v>
      </c>
      <c r="AD244" t="n">
        <v>7.426993271</v>
      </c>
      <c r="AE244" t="n">
        <v>-0.09210055</v>
      </c>
      <c r="AF244" t="n">
        <v>0.587208598</v>
      </c>
      <c r="AG244" t="n">
        <v>6.904624178</v>
      </c>
      <c r="AH244" t="n">
        <v>7.396732731</v>
      </c>
      <c r="AI244" t="n">
        <v>4.499005567</v>
      </c>
      <c r="AJ244" t="n">
        <v>2.517638935</v>
      </c>
      <c r="AK244" t="n">
        <v>4.190193103</v>
      </c>
      <c r="AL244" t="n">
        <v>2.460709196</v>
      </c>
      <c r="AM244" t="n">
        <v>3.080058887</v>
      </c>
      <c r="AN244" t="n">
        <v>2.575552409</v>
      </c>
      <c r="AO244" t="n">
        <v>9.022629310999999</v>
      </c>
      <c r="AP244" t="n">
        <v>2.846505813</v>
      </c>
      <c r="AQ244" t="n">
        <v>10.092326711</v>
      </c>
      <c r="AR244" t="n">
        <v>13.922405083</v>
      </c>
      <c r="AS244" t="n">
        <v>5.475457406</v>
      </c>
      <c r="AT244" t="n">
        <v>3.439897884</v>
      </c>
      <c r="AU244" t="n">
        <v>5.968187251</v>
      </c>
      <c r="AV244" t="n">
        <v>2.160883208</v>
      </c>
      <c r="AW244" t="n">
        <v>5.126167166</v>
      </c>
    </row>
    <row r="245">
      <c r="A245" t="inlineStr">
        <is>
          <t>2008-Q1</t>
        </is>
      </c>
      <c r="B245" s="87" t="n">
        <v>39539</v>
      </c>
      <c r="C245" t="n">
        <v>7.684608369</v>
      </c>
      <c r="D245" t="n">
        <v>3.260415899</v>
      </c>
      <c r="E245" t="n">
        <v>3.058011006</v>
      </c>
      <c r="F245" t="n">
        <v>2.082244476</v>
      </c>
      <c r="G245" t="n">
        <v>5.378791965</v>
      </c>
      <c r="H245" t="n">
        <v>1.585825708</v>
      </c>
      <c r="I245" t="n">
        <v>4.377603919</v>
      </c>
      <c r="J245" t="n">
        <v>5.416362763</v>
      </c>
      <c r="K245" t="n">
        <v>11.5</v>
      </c>
      <c r="L245" t="n">
        <v>4.086643983</v>
      </c>
      <c r="M245" t="n">
        <v>2.655653474</v>
      </c>
      <c r="N245" t="n">
        <v>1.45612883</v>
      </c>
      <c r="O245" t="n">
        <v>2.177061605</v>
      </c>
      <c r="P245" t="n">
        <v>2.544256265</v>
      </c>
      <c r="Q245" t="n">
        <v>-2.231635793</v>
      </c>
      <c r="R245" t="n">
        <v>2.406867097</v>
      </c>
      <c r="T245" t="n">
        <v>3.960451139</v>
      </c>
      <c r="U245" t="n">
        <v>1.755408782</v>
      </c>
      <c r="V245" t="n">
        <v>1.453400434</v>
      </c>
      <c r="X245" t="n">
        <v>2.151563217</v>
      </c>
      <c r="Y245" t="n">
        <v>2.385711643</v>
      </c>
      <c r="Z245" t="n">
        <v>1.584632708</v>
      </c>
      <c r="AA245" t="n">
        <v>8.53763</v>
      </c>
      <c r="AB245" t="n">
        <v>-2.726269543</v>
      </c>
      <c r="AC245" t="n">
        <v>6.07380934</v>
      </c>
      <c r="AD245" t="n">
        <v>6.070431857</v>
      </c>
      <c r="AE245" t="n">
        <v>1.178644691</v>
      </c>
      <c r="AF245" t="n">
        <v>0.278826955</v>
      </c>
      <c r="AG245" t="n">
        <v>5.567555979</v>
      </c>
      <c r="AH245" t="n">
        <v>3.360666487</v>
      </c>
      <c r="AI245" t="n">
        <v>4.83410028</v>
      </c>
      <c r="AJ245" t="n">
        <v>1.596128796</v>
      </c>
      <c r="AK245" t="n">
        <v>3.347400249</v>
      </c>
      <c r="AL245" t="n">
        <v>1.097354766</v>
      </c>
      <c r="AM245" t="n">
        <v>1.508008554</v>
      </c>
      <c r="AN245" t="n">
        <v>2.076847882</v>
      </c>
      <c r="AO245" t="n">
        <v>6.237085896</v>
      </c>
      <c r="AP245" t="n">
        <v>1.783361064</v>
      </c>
      <c r="AQ245" t="n">
        <v>11.000110756</v>
      </c>
      <c r="AR245" t="n">
        <v>8.445419589</v>
      </c>
      <c r="AS245" t="n">
        <v>5.142837543</v>
      </c>
      <c r="AT245" t="n">
        <v>1.619854319</v>
      </c>
      <c r="AU245" t="n">
        <v>6.263136295</v>
      </c>
      <c r="AV245" t="n">
        <v>1.446803001</v>
      </c>
      <c r="AW245" t="n">
        <v>3.881015637</v>
      </c>
    </row>
    <row r="246">
      <c r="A246" t="inlineStr">
        <is>
          <t>2008-Q2</t>
        </is>
      </c>
      <c r="B246" s="87" t="n">
        <v>39630</v>
      </c>
      <c r="C246" t="n">
        <v>6.023782091</v>
      </c>
      <c r="D246" t="n">
        <v>2.929987771</v>
      </c>
      <c r="E246" t="n">
        <v>2.702101196</v>
      </c>
      <c r="F246" t="n">
        <v>1.682569743</v>
      </c>
      <c r="G246" t="n">
        <v>6.167880624</v>
      </c>
      <c r="H246" t="n">
        <v>0.974880143</v>
      </c>
      <c r="I246" t="n">
        <v>3.812860367</v>
      </c>
      <c r="J246" t="n">
        <v>4.503511176</v>
      </c>
      <c r="K246" t="n">
        <v>10.9</v>
      </c>
      <c r="L246" t="n">
        <v>3.914062455</v>
      </c>
      <c r="M246" t="n">
        <v>1.565048592</v>
      </c>
      <c r="N246" t="n">
        <v>0.972250724</v>
      </c>
      <c r="O246" t="n">
        <v>1.117267197</v>
      </c>
      <c r="P246" t="n">
        <v>1.74439843</v>
      </c>
      <c r="Q246" t="n">
        <v>-1.622402422</v>
      </c>
      <c r="R246" t="n">
        <v>1.427259728</v>
      </c>
      <c r="T246" t="n">
        <v>1.304736046</v>
      </c>
      <c r="U246" t="n">
        <v>0.56017455</v>
      </c>
      <c r="V246" t="n">
        <v>0.958068722</v>
      </c>
      <c r="X246" t="n">
        <v>1.221949385</v>
      </c>
      <c r="Y246" t="n">
        <v>-1.147594182</v>
      </c>
      <c r="Z246" t="n">
        <v>2.37646694</v>
      </c>
      <c r="AA246" t="n">
        <v>6.97469</v>
      </c>
      <c r="AB246" t="n">
        <v>-3.692638398</v>
      </c>
      <c r="AC246" t="n">
        <v>4.071273022</v>
      </c>
      <c r="AD246" t="n">
        <v>4.421491775</v>
      </c>
      <c r="AE246" t="n">
        <v>0.041693491</v>
      </c>
      <c r="AF246" t="n">
        <v>-0.336876768</v>
      </c>
      <c r="AG246" t="n">
        <v>4.315216973</v>
      </c>
      <c r="AH246" t="n">
        <v>0.011279991</v>
      </c>
      <c r="AI246" t="n">
        <v>-1.001995873</v>
      </c>
      <c r="AJ246" t="n">
        <v>1.592843956</v>
      </c>
      <c r="AK246" t="n">
        <v>3.327802565</v>
      </c>
      <c r="AL246" t="n">
        <v>1.149481624</v>
      </c>
      <c r="AM246" t="n">
        <v>0.289505512</v>
      </c>
      <c r="AN246" t="n">
        <v>1.435367921</v>
      </c>
      <c r="AO246" t="n">
        <v>5.295236294</v>
      </c>
      <c r="AP246" t="n">
        <v>0.835148152</v>
      </c>
      <c r="AQ246" t="n">
        <v>8.940647999999999</v>
      </c>
      <c r="AR246" t="n">
        <v>7.148870634</v>
      </c>
      <c r="AS246" t="n">
        <v>5.620255668</v>
      </c>
      <c r="AT246" t="n">
        <v>1.100031186</v>
      </c>
      <c r="AU246" t="n">
        <v>2.460997175</v>
      </c>
      <c r="AV246" t="n">
        <v>1.380132559</v>
      </c>
      <c r="AW246" t="n">
        <v>4.294531432</v>
      </c>
    </row>
    <row r="247">
      <c r="A247" t="inlineStr">
        <is>
          <t>2008-Q3</t>
        </is>
      </c>
      <c r="B247" s="87" t="n">
        <v>39722</v>
      </c>
      <c r="C247" t="n">
        <v>5.436052474</v>
      </c>
      <c r="D247" t="n">
        <v>2.490241705</v>
      </c>
      <c r="E247" t="n">
        <v>1.721907178</v>
      </c>
      <c r="F247" t="n">
        <v>0.31390366</v>
      </c>
      <c r="G247" t="n">
        <v>6.621673307</v>
      </c>
      <c r="H247" t="n">
        <v>1.377281448</v>
      </c>
      <c r="I247" t="n">
        <v>3.236512913</v>
      </c>
      <c r="J247" t="n">
        <v>3.467173563</v>
      </c>
      <c r="K247" t="n">
        <v>9.5</v>
      </c>
      <c r="L247" t="n">
        <v>2.583955608</v>
      </c>
      <c r="M247" t="n">
        <v>0.408135944</v>
      </c>
      <c r="N247" t="n">
        <v>-0.551895439</v>
      </c>
      <c r="O247" t="n">
        <v>0.145973055</v>
      </c>
      <c r="P247" t="n">
        <v>0.7842644600000001</v>
      </c>
      <c r="Q247" t="n">
        <v>-1.772980781</v>
      </c>
      <c r="R247" t="n">
        <v>0.400499924</v>
      </c>
      <c r="T247" t="n">
        <v>0.729492064</v>
      </c>
      <c r="U247" t="n">
        <v>-0.075662381</v>
      </c>
      <c r="V247" t="n">
        <v>-0.108522098</v>
      </c>
      <c r="X247" t="n">
        <v>-0.9623499170000001</v>
      </c>
      <c r="Y247" t="n">
        <v>-0.624737981</v>
      </c>
      <c r="Z247" t="n">
        <v>1.663921079</v>
      </c>
      <c r="AA247" t="n">
        <v>6.00342</v>
      </c>
      <c r="AB247" t="n">
        <v>-1.977091187</v>
      </c>
      <c r="AC247" t="n">
        <v>-1.076496937</v>
      </c>
      <c r="AD247" t="n">
        <v>2.64689178</v>
      </c>
      <c r="AE247" t="n">
        <v>-1.413232877</v>
      </c>
      <c r="AF247" t="n">
        <v>-1.041875868</v>
      </c>
      <c r="AG247" t="n">
        <v>3.946152422</v>
      </c>
      <c r="AH247" t="n">
        <v>-0.077694162</v>
      </c>
      <c r="AI247" t="n">
        <v>-6.772798311</v>
      </c>
      <c r="AJ247" t="n">
        <v>1.282739338</v>
      </c>
      <c r="AK247" t="n">
        <v>2.061055447</v>
      </c>
      <c r="AL247" t="n">
        <v>-0.314547504</v>
      </c>
      <c r="AM247" t="n">
        <v>-0.7887410379999999</v>
      </c>
      <c r="AN247" t="n">
        <v>0.403772317</v>
      </c>
      <c r="AO247" t="n">
        <v>3.189569707</v>
      </c>
      <c r="AP247" t="n">
        <v>0.544806431</v>
      </c>
      <c r="AQ247" t="n">
        <v>5.001309203</v>
      </c>
      <c r="AR247" t="n">
        <v>6.155438139</v>
      </c>
      <c r="AS247" t="n">
        <v>2.927635605</v>
      </c>
      <c r="AT247" t="n">
        <v>-0.211287057</v>
      </c>
      <c r="AU247" t="n">
        <v>0.012943583</v>
      </c>
      <c r="AV247" t="n">
        <v>0.242202378</v>
      </c>
      <c r="AW247" t="n">
        <v>3.332733184</v>
      </c>
    </row>
    <row r="248">
      <c r="A248" t="inlineStr">
        <is>
          <t>2008-Q4</t>
        </is>
      </c>
      <c r="B248" s="87" t="n">
        <v>39814</v>
      </c>
      <c r="C248" t="n">
        <v>-2.561678863</v>
      </c>
      <c r="D248" t="n">
        <v>1.588136222</v>
      </c>
      <c r="E248" t="n">
        <v>-1.404563495</v>
      </c>
      <c r="F248" t="n">
        <v>-2.258376355</v>
      </c>
      <c r="G248" t="n">
        <v>1.024554502</v>
      </c>
      <c r="H248" t="n">
        <v>0.08807601</v>
      </c>
      <c r="I248" t="n">
        <v>-0.730882675</v>
      </c>
      <c r="J248" t="n">
        <v>0.765747218</v>
      </c>
      <c r="K248" t="n">
        <v>7.1</v>
      </c>
      <c r="L248" t="n">
        <v>-0.458873561</v>
      </c>
      <c r="M248" t="n">
        <v>-1.845717651</v>
      </c>
      <c r="N248" t="n">
        <v>-3.867425881</v>
      </c>
      <c r="O248" t="n">
        <v>-2.164145072</v>
      </c>
      <c r="P248" t="n">
        <v>-1.475769982</v>
      </c>
      <c r="Q248" t="n">
        <v>-12.838645469</v>
      </c>
      <c r="R248" t="n">
        <v>-2.019004416</v>
      </c>
      <c r="T248" t="n">
        <v>-2.715996578</v>
      </c>
      <c r="U248" t="n">
        <v>-1.758673933</v>
      </c>
      <c r="V248" t="n">
        <v>-2.635117593</v>
      </c>
      <c r="X248" t="n">
        <v>-3.320767748</v>
      </c>
      <c r="Y248" t="n">
        <v>-1.52470938</v>
      </c>
      <c r="Z248" t="n">
        <v>-2.179745568</v>
      </c>
      <c r="AA248" t="n">
        <v>2.66643</v>
      </c>
      <c r="AB248" t="n">
        <v>-9.796243280000001</v>
      </c>
      <c r="AC248" t="n">
        <v>0.021443322</v>
      </c>
      <c r="AD248" t="n">
        <v>0.4029305</v>
      </c>
      <c r="AE248" t="n">
        <v>-3.667227469</v>
      </c>
      <c r="AF248" t="n">
        <v>-3.898334479</v>
      </c>
      <c r="AG248" t="n">
        <v>-1.589977756</v>
      </c>
      <c r="AH248" t="n">
        <v>-4.516749601</v>
      </c>
      <c r="AI248" t="n">
        <v>-7.943587563</v>
      </c>
      <c r="AJ248" t="n">
        <v>-0.760147763</v>
      </c>
      <c r="AK248" t="n">
        <v>0.034028853</v>
      </c>
      <c r="AL248" t="n">
        <v>-1.078735198</v>
      </c>
      <c r="AM248" t="n">
        <v>-1.616194625</v>
      </c>
      <c r="AN248" t="n">
        <v>-2.282061245</v>
      </c>
      <c r="AO248" t="n">
        <v>2.233846407</v>
      </c>
      <c r="AP248" t="n">
        <v>-1.851532345</v>
      </c>
      <c r="AQ248" t="n">
        <v>-1.557639212</v>
      </c>
      <c r="AR248" t="n">
        <v>1.010523188</v>
      </c>
      <c r="AS248" t="n">
        <v>-1.126524138</v>
      </c>
      <c r="AT248" t="n">
        <v>-4.833513663</v>
      </c>
      <c r="AU248" t="n">
        <v>-5.762221898</v>
      </c>
      <c r="AV248" t="n">
        <v>-2.54033926</v>
      </c>
      <c r="AW248" t="n">
        <v>1.308885463</v>
      </c>
    </row>
    <row r="249">
      <c r="A249" t="inlineStr">
        <is>
          <t>2009-Q1</t>
        </is>
      </c>
      <c r="B249" s="87" t="n">
        <v>39904</v>
      </c>
      <c r="C249" t="n">
        <v>-6.960736094</v>
      </c>
      <c r="D249" t="n">
        <v>1.464080881</v>
      </c>
      <c r="E249" t="n">
        <v>-3.753871042</v>
      </c>
      <c r="F249" t="n">
        <v>-3.625919024</v>
      </c>
      <c r="G249" t="n">
        <v>-1.49050906</v>
      </c>
      <c r="H249" t="n">
        <v>-2.248517705</v>
      </c>
      <c r="I249" t="n">
        <v>-3.103913873</v>
      </c>
      <c r="J249" t="n">
        <v>-2.55277585</v>
      </c>
      <c r="K249" t="n">
        <v>6.4</v>
      </c>
      <c r="L249" t="n">
        <v>-4.332828724</v>
      </c>
      <c r="M249" t="n">
        <v>-7.026768845</v>
      </c>
      <c r="N249" t="n">
        <v>-5.196421572</v>
      </c>
      <c r="O249" t="n">
        <v>-5.65436128</v>
      </c>
      <c r="P249" t="n">
        <v>-4.24945107</v>
      </c>
      <c r="Q249" t="n">
        <v>-13.223559534</v>
      </c>
      <c r="R249" t="n">
        <v>-5.368215377</v>
      </c>
      <c r="T249" t="n">
        <v>-8.905661724</v>
      </c>
      <c r="U249" t="n">
        <v>-3.754047279</v>
      </c>
      <c r="V249" t="n">
        <v>-4.942172289</v>
      </c>
      <c r="X249" t="n">
        <v>-5.632456088</v>
      </c>
      <c r="Y249" t="n">
        <v>-6.770290811</v>
      </c>
      <c r="Z249" t="n">
        <v>-7.089359331</v>
      </c>
      <c r="AA249" t="n">
        <v>0.16417</v>
      </c>
      <c r="AB249" t="n">
        <v>-6.907341571</v>
      </c>
      <c r="AC249" t="n">
        <v>-7.375694711</v>
      </c>
      <c r="AD249" t="n">
        <v>-0.452077805</v>
      </c>
      <c r="AE249" t="n">
        <v>-7.296198986</v>
      </c>
      <c r="AF249" t="n">
        <v>-8.840874692</v>
      </c>
      <c r="AG249" t="n">
        <v>-1.896186505</v>
      </c>
      <c r="AH249" t="n">
        <v>-7.313724218</v>
      </c>
      <c r="AI249" t="n">
        <v>-13.059758834</v>
      </c>
      <c r="AJ249" t="n">
        <v>-5.649110787</v>
      </c>
      <c r="AK249" t="n">
        <v>-3.875672173</v>
      </c>
      <c r="AL249" t="n">
        <v>-0.6473367209999999</v>
      </c>
      <c r="AM249" t="n">
        <v>-2.301845512</v>
      </c>
      <c r="AN249" t="n">
        <v>-4.725721111</v>
      </c>
      <c r="AO249" t="n">
        <v>1.893840832</v>
      </c>
      <c r="AP249" t="n">
        <v>-4.328946865</v>
      </c>
      <c r="AQ249" t="n">
        <v>-7.484284221</v>
      </c>
      <c r="AR249" t="n">
        <v>-6.054641811</v>
      </c>
      <c r="AS249" t="n">
        <v>-6.923149578</v>
      </c>
      <c r="AT249" t="n">
        <v>-5.491042668</v>
      </c>
      <c r="AU249" t="n">
        <v>-12.933908436</v>
      </c>
      <c r="AV249" t="n">
        <v>-3.282392444</v>
      </c>
      <c r="AW249" t="n">
        <v>-0.684149216</v>
      </c>
    </row>
    <row r="250">
      <c r="A250" t="inlineStr">
        <is>
          <t>2009-Q2</t>
        </is>
      </c>
      <c r="B250" s="87" t="n">
        <v>39995</v>
      </c>
      <c r="C250" t="n">
        <v>-9.528438393</v>
      </c>
      <c r="D250" t="n">
        <v>1.930913852</v>
      </c>
      <c r="E250" t="n">
        <v>-5.291539384</v>
      </c>
      <c r="F250" t="n">
        <v>-3.641015145</v>
      </c>
      <c r="G250" t="n">
        <v>-1.98878264</v>
      </c>
      <c r="H250" t="n">
        <v>-3.663660624</v>
      </c>
      <c r="I250" t="n">
        <v>-3.389578981</v>
      </c>
      <c r="J250" t="n">
        <v>-3.19179597</v>
      </c>
      <c r="K250" t="n">
        <v>8.199999999999999</v>
      </c>
      <c r="L250" t="n">
        <v>-5.349052031</v>
      </c>
      <c r="M250" t="n">
        <v>-6.66062753</v>
      </c>
      <c r="N250" t="n">
        <v>-6.168268009</v>
      </c>
      <c r="O250" t="n">
        <v>-5.364958626</v>
      </c>
      <c r="P250" t="n">
        <v>-4.364255549</v>
      </c>
      <c r="Q250" t="n">
        <v>-16.995006457</v>
      </c>
      <c r="R250" t="n">
        <v>-5.191100674</v>
      </c>
      <c r="T250" t="n">
        <v>-8.569424207999999</v>
      </c>
      <c r="U250" t="n">
        <v>-3.438671481</v>
      </c>
      <c r="V250" t="n">
        <v>-4.888334875</v>
      </c>
      <c r="X250" t="n">
        <v>-5.502992341</v>
      </c>
      <c r="Y250" t="n">
        <v>-3.564516207</v>
      </c>
      <c r="Z250" t="n">
        <v>-7.630842195</v>
      </c>
      <c r="AA250" t="n">
        <v>4.88252</v>
      </c>
      <c r="AB250" t="n">
        <v>-5.022531606</v>
      </c>
      <c r="AC250" t="n">
        <v>-10.205126783</v>
      </c>
      <c r="AD250" t="n">
        <v>0.427370931</v>
      </c>
      <c r="AE250" t="n">
        <v>-6.708562559</v>
      </c>
      <c r="AF250" t="n">
        <v>-6.520659807</v>
      </c>
      <c r="AG250" t="n">
        <v>-1.106362311</v>
      </c>
      <c r="AH250" t="n">
        <v>-5.119012108</v>
      </c>
      <c r="AI250" t="n">
        <v>-14.887804606</v>
      </c>
      <c r="AJ250" t="n">
        <v>-7.757348592</v>
      </c>
      <c r="AK250" t="n">
        <v>-4.344447473</v>
      </c>
      <c r="AL250" t="n">
        <v>-1.570354162</v>
      </c>
      <c r="AM250" t="n">
        <v>-2.059424217</v>
      </c>
      <c r="AN250" t="n">
        <v>-4.556083349</v>
      </c>
      <c r="AO250" t="n">
        <v>1.693637155</v>
      </c>
      <c r="AP250" t="n">
        <v>-3.769342325</v>
      </c>
      <c r="AQ250" t="n">
        <v>-9.397149205</v>
      </c>
      <c r="AR250" t="n">
        <v>-5.68343783</v>
      </c>
      <c r="AS250" t="n">
        <v>-9.490143295999999</v>
      </c>
      <c r="AT250" t="n">
        <v>-5.400758682</v>
      </c>
      <c r="AU250" t="n">
        <v>-6.113517389</v>
      </c>
      <c r="AV250" t="n">
        <v>-3.995504779</v>
      </c>
      <c r="AW250" t="n">
        <v>-2.218810477</v>
      </c>
    </row>
    <row r="251">
      <c r="A251" t="inlineStr">
        <is>
          <t>2009-Q3</t>
        </is>
      </c>
      <c r="B251" s="87" t="n">
        <v>40087</v>
      </c>
      <c r="C251" t="n">
        <v>-6.719158022</v>
      </c>
      <c r="D251" t="n">
        <v>1.500372739</v>
      </c>
      <c r="E251" t="n">
        <v>-4.247350678</v>
      </c>
      <c r="F251" t="n">
        <v>-1.849735973</v>
      </c>
      <c r="G251" t="n">
        <v>-1.13493466</v>
      </c>
      <c r="H251" t="n">
        <v>-4.017306655</v>
      </c>
      <c r="I251" t="n">
        <v>-2.655385454</v>
      </c>
      <c r="J251" t="n">
        <v>-1.276709266</v>
      </c>
      <c r="K251" t="n">
        <v>10.6</v>
      </c>
      <c r="L251" t="n">
        <v>-5.086406361</v>
      </c>
      <c r="M251" t="n">
        <v>-5.527477918</v>
      </c>
      <c r="N251" t="n">
        <v>-5.290600352</v>
      </c>
      <c r="O251" t="n">
        <v>-4.484833934</v>
      </c>
      <c r="P251" t="n">
        <v>-3.985540796</v>
      </c>
      <c r="Q251" t="n">
        <v>-18.666624691</v>
      </c>
      <c r="R251" t="n">
        <v>-4.355875796</v>
      </c>
      <c r="T251" t="n">
        <v>-8.041588240999999</v>
      </c>
      <c r="U251" t="n">
        <v>-3.012301092</v>
      </c>
      <c r="V251" t="n">
        <v>-3.938968328</v>
      </c>
      <c r="X251" t="n">
        <v>-4.012850455</v>
      </c>
      <c r="Y251" t="n">
        <v>-4.170677348</v>
      </c>
      <c r="Z251" t="n">
        <v>-7.456697699</v>
      </c>
      <c r="AA251" t="n">
        <v>6.63314</v>
      </c>
      <c r="AB251" t="n">
        <v>-5.544054131</v>
      </c>
      <c r="AC251" t="n">
        <v>-3.736742223</v>
      </c>
      <c r="AD251" t="n">
        <v>1.354309762</v>
      </c>
      <c r="AE251" t="n">
        <v>-4.99520869</v>
      </c>
      <c r="AF251" t="n">
        <v>-5.382836961</v>
      </c>
      <c r="AG251" t="n">
        <v>1.028926786</v>
      </c>
      <c r="AH251" t="n">
        <v>-2.284712245</v>
      </c>
      <c r="AI251" t="n">
        <v>-15.789845522</v>
      </c>
      <c r="AJ251" t="n">
        <v>-5.019454109</v>
      </c>
      <c r="AK251" t="n">
        <v>-3.843695076</v>
      </c>
      <c r="AL251" t="n">
        <v>-1.326673352</v>
      </c>
      <c r="AM251" t="n">
        <v>-1.239016305</v>
      </c>
      <c r="AN251" t="n">
        <v>-3.513907055</v>
      </c>
      <c r="AO251" t="n">
        <v>2.627170146</v>
      </c>
      <c r="AP251" t="n">
        <v>-2.840185393</v>
      </c>
      <c r="AQ251" t="n">
        <v>-7.64863958</v>
      </c>
      <c r="AR251" t="n">
        <v>-5.401386328</v>
      </c>
      <c r="AS251" t="n">
        <v>-8.734751239</v>
      </c>
      <c r="AT251" t="n">
        <v>-4.952645111</v>
      </c>
      <c r="AU251" t="n">
        <v>-2.085237668</v>
      </c>
      <c r="AV251" t="n">
        <v>-3.137675003</v>
      </c>
      <c r="AW251" t="n">
        <v>-2.225664366</v>
      </c>
    </row>
    <row r="252">
      <c r="A252" t="inlineStr">
        <is>
          <t>2009-Q4</t>
        </is>
      </c>
      <c r="B252" s="87" t="n">
        <v>40179</v>
      </c>
      <c r="C252" t="n">
        <v>-0.238941827</v>
      </c>
      <c r="D252" t="n">
        <v>2.7572037</v>
      </c>
      <c r="E252" t="n">
        <v>-1.604026477</v>
      </c>
      <c r="F252" t="n">
        <v>1.131078891</v>
      </c>
      <c r="G252" t="n">
        <v>5.351518059</v>
      </c>
      <c r="H252" t="n">
        <v>-1.758873711</v>
      </c>
      <c r="I252" t="n">
        <v>1.003645932</v>
      </c>
      <c r="J252" t="n">
        <v>0.925816681</v>
      </c>
      <c r="K252" t="n">
        <v>11.9</v>
      </c>
      <c r="L252" t="n">
        <v>-3.238640115</v>
      </c>
      <c r="M252" t="n">
        <v>-3.290887765</v>
      </c>
      <c r="N252" t="n">
        <v>-2.911942209</v>
      </c>
      <c r="O252" t="n">
        <v>-2.30815179</v>
      </c>
      <c r="P252" t="n">
        <v>-2.430336859</v>
      </c>
      <c r="Q252" t="n">
        <v>-7.35494918</v>
      </c>
      <c r="R252" t="n">
        <v>-2.128002167</v>
      </c>
      <c r="T252" t="n">
        <v>-6.75056789</v>
      </c>
      <c r="U252" t="n">
        <v>-0.895953813</v>
      </c>
      <c r="V252" t="n">
        <v>-0.98449401</v>
      </c>
      <c r="X252" t="n">
        <v>-1.74462856</v>
      </c>
      <c r="Y252" t="n">
        <v>-2.688349298</v>
      </c>
      <c r="Z252" t="n">
        <v>-4.110425148</v>
      </c>
      <c r="AA252" t="n">
        <v>8.767620000000001</v>
      </c>
      <c r="AB252" t="n">
        <v>-2.717954701</v>
      </c>
      <c r="AC252" t="n">
        <v>-9.122327258</v>
      </c>
      <c r="AD252" t="n">
        <v>3.539421934</v>
      </c>
      <c r="AE252" t="n">
        <v>-2.122469889</v>
      </c>
      <c r="AF252" t="n">
        <v>-1.785127609</v>
      </c>
      <c r="AG252" t="n">
        <v>5.239425329</v>
      </c>
      <c r="AH252" t="n">
        <v>1.927611799</v>
      </c>
      <c r="AI252" t="n">
        <v>-13.445828745</v>
      </c>
      <c r="AJ252" t="n">
        <v>-1.8409171</v>
      </c>
      <c r="AK252" t="n">
        <v>-2.62188036</v>
      </c>
      <c r="AL252" t="n">
        <v>-1.582324827</v>
      </c>
      <c r="AM252" t="n">
        <v>0.690587681</v>
      </c>
      <c r="AN252" t="n">
        <v>-0.664554278</v>
      </c>
      <c r="AO252" t="n">
        <v>4.663019194</v>
      </c>
      <c r="AP252" t="n">
        <v>-1.521659332</v>
      </c>
      <c r="AQ252" t="n">
        <v>-3.511662307</v>
      </c>
      <c r="AR252" t="n">
        <v>-4.710492961</v>
      </c>
      <c r="AS252" t="n">
        <v>-5.303044185</v>
      </c>
      <c r="AT252" t="n">
        <v>-1.016629936</v>
      </c>
      <c r="AU252" t="n">
        <v>2.428114659</v>
      </c>
      <c r="AV252" t="n">
        <v>0.08165758400000001</v>
      </c>
      <c r="AW252" t="n">
        <v>-1.010038329</v>
      </c>
    </row>
    <row r="253">
      <c r="A253" t="inlineStr">
        <is>
          <t>2010-Q1</t>
        </is>
      </c>
      <c r="B253" s="87" t="n">
        <v>40269</v>
      </c>
      <c r="C253" t="n">
        <v>6.690648341</v>
      </c>
      <c r="D253" t="n">
        <v>2.271182822</v>
      </c>
      <c r="E253" t="n">
        <v>-0.300116576</v>
      </c>
      <c r="F253" t="n">
        <v>2.654143247</v>
      </c>
      <c r="G253" t="n">
        <v>9.265577454000001</v>
      </c>
      <c r="H253" t="n">
        <v>1.724913568</v>
      </c>
      <c r="I253" t="n">
        <v>3.333996509</v>
      </c>
      <c r="J253" t="n">
        <v>2.119668181</v>
      </c>
      <c r="K253" t="n">
        <v>12.2</v>
      </c>
      <c r="L253" t="n">
        <v>0.849043346</v>
      </c>
      <c r="M253" t="n">
        <v>2.277973069</v>
      </c>
      <c r="N253" t="n">
        <v>-0.659459022</v>
      </c>
      <c r="O253" t="n">
        <v>1.231939579</v>
      </c>
      <c r="P253" t="n">
        <v>0.15163904</v>
      </c>
      <c r="Q253" t="n">
        <v>-3.519526346</v>
      </c>
      <c r="R253" t="n">
        <v>1.20162888</v>
      </c>
      <c r="T253" t="n">
        <v>0.70712215</v>
      </c>
      <c r="U253" t="n">
        <v>1.119788937</v>
      </c>
      <c r="V253" t="n">
        <v>1.987818362</v>
      </c>
      <c r="X253" t="n">
        <v>0.757554435</v>
      </c>
      <c r="Y253" t="n">
        <v>-3.521078099</v>
      </c>
      <c r="Z253" t="n">
        <v>0.02059617</v>
      </c>
      <c r="AA253" t="n">
        <v>13.69473</v>
      </c>
      <c r="AB253" t="n">
        <v>-0.26407074</v>
      </c>
      <c r="AC253" t="n">
        <v>-5.216354137</v>
      </c>
      <c r="AD253" t="n">
        <v>4.984390288</v>
      </c>
      <c r="AE253" t="n">
        <v>0.856844126</v>
      </c>
      <c r="AF253" t="n">
        <v>4.261456735</v>
      </c>
      <c r="AG253" t="n">
        <v>7.204676456</v>
      </c>
      <c r="AH253" t="n">
        <v>5.730286924</v>
      </c>
      <c r="AI253" t="n">
        <v>-10.738022146</v>
      </c>
      <c r="AJ253" t="n">
        <v>4.541546168</v>
      </c>
      <c r="AK253" t="n">
        <v>0.817613978</v>
      </c>
      <c r="AL253" t="n">
        <v>1.17341442</v>
      </c>
      <c r="AM253" t="n">
        <v>2.050902769</v>
      </c>
      <c r="AN253" t="n">
        <v>2.300831339</v>
      </c>
      <c r="AO253" t="n">
        <v>2.601041623</v>
      </c>
      <c r="AP253" t="n">
        <v>1.852117731</v>
      </c>
      <c r="AQ253" t="n">
        <v>2.154681118</v>
      </c>
      <c r="AR253" t="n">
        <v>7.354653041</v>
      </c>
      <c r="AS253" t="n">
        <v>-1.108527125</v>
      </c>
      <c r="AT253" t="n">
        <v>3.162089361</v>
      </c>
      <c r="AU253" t="n">
        <v>8.25769382</v>
      </c>
      <c r="AV253" t="n">
        <v>1.768457232</v>
      </c>
      <c r="AW253" t="n">
        <v>1.727313894</v>
      </c>
    </row>
    <row r="254">
      <c r="A254" t="inlineStr">
        <is>
          <t>2010-Q2</t>
        </is>
      </c>
      <c r="B254" s="87" t="n">
        <v>40360</v>
      </c>
      <c r="C254" t="n">
        <v>13.960561885</v>
      </c>
      <c r="D254" t="n">
        <v>2.162850859</v>
      </c>
      <c r="E254" t="n">
        <v>1.843112195</v>
      </c>
      <c r="F254" t="n">
        <v>3.616108409</v>
      </c>
      <c r="G254" t="n">
        <v>8.373888475999999</v>
      </c>
      <c r="H254" t="n">
        <v>3.385402366</v>
      </c>
      <c r="I254" t="n">
        <v>3.570826826</v>
      </c>
      <c r="J254" t="n">
        <v>6.247893535</v>
      </c>
      <c r="K254" t="n">
        <v>10.8</v>
      </c>
      <c r="L254" t="n">
        <v>2.379254501</v>
      </c>
      <c r="M254" t="n">
        <v>4.403387043</v>
      </c>
      <c r="N254" t="n">
        <v>1.996593348</v>
      </c>
      <c r="O254" t="n">
        <v>2.235102278</v>
      </c>
      <c r="P254" t="n">
        <v>0.31260338</v>
      </c>
      <c r="Q254" t="n">
        <v>1.115471093</v>
      </c>
      <c r="R254" t="n">
        <v>2.277644627</v>
      </c>
      <c r="T254" t="n">
        <v>3.942631175</v>
      </c>
      <c r="U254" t="n">
        <v>1.739187244</v>
      </c>
      <c r="V254" t="n">
        <v>2.967332602</v>
      </c>
      <c r="X254" t="n">
        <v>2.220528157</v>
      </c>
      <c r="Y254" t="n">
        <v>-9.651569372000001</v>
      </c>
      <c r="Z254" t="n">
        <v>0.833474976</v>
      </c>
      <c r="AA254" t="n">
        <v>10.03998</v>
      </c>
      <c r="AB254" t="n">
        <v>0.298160579</v>
      </c>
      <c r="AC254" t="n">
        <v>-1.076424293</v>
      </c>
      <c r="AD254" t="n">
        <v>5.331412256</v>
      </c>
      <c r="AE254" t="n">
        <v>1.935194734</v>
      </c>
      <c r="AF254" t="n">
        <v>3.482028326</v>
      </c>
      <c r="AG254" t="n">
        <v>7.804557338</v>
      </c>
      <c r="AH254" t="n">
        <v>5.566809141</v>
      </c>
      <c r="AI254" t="n">
        <v>-6.043795429</v>
      </c>
      <c r="AJ254" t="n">
        <v>7.284104913</v>
      </c>
      <c r="AK254" t="n">
        <v>1.257324097</v>
      </c>
      <c r="AL254" t="n">
        <v>0.986263818</v>
      </c>
      <c r="AM254" t="n">
        <v>2.828475772</v>
      </c>
      <c r="AN254" t="n">
        <v>3.228274094</v>
      </c>
      <c r="AO254" t="n">
        <v>4.118692707</v>
      </c>
      <c r="AP254" t="n">
        <v>2.323261872</v>
      </c>
      <c r="AQ254" t="n">
        <v>4.651978456</v>
      </c>
      <c r="AR254" t="n">
        <v>6.843976195</v>
      </c>
      <c r="AS254" t="n">
        <v>1.781794684</v>
      </c>
      <c r="AT254" t="n">
        <v>5.229776065</v>
      </c>
      <c r="AU254" t="n">
        <v>8.042974126000001</v>
      </c>
      <c r="AV254" t="n">
        <v>2.927467845</v>
      </c>
      <c r="AW254" t="n">
        <v>2.934508105</v>
      </c>
    </row>
    <row r="255">
      <c r="A255" t="inlineStr">
        <is>
          <t>2010-Q3</t>
        </is>
      </c>
      <c r="B255" s="87" t="n">
        <v>40452</v>
      </c>
      <c r="C255" t="n">
        <v>10.250343783</v>
      </c>
      <c r="D255" t="n">
        <v>2.58735546</v>
      </c>
      <c r="E255" t="n">
        <v>2.29311222</v>
      </c>
      <c r="F255" t="n">
        <v>2.749811226</v>
      </c>
      <c r="G255" t="n">
        <v>6.97457541</v>
      </c>
      <c r="H255" t="n">
        <v>3.651720446</v>
      </c>
      <c r="I255" t="n">
        <v>2.996371143</v>
      </c>
      <c r="J255" t="n">
        <v>7.527481036</v>
      </c>
      <c r="K255" t="n">
        <v>9.9</v>
      </c>
      <c r="L255" t="n">
        <v>2.783825203</v>
      </c>
      <c r="M255" t="n">
        <v>4.69597184</v>
      </c>
      <c r="N255" t="n">
        <v>3.256597062</v>
      </c>
      <c r="O255" t="n">
        <v>2.286760307</v>
      </c>
      <c r="P255" t="n">
        <v>0.05007437</v>
      </c>
      <c r="Q255" t="n">
        <v>4.656289692</v>
      </c>
      <c r="R255" t="n">
        <v>2.42108658</v>
      </c>
      <c r="T255" t="n">
        <v>2.567301507</v>
      </c>
      <c r="U255" t="n">
        <v>2.238969694</v>
      </c>
      <c r="V255" t="n">
        <v>3.575164151</v>
      </c>
      <c r="X255" t="n">
        <v>2.872013926</v>
      </c>
      <c r="Y255" t="n">
        <v>-12.027950105</v>
      </c>
      <c r="Z255" t="n">
        <v>1.623903686</v>
      </c>
      <c r="AA255" t="n">
        <v>10.47142</v>
      </c>
      <c r="AB255" t="n">
        <v>2.156221996</v>
      </c>
      <c r="AC255" t="n">
        <v>-4.476266226</v>
      </c>
      <c r="AD255" t="n">
        <v>5.496269778</v>
      </c>
      <c r="AE255" t="n">
        <v>1.829995789</v>
      </c>
      <c r="AF255" t="n">
        <v>5.405771714</v>
      </c>
      <c r="AG255" t="n">
        <v>5.881250359</v>
      </c>
      <c r="AH255" t="n">
        <v>1.724398119</v>
      </c>
      <c r="AI255" t="n">
        <v>-1.377871387</v>
      </c>
      <c r="AJ255" t="n">
        <v>4.835042074</v>
      </c>
      <c r="AK255" t="n">
        <v>1.298589277</v>
      </c>
      <c r="AL255" t="n">
        <v>-1.583117556</v>
      </c>
      <c r="AM255" t="n">
        <v>2.067341993</v>
      </c>
      <c r="AN255" t="n">
        <v>3.505893189</v>
      </c>
      <c r="AO255" t="n">
        <v>4.885110935</v>
      </c>
      <c r="AP255" t="n">
        <v>1.513466221</v>
      </c>
      <c r="AQ255" t="n">
        <v>4.769842874</v>
      </c>
      <c r="AR255" t="n">
        <v>6.190183412</v>
      </c>
      <c r="AS255" t="n">
        <v>1.787079156</v>
      </c>
      <c r="AT255" t="n">
        <v>6.559125904</v>
      </c>
      <c r="AU255" t="n">
        <v>8.438593135</v>
      </c>
      <c r="AV255" t="n">
        <v>3.349193814</v>
      </c>
      <c r="AW255" t="n">
        <v>3.610598323</v>
      </c>
    </row>
    <row r="256">
      <c r="A256" t="inlineStr">
        <is>
          <t>2010-Q4</t>
        </is>
      </c>
      <c r="B256" s="87" t="n">
        <v>40544</v>
      </c>
      <c r="C256" t="n">
        <v>9.697409612</v>
      </c>
      <c r="D256" t="n">
        <v>2.720808393</v>
      </c>
      <c r="E256" t="n">
        <v>2.994971541</v>
      </c>
      <c r="F256" t="n">
        <v>2.447017697</v>
      </c>
      <c r="G256" t="n">
        <v>5.747795567</v>
      </c>
      <c r="H256" t="n">
        <v>3.601873242</v>
      </c>
      <c r="I256" t="n">
        <v>2.908820873</v>
      </c>
      <c r="J256" t="n">
        <v>7.527552954</v>
      </c>
      <c r="K256" t="n">
        <v>9.9</v>
      </c>
      <c r="L256" t="n">
        <v>3.070529529</v>
      </c>
      <c r="M256" t="n">
        <v>4.774038138</v>
      </c>
      <c r="N256" t="n">
        <v>2.930815669</v>
      </c>
      <c r="O256" t="n">
        <v>2.459152645</v>
      </c>
      <c r="P256" t="n">
        <v>0.137639866</v>
      </c>
      <c r="Q256" t="n">
        <v>6.356619647</v>
      </c>
      <c r="R256" t="n">
        <v>2.571432087</v>
      </c>
      <c r="T256" t="n">
        <v>5.536019488</v>
      </c>
      <c r="U256" t="n">
        <v>2.249927868</v>
      </c>
      <c r="V256" t="n">
        <v>2.996761807</v>
      </c>
      <c r="X256" t="n">
        <v>2.677474078</v>
      </c>
      <c r="Y256" t="n">
        <v>-12.838261165</v>
      </c>
      <c r="Z256" t="n">
        <v>1.634606117</v>
      </c>
      <c r="AA256" t="n">
        <v>10.68164</v>
      </c>
      <c r="AB256" t="n">
        <v>3.016531131</v>
      </c>
      <c r="AC256" t="n">
        <v>-0.555381275</v>
      </c>
      <c r="AD256" t="n">
        <v>5.679996255</v>
      </c>
      <c r="AE256" t="n">
        <v>2.057593402</v>
      </c>
      <c r="AF256" t="n">
        <v>3.271387257</v>
      </c>
      <c r="AG256" t="n">
        <v>6.377779149</v>
      </c>
      <c r="AH256" t="n">
        <v>2.00508692</v>
      </c>
      <c r="AI256" t="n">
        <v>-0.764850817</v>
      </c>
      <c r="AJ256" t="n">
        <v>3.922221187</v>
      </c>
      <c r="AK256" t="n">
        <v>1.82723588</v>
      </c>
      <c r="AL256" t="n">
        <v>1.125758917</v>
      </c>
      <c r="AM256" t="n">
        <v>0.26427968</v>
      </c>
      <c r="AN256" t="n">
        <v>3.164664854</v>
      </c>
      <c r="AO256" t="n">
        <v>3.431530309</v>
      </c>
      <c r="AP256" t="n">
        <v>1.268103738</v>
      </c>
      <c r="AQ256" t="n">
        <v>4.951509523</v>
      </c>
      <c r="AR256" t="n">
        <v>4.856461017</v>
      </c>
      <c r="AS256" t="n">
        <v>2.461866172</v>
      </c>
      <c r="AT256" t="n">
        <v>7.776156203</v>
      </c>
      <c r="AU256" t="n">
        <v>9.577551981999999</v>
      </c>
      <c r="AV256" t="n">
        <v>2.788449691</v>
      </c>
      <c r="AW256" t="n">
        <v>3.88212211</v>
      </c>
    </row>
    <row r="257">
      <c r="A257" t="inlineStr">
        <is>
          <t>2011-Q1</t>
        </is>
      </c>
      <c r="B257" s="87" t="n">
        <v>40634</v>
      </c>
      <c r="C257" t="n">
        <v>9.014001358</v>
      </c>
      <c r="D257" t="n">
        <v>1.967433477</v>
      </c>
      <c r="E257" t="n">
        <v>4.353359009</v>
      </c>
      <c r="F257" t="n">
        <v>2.409563732</v>
      </c>
      <c r="G257" t="n">
        <v>4.889003564</v>
      </c>
      <c r="H257" t="n">
        <v>3.140203861</v>
      </c>
      <c r="I257" t="n">
        <v>2.852808957</v>
      </c>
      <c r="J257" t="n">
        <v>8.497463734</v>
      </c>
      <c r="K257" t="n">
        <v>10.2</v>
      </c>
      <c r="L257" t="n">
        <v>2.965960554</v>
      </c>
      <c r="M257" t="n">
        <v>5.942798953</v>
      </c>
      <c r="N257" t="n">
        <v>2.271855039</v>
      </c>
      <c r="O257" t="n">
        <v>2.912989176</v>
      </c>
      <c r="P257" t="n">
        <v>0.009648640999999999</v>
      </c>
      <c r="Q257" t="n">
        <v>7.037821336</v>
      </c>
      <c r="R257" t="n">
        <v>2.999934181</v>
      </c>
      <c r="T257" t="n">
        <v>5.072646996</v>
      </c>
      <c r="U257" t="n">
        <v>2.89110158</v>
      </c>
      <c r="V257" t="n">
        <v>2.456799365</v>
      </c>
      <c r="X257" t="n">
        <v>2.436718381</v>
      </c>
      <c r="Y257" t="n">
        <v>-11.20812739</v>
      </c>
      <c r="Z257" t="n">
        <v>2.502911218</v>
      </c>
      <c r="AA257" t="n">
        <v>9.85149</v>
      </c>
      <c r="AB257" t="n">
        <v>0.861275471</v>
      </c>
      <c r="AC257" t="n">
        <v>1.4019793</v>
      </c>
      <c r="AD257" t="n">
        <v>5.765334255</v>
      </c>
      <c r="AE257" t="n">
        <v>2.269855781</v>
      </c>
      <c r="AF257" t="n">
        <v>1.112652621</v>
      </c>
      <c r="AG257" t="n">
        <v>5.307370682</v>
      </c>
      <c r="AH257" t="n">
        <v>1.433299079</v>
      </c>
      <c r="AI257" t="n">
        <v>-1.576785689</v>
      </c>
      <c r="AJ257" t="n">
        <v>3.624606977</v>
      </c>
      <c r="AK257" t="n">
        <v>2.609041666</v>
      </c>
      <c r="AL257" t="n">
        <v>-0.716850427</v>
      </c>
      <c r="AM257" t="n">
        <v>1.026552271</v>
      </c>
      <c r="AN257" t="n">
        <v>2.834552108</v>
      </c>
      <c r="AO257" t="n">
        <v>5.042086304</v>
      </c>
      <c r="AP257" t="n">
        <v>-0.222233209</v>
      </c>
      <c r="AQ257" t="n">
        <v>3.941124146</v>
      </c>
      <c r="AR257" t="n">
        <v>3.30418778</v>
      </c>
      <c r="AS257" t="n">
        <v>3.256238487</v>
      </c>
      <c r="AT257" t="n">
        <v>5.355259443</v>
      </c>
      <c r="AU257" t="n">
        <v>12.378786378</v>
      </c>
      <c r="AV257" t="n">
        <v>2.030608191</v>
      </c>
      <c r="AW257" t="n">
        <v>3.69531593</v>
      </c>
    </row>
    <row r="258">
      <c r="A258" t="inlineStr">
        <is>
          <t>2011-Q2</t>
        </is>
      </c>
      <c r="B258" s="87" t="n">
        <v>40725</v>
      </c>
      <c r="C258" t="n">
        <v>5.289758963</v>
      </c>
      <c r="D258" t="n">
        <v>2.605283928</v>
      </c>
      <c r="E258" t="n">
        <v>3.189758327</v>
      </c>
      <c r="F258" t="n">
        <v>1.620424939</v>
      </c>
      <c r="G258" t="n">
        <v>4.881745806</v>
      </c>
      <c r="H258" t="n">
        <v>2.80319874</v>
      </c>
      <c r="I258" t="n">
        <v>2.479832793</v>
      </c>
      <c r="J258" t="n">
        <v>6.376143984</v>
      </c>
      <c r="K258" t="n">
        <v>10</v>
      </c>
      <c r="L258" t="n">
        <v>2.08772405</v>
      </c>
      <c r="M258" t="n">
        <v>3.707855318</v>
      </c>
      <c r="N258" t="n">
        <v>2.595693052</v>
      </c>
      <c r="O258" t="n">
        <v>1.92146686</v>
      </c>
      <c r="P258" t="n">
        <v>-0.456512717</v>
      </c>
      <c r="Q258" t="n">
        <v>7.71602909</v>
      </c>
      <c r="R258" t="n">
        <v>2.072148127</v>
      </c>
      <c r="T258" t="n">
        <v>2.070675525</v>
      </c>
      <c r="U258" t="n">
        <v>2.395574288</v>
      </c>
      <c r="V258" t="n">
        <v>1.606802011</v>
      </c>
      <c r="X258" t="n">
        <v>1.391040146</v>
      </c>
      <c r="Y258" t="n">
        <v>-9.421347763</v>
      </c>
      <c r="Z258" t="n">
        <v>1.642864251</v>
      </c>
      <c r="AA258" t="n">
        <v>8.57394</v>
      </c>
      <c r="AB258" t="n">
        <v>2.191772662</v>
      </c>
      <c r="AC258" t="n">
        <v>0.224082083</v>
      </c>
      <c r="AD258" t="n">
        <v>5.316295427</v>
      </c>
      <c r="AE258" t="n">
        <v>1.556687004</v>
      </c>
      <c r="AF258" t="n">
        <v>-0.944391512</v>
      </c>
      <c r="AG258" t="n">
        <v>3.851242513</v>
      </c>
      <c r="AH258" t="n">
        <v>-0.624527575</v>
      </c>
      <c r="AI258" t="n">
        <v>2.6324649</v>
      </c>
      <c r="AJ258" t="n">
        <v>3.042746491</v>
      </c>
      <c r="AK258" t="n">
        <v>2.069453852</v>
      </c>
      <c r="AL258" t="n">
        <v>-0.06504035800000001</v>
      </c>
      <c r="AM258" t="n">
        <v>0.82376997</v>
      </c>
      <c r="AN258" t="n">
        <v>2.094720755</v>
      </c>
      <c r="AO258" t="n">
        <v>4.84437137</v>
      </c>
      <c r="AP258" t="n">
        <v>-1.196017007</v>
      </c>
      <c r="AQ258" t="n">
        <v>3.938644678</v>
      </c>
      <c r="AR258" t="n">
        <v>2.817004313</v>
      </c>
      <c r="AS258" t="n">
        <v>0.927075978</v>
      </c>
      <c r="AT258" t="n">
        <v>3.539690944</v>
      </c>
      <c r="AU258" t="n">
        <v>11.238746556</v>
      </c>
      <c r="AV258" t="n">
        <v>1.737905069</v>
      </c>
      <c r="AW258" t="n">
        <v>3.40765285</v>
      </c>
    </row>
    <row r="259">
      <c r="A259" t="inlineStr">
        <is>
          <t>2011-Q3</t>
        </is>
      </c>
      <c r="B259" s="87" t="n">
        <v>40817</v>
      </c>
      <c r="C259" t="n">
        <v>5.601974149</v>
      </c>
      <c r="D259" t="n">
        <v>3.263154986</v>
      </c>
      <c r="E259" t="n">
        <v>2.986873359</v>
      </c>
      <c r="F259" t="n">
        <v>1.488149917</v>
      </c>
      <c r="G259" t="n">
        <v>3.600003997</v>
      </c>
      <c r="H259" t="n">
        <v>3.488097449</v>
      </c>
      <c r="I259" t="n">
        <v>1.507026947</v>
      </c>
      <c r="J259" t="n">
        <v>4.334792878</v>
      </c>
      <c r="K259" t="n">
        <v>9.4</v>
      </c>
      <c r="L259" t="n">
        <v>1.157237979</v>
      </c>
      <c r="M259" t="n">
        <v>3.763487211</v>
      </c>
      <c r="N259" t="n">
        <v>-0.261522916</v>
      </c>
      <c r="O259" t="n">
        <v>1.60097234</v>
      </c>
      <c r="P259" t="n">
        <v>-1.051035465</v>
      </c>
      <c r="Q259" t="n">
        <v>7.933403065</v>
      </c>
      <c r="R259" t="n">
        <v>1.74646008</v>
      </c>
      <c r="T259" t="n">
        <v>2.617074654</v>
      </c>
      <c r="U259" t="n">
        <v>2.108549611</v>
      </c>
      <c r="V259" t="n">
        <v>1.209502168</v>
      </c>
      <c r="X259" t="n">
        <v>1.006848766</v>
      </c>
      <c r="Y259" t="n">
        <v>-8.170277018</v>
      </c>
      <c r="Z259" t="n">
        <v>1.056176569</v>
      </c>
      <c r="AA259" t="n">
        <v>5.4526</v>
      </c>
      <c r="AB259" t="n">
        <v>-0.09717303300000001</v>
      </c>
      <c r="AC259" t="n">
        <v>4.05980913</v>
      </c>
      <c r="AD259" t="n">
        <v>6.311101958</v>
      </c>
      <c r="AE259" t="n">
        <v>0.545240331</v>
      </c>
      <c r="AF259" t="n">
        <v>-0.345340214</v>
      </c>
      <c r="AG259" t="n">
        <v>3.205589616</v>
      </c>
      <c r="AH259" t="n">
        <v>2.207043841</v>
      </c>
      <c r="AI259" t="n">
        <v>4.578757104</v>
      </c>
      <c r="AJ259" t="n">
        <v>4.066942083</v>
      </c>
      <c r="AK259" t="n">
        <v>1.621153843</v>
      </c>
      <c r="AL259" t="n">
        <v>4.129197076</v>
      </c>
      <c r="AM259" t="n">
        <v>2.116928729</v>
      </c>
      <c r="AN259" t="n">
        <v>1.830848754</v>
      </c>
      <c r="AO259" t="n">
        <v>4.813021079</v>
      </c>
      <c r="AP259" t="n">
        <v>-2.049629081</v>
      </c>
      <c r="AQ259" t="n">
        <v>4.587798706</v>
      </c>
      <c r="AR259" t="n">
        <v>2.17000599</v>
      </c>
      <c r="AS259" t="n">
        <v>0.460356278</v>
      </c>
      <c r="AT259" t="n">
        <v>3.655553062</v>
      </c>
      <c r="AU259" t="n">
        <v>11.117671024</v>
      </c>
      <c r="AV259" t="n">
        <v>0.918220848</v>
      </c>
      <c r="AW259" t="n">
        <v>2.919288694</v>
      </c>
    </row>
    <row r="260">
      <c r="A260" t="inlineStr">
        <is>
          <t>2011-Q4</t>
        </is>
      </c>
      <c r="B260" s="87" t="n">
        <v>40909</v>
      </c>
      <c r="C260" t="n">
        <v>4.274028858</v>
      </c>
      <c r="D260" t="n">
        <v>3.458970772</v>
      </c>
      <c r="E260" t="n">
        <v>1.773518223</v>
      </c>
      <c r="F260" t="n">
        <v>1.272481695</v>
      </c>
      <c r="G260" t="n">
        <v>3.053180817</v>
      </c>
      <c r="H260" t="n">
        <v>3.150369226</v>
      </c>
      <c r="I260" t="n">
        <v>0.856425762</v>
      </c>
      <c r="J260" t="n">
        <v>5.029731664</v>
      </c>
      <c r="K260" t="n">
        <v>8.800000000000001</v>
      </c>
      <c r="L260" t="n">
        <v>0.863094683</v>
      </c>
      <c r="M260" t="n">
        <v>2.606848305</v>
      </c>
      <c r="N260" t="n">
        <v>0.7803334750000001</v>
      </c>
      <c r="O260" t="n">
        <v>0.555932788</v>
      </c>
      <c r="P260" t="n">
        <v>-1.758701814</v>
      </c>
      <c r="Q260" t="n">
        <v>5.677475478</v>
      </c>
      <c r="R260" t="n">
        <v>0.729041203</v>
      </c>
      <c r="T260" t="n">
        <v>0.53424173</v>
      </c>
      <c r="U260" t="n">
        <v>1.566573119</v>
      </c>
      <c r="V260" t="n">
        <v>1.332005532</v>
      </c>
      <c r="X260" t="n">
        <v>1.013432351</v>
      </c>
      <c r="Y260" t="n">
        <v>-11.5303645</v>
      </c>
      <c r="Z260" t="n">
        <v>2.286940696</v>
      </c>
      <c r="AA260" t="n">
        <v>4.73925</v>
      </c>
      <c r="AB260" t="n">
        <v>0.706953737</v>
      </c>
      <c r="AC260" t="n">
        <v>1.725537588</v>
      </c>
      <c r="AD260" t="n">
        <v>5.499512596</v>
      </c>
      <c r="AE260" t="n">
        <v>-0.951658476</v>
      </c>
      <c r="AF260" t="n">
        <v>0.332926689</v>
      </c>
      <c r="AG260" t="n">
        <v>2.44390986</v>
      </c>
      <c r="AH260" t="n">
        <v>1.131064865</v>
      </c>
      <c r="AI260" t="n">
        <v>3.798845161</v>
      </c>
      <c r="AJ260" t="n">
        <v>3.944851823</v>
      </c>
      <c r="AK260" t="n">
        <v>-0.117624241</v>
      </c>
      <c r="AL260" t="n">
        <v>1.338047272</v>
      </c>
      <c r="AM260" t="n">
        <v>3.238846141</v>
      </c>
      <c r="AN260" t="n">
        <v>1.68850109</v>
      </c>
      <c r="AO260" t="n">
        <v>4.45598173</v>
      </c>
      <c r="AP260" t="n">
        <v>-3.310166708</v>
      </c>
      <c r="AQ260" t="n">
        <v>4.536879263</v>
      </c>
      <c r="AR260" t="n">
        <v>2.277594019</v>
      </c>
      <c r="AS260" t="n">
        <v>-0.049276734</v>
      </c>
      <c r="AT260" t="n">
        <v>0.5662344580000001</v>
      </c>
      <c r="AU260" t="n">
        <v>9.320906415</v>
      </c>
      <c r="AV260" t="n">
        <v>1.522691524</v>
      </c>
      <c r="AW260" t="n">
        <v>2.667733267</v>
      </c>
    </row>
    <row r="261">
      <c r="A261" t="inlineStr">
        <is>
          <t>2012-Q1</t>
        </is>
      </c>
      <c r="B261" s="87" t="n">
        <v>41000</v>
      </c>
      <c r="C261" t="n">
        <v>0.738466469</v>
      </c>
      <c r="D261" t="n">
        <v>4.756269287</v>
      </c>
      <c r="E261" t="n">
        <v>1.657864049</v>
      </c>
      <c r="F261" t="n">
        <v>1.003608138</v>
      </c>
      <c r="G261" t="n">
        <v>0.272890387</v>
      </c>
      <c r="H261" t="n">
        <v>2.442677819</v>
      </c>
      <c r="I261" t="n">
        <v>1.240881719</v>
      </c>
      <c r="J261" t="n">
        <v>5.508870147</v>
      </c>
      <c r="K261" t="n">
        <v>8.1</v>
      </c>
      <c r="L261" t="n">
        <v>0.027807877</v>
      </c>
      <c r="M261" t="n">
        <v>0.876147746</v>
      </c>
      <c r="N261" t="n">
        <v>0.491421016</v>
      </c>
      <c r="O261" t="n">
        <v>-0.497669329</v>
      </c>
      <c r="P261" t="n">
        <v>-2.527328994</v>
      </c>
      <c r="Q261" t="n">
        <v>4.192471625</v>
      </c>
      <c r="R261" t="n">
        <v>-0.281614939</v>
      </c>
      <c r="T261" t="n">
        <v>-0.46093186</v>
      </c>
      <c r="U261" t="n">
        <v>0.662643159</v>
      </c>
      <c r="V261" t="n">
        <v>1.841276967</v>
      </c>
      <c r="X261" t="n">
        <v>1.229862393</v>
      </c>
      <c r="Y261" t="n">
        <v>-8.432569692</v>
      </c>
      <c r="Z261" t="n">
        <v>-0.385151683</v>
      </c>
      <c r="AA261" t="n">
        <v>4.27654</v>
      </c>
      <c r="AB261" t="n">
        <v>-0.772918323</v>
      </c>
      <c r="AC261" t="n">
        <v>2.625104086</v>
      </c>
      <c r="AD261" t="n">
        <v>4.497602772</v>
      </c>
      <c r="AE261" t="n">
        <v>-2.491872548</v>
      </c>
      <c r="AF261" t="n">
        <v>2.801319837</v>
      </c>
      <c r="AG261" t="n">
        <v>2.375435273</v>
      </c>
      <c r="AH261" t="n">
        <v>0.454128949</v>
      </c>
      <c r="AI261" t="n">
        <v>10.600885999</v>
      </c>
      <c r="AJ261" t="n">
        <v>3.8241463</v>
      </c>
      <c r="AK261" t="n">
        <v>-0.899171644</v>
      </c>
      <c r="AL261" t="n">
        <v>3.439979648</v>
      </c>
      <c r="AM261" t="n">
        <v>2.754545114</v>
      </c>
      <c r="AN261" t="n">
        <v>1.893882836</v>
      </c>
      <c r="AO261" t="n">
        <v>3.362231106</v>
      </c>
      <c r="AP261" t="n">
        <v>-3.19826619</v>
      </c>
      <c r="AQ261" t="n">
        <v>4.965895927</v>
      </c>
      <c r="AR261" t="n">
        <v>2.175241605</v>
      </c>
      <c r="AS261" t="n">
        <v>-1.300942801</v>
      </c>
      <c r="AT261" t="n">
        <v>0.403479446</v>
      </c>
      <c r="AU261" t="n">
        <v>5.960009344</v>
      </c>
      <c r="AV261" t="n">
        <v>2.600249298</v>
      </c>
      <c r="AW261" t="n">
        <v>2.242809473</v>
      </c>
    </row>
    <row r="262">
      <c r="A262" t="inlineStr">
        <is>
          <t>2012-Q2</t>
        </is>
      </c>
      <c r="B262" s="87" t="n">
        <v>41091</v>
      </c>
      <c r="C262" t="n">
        <v>-3.656976775</v>
      </c>
      <c r="D262" t="n">
        <v>4.185044291</v>
      </c>
      <c r="E262" t="n">
        <v>1.039116245</v>
      </c>
      <c r="F262" t="n">
        <v>0.79376286</v>
      </c>
      <c r="G262" t="n">
        <v>1.018838621</v>
      </c>
      <c r="H262" t="n">
        <v>2.576982045</v>
      </c>
      <c r="I262" t="n">
        <v>0.715038167</v>
      </c>
      <c r="J262" t="n">
        <v>5.639363602</v>
      </c>
      <c r="K262" t="n">
        <v>7.7</v>
      </c>
      <c r="L262" t="n">
        <v>-0.693756836</v>
      </c>
      <c r="M262" t="n">
        <v>0.980562452</v>
      </c>
      <c r="N262" t="n">
        <v>-0.430965796</v>
      </c>
      <c r="O262" t="n">
        <v>-0.759066252</v>
      </c>
      <c r="P262" t="n">
        <v>-3.157385348</v>
      </c>
      <c r="Q262" t="n">
        <v>3.494159295</v>
      </c>
      <c r="R262" t="n">
        <v>-0.601883842</v>
      </c>
      <c r="T262" t="n">
        <v>-1.342555677</v>
      </c>
      <c r="U262" t="n">
        <v>0.476419424</v>
      </c>
      <c r="V262" t="n">
        <v>1.66419904</v>
      </c>
      <c r="X262" t="n">
        <v>1.06810114</v>
      </c>
      <c r="Y262" t="n">
        <v>-8.258694287999999</v>
      </c>
      <c r="Z262" t="n">
        <v>-0.969551502</v>
      </c>
      <c r="AA262" t="n">
        <v>4.22122</v>
      </c>
      <c r="AB262" t="n">
        <v>-0.157231132</v>
      </c>
      <c r="AC262" t="n">
        <v>1.303316363</v>
      </c>
      <c r="AD262" t="n">
        <v>3.394900589</v>
      </c>
      <c r="AE262" t="n">
        <v>-3.2554239</v>
      </c>
      <c r="AF262" t="n">
        <v>2.761339814</v>
      </c>
      <c r="AG262" t="n">
        <v>2.452028853</v>
      </c>
      <c r="AH262" t="n">
        <v>1.426478551</v>
      </c>
      <c r="AI262" t="n">
        <v>6.282204129</v>
      </c>
      <c r="AJ262" t="n">
        <v>4.179549413</v>
      </c>
      <c r="AK262" t="n">
        <v>-0.75916764</v>
      </c>
      <c r="AL262" t="n">
        <v>4.114329873</v>
      </c>
      <c r="AM262" t="n">
        <v>2.582078171</v>
      </c>
      <c r="AN262" t="n">
        <v>1.653393146</v>
      </c>
      <c r="AO262" t="n">
        <v>1.750169943</v>
      </c>
      <c r="AP262" t="n">
        <v>-4.091744129</v>
      </c>
      <c r="AQ262" t="n">
        <v>4.382963645</v>
      </c>
      <c r="AR262" t="n">
        <v>1.638869762</v>
      </c>
      <c r="AS262" t="n">
        <v>-2.550383174</v>
      </c>
      <c r="AT262" t="n">
        <v>0.20435517</v>
      </c>
      <c r="AU262" t="n">
        <v>4.907950841</v>
      </c>
      <c r="AV262" t="n">
        <v>2.37381635</v>
      </c>
      <c r="AW262" t="n">
        <v>2.522475367</v>
      </c>
    </row>
    <row r="263">
      <c r="A263" t="inlineStr">
        <is>
          <t>2012-Q3</t>
        </is>
      </c>
      <c r="B263" s="87" t="n">
        <v>41183</v>
      </c>
      <c r="C263" t="n">
        <v>-1.384774871</v>
      </c>
      <c r="D263" t="n">
        <v>3.408900166</v>
      </c>
      <c r="E263" t="n">
        <v>0.171689355</v>
      </c>
      <c r="F263" t="n">
        <v>0.750261485</v>
      </c>
      <c r="G263" t="n">
        <v>2.99649186</v>
      </c>
      <c r="H263" t="n">
        <v>1.318874171</v>
      </c>
      <c r="I263" t="n">
        <v>1.804431915</v>
      </c>
      <c r="J263" t="n">
        <v>5.921005812</v>
      </c>
      <c r="K263" t="n">
        <v>7.5</v>
      </c>
      <c r="L263" t="n">
        <v>-0.917401482</v>
      </c>
      <c r="M263" t="n">
        <v>0.377823848</v>
      </c>
      <c r="N263" t="n">
        <v>0.917642586</v>
      </c>
      <c r="O263" t="n">
        <v>-0.997141438</v>
      </c>
      <c r="P263" t="n">
        <v>-3.022491654</v>
      </c>
      <c r="Q263" t="n">
        <v>2.302597002</v>
      </c>
      <c r="R263" t="n">
        <v>-0.880455516</v>
      </c>
      <c r="T263" t="n">
        <v>-1.842831478</v>
      </c>
      <c r="U263" t="n">
        <v>0.303115214</v>
      </c>
      <c r="V263" t="n">
        <v>1.298352389</v>
      </c>
      <c r="X263" t="n">
        <v>1.980047042</v>
      </c>
      <c r="Y263" t="n">
        <v>-7.71767117</v>
      </c>
      <c r="Z263" t="n">
        <v>-0.890156941</v>
      </c>
      <c r="AA263" t="n">
        <v>6.09503</v>
      </c>
      <c r="AB263" t="n">
        <v>-0.29775483</v>
      </c>
      <c r="AC263" t="n">
        <v>0.151768101</v>
      </c>
      <c r="AD263" t="n">
        <v>2.134708637</v>
      </c>
      <c r="AE263" t="n">
        <v>-3.251035171</v>
      </c>
      <c r="AF263" t="n">
        <v>-0.055893056</v>
      </c>
      <c r="AG263" t="n">
        <v>2.376054121</v>
      </c>
      <c r="AH263" t="n">
        <v>1.257081206</v>
      </c>
      <c r="AI263" t="n">
        <v>6.060803595</v>
      </c>
      <c r="AJ263" t="n">
        <v>2.773115014</v>
      </c>
      <c r="AK263" t="n">
        <v>-1.185036124</v>
      </c>
      <c r="AL263" t="n">
        <v>0.978067388</v>
      </c>
      <c r="AM263" t="n">
        <v>1.791545074</v>
      </c>
      <c r="AN263" t="n">
        <v>1.235209369</v>
      </c>
      <c r="AO263" t="n">
        <v>0.896158725</v>
      </c>
      <c r="AP263" t="n">
        <v>-4.428694766</v>
      </c>
      <c r="AQ263" t="n">
        <v>3.727480724</v>
      </c>
      <c r="AR263" t="n">
        <v>1.261533794</v>
      </c>
      <c r="AS263" t="n">
        <v>-2.163605704</v>
      </c>
      <c r="AT263" t="n">
        <v>-1.223141844</v>
      </c>
      <c r="AU263" t="n">
        <v>3.994314266</v>
      </c>
      <c r="AV263" t="n">
        <v>2.592622977</v>
      </c>
      <c r="AW263" t="n">
        <v>2.515111215</v>
      </c>
    </row>
    <row r="264">
      <c r="A264" t="inlineStr">
        <is>
          <t>2012-Q4</t>
        </is>
      </c>
      <c r="B264" s="87" t="n">
        <v>41275</v>
      </c>
      <c r="C264" t="n">
        <v>0.204910769</v>
      </c>
      <c r="D264" t="n">
        <v>2.801022053</v>
      </c>
      <c r="E264" t="n">
        <v>0.185821668</v>
      </c>
      <c r="F264" t="n">
        <v>0.411142977</v>
      </c>
      <c r="G264" t="n">
        <v>2.131714665</v>
      </c>
      <c r="H264" t="n">
        <v>0.73508073</v>
      </c>
      <c r="I264" t="n">
        <v>1.591048019</v>
      </c>
      <c r="J264" t="n">
        <v>4.654339812</v>
      </c>
      <c r="K264" t="n">
        <v>8.1</v>
      </c>
      <c r="L264" t="n">
        <v>-1.233918475</v>
      </c>
      <c r="M264" t="n">
        <v>0.243074925</v>
      </c>
      <c r="N264" t="n">
        <v>-0.062150336</v>
      </c>
      <c r="O264" t="n">
        <v>-1.005327436</v>
      </c>
      <c r="P264" t="n">
        <v>-3.133862306</v>
      </c>
      <c r="Q264" t="n">
        <v>3.245200689</v>
      </c>
      <c r="R264" t="n">
        <v>-0.921492654</v>
      </c>
      <c r="T264" t="n">
        <v>-1.946007999</v>
      </c>
      <c r="U264" t="n">
        <v>0.053675344</v>
      </c>
      <c r="V264" t="n">
        <v>0.740654635</v>
      </c>
      <c r="X264" t="n">
        <v>1.599090407</v>
      </c>
      <c r="Y264" t="n">
        <v>-4.29897172</v>
      </c>
      <c r="Z264" t="n">
        <v>-2.205755158</v>
      </c>
      <c r="AA264" t="n">
        <v>5.63357</v>
      </c>
      <c r="AB264" t="n">
        <v>0.6425819230000001</v>
      </c>
      <c r="AC264" t="n">
        <v>0.259147602</v>
      </c>
      <c r="AD264" t="n">
        <v>1.988897317</v>
      </c>
      <c r="AE264" t="n">
        <v>-3.059459384</v>
      </c>
      <c r="AF264" t="n">
        <v>0.014318225</v>
      </c>
      <c r="AG264" t="n">
        <v>2.406572286</v>
      </c>
      <c r="AH264" t="n">
        <v>3.397423642</v>
      </c>
      <c r="AI264" t="n">
        <v>6.448313415</v>
      </c>
      <c r="AJ264" t="n">
        <v>2.974516784</v>
      </c>
      <c r="AK264" t="n">
        <v>-1.281519432</v>
      </c>
      <c r="AL264" t="n">
        <v>1.750952373</v>
      </c>
      <c r="AM264" t="n">
        <v>2.766512745</v>
      </c>
      <c r="AN264" t="n">
        <v>0.842687383</v>
      </c>
      <c r="AO264" t="n">
        <v>-0.267268717</v>
      </c>
      <c r="AP264" t="n">
        <v>-4.527642954</v>
      </c>
      <c r="AQ264" t="n">
        <v>2.558792794</v>
      </c>
      <c r="AR264" t="n">
        <v>0.375438448</v>
      </c>
      <c r="AS264" t="n">
        <v>-4.145966951</v>
      </c>
      <c r="AT264" t="n">
        <v>-0.534002445</v>
      </c>
      <c r="AU264" t="n">
        <v>4.24628335</v>
      </c>
      <c r="AV264" t="n">
        <v>1.566064346</v>
      </c>
      <c r="AW264" t="n">
        <v>2.30420068</v>
      </c>
    </row>
    <row r="265">
      <c r="A265" t="inlineStr">
        <is>
          <t>2013-Q1</t>
        </is>
      </c>
      <c r="B265" s="87" t="n">
        <v>41365</v>
      </c>
      <c r="C265" t="n">
        <v>1.272625732</v>
      </c>
      <c r="D265" t="n">
        <v>2.268491375</v>
      </c>
      <c r="E265" t="n">
        <v>-0.851112939</v>
      </c>
      <c r="F265" t="n">
        <v>-0.079050592</v>
      </c>
      <c r="G265" t="n">
        <v>3.934416972</v>
      </c>
      <c r="H265" t="n">
        <v>1.573583484</v>
      </c>
      <c r="I265" t="n">
        <v>0.985120923</v>
      </c>
      <c r="J265" t="n">
        <v>4.081286121</v>
      </c>
      <c r="K265" t="n">
        <v>7.9</v>
      </c>
      <c r="L265" t="n">
        <v>-1.359149167</v>
      </c>
      <c r="M265" t="n">
        <v>-0.435611518</v>
      </c>
      <c r="N265" t="n">
        <v>0.5711882029999999</v>
      </c>
      <c r="O265" t="n">
        <v>-1.171378154</v>
      </c>
      <c r="P265" t="n">
        <v>-2.530045721</v>
      </c>
      <c r="Q265" t="n">
        <v>3.127681162</v>
      </c>
      <c r="R265" t="n">
        <v>-0.982481848</v>
      </c>
      <c r="T265" t="n">
        <v>-2.359964294</v>
      </c>
      <c r="U265" t="n">
        <v>-0.046264736</v>
      </c>
      <c r="V265" t="n">
        <v>0.723354996</v>
      </c>
      <c r="X265" t="n">
        <v>1.378622952</v>
      </c>
      <c r="Y265" t="n">
        <v>-4.790271215</v>
      </c>
      <c r="Z265" t="n">
        <v>-0.236235947</v>
      </c>
      <c r="AA265" t="n">
        <v>5.86067</v>
      </c>
      <c r="AB265" t="n">
        <v>-0.679774314</v>
      </c>
      <c r="AC265" t="n">
        <v>4.364750343</v>
      </c>
      <c r="AD265" t="n">
        <v>2.930666649</v>
      </c>
      <c r="AE265" t="n">
        <v>-2.909571423</v>
      </c>
      <c r="AF265" t="n">
        <v>0.016860821</v>
      </c>
      <c r="AG265" t="n">
        <v>2.403988302</v>
      </c>
      <c r="AH265" t="n">
        <v>2.858322056</v>
      </c>
      <c r="AI265" t="n">
        <v>1.593016319</v>
      </c>
      <c r="AJ265" t="n">
        <v>2.56733031</v>
      </c>
      <c r="AK265" t="n">
        <v>-0.754979428</v>
      </c>
      <c r="AL265" t="n">
        <v>-0.259778138</v>
      </c>
      <c r="AM265" t="n">
        <v>1.815481747</v>
      </c>
      <c r="AN265" t="n">
        <v>0.943992184</v>
      </c>
      <c r="AO265" t="n">
        <v>-0.27228295</v>
      </c>
      <c r="AP265" t="n">
        <v>-3.604207477</v>
      </c>
      <c r="AQ265" t="n">
        <v>1.72108563</v>
      </c>
      <c r="AR265" t="n">
        <v>0.174491959</v>
      </c>
      <c r="AS265" t="n">
        <v>-3.357509979</v>
      </c>
      <c r="AT265" t="n">
        <v>0.673187878</v>
      </c>
      <c r="AU265" t="n">
        <v>8.263883862</v>
      </c>
      <c r="AV265" t="n">
        <v>1.616301095</v>
      </c>
      <c r="AW265" t="n">
        <v>2.516995892</v>
      </c>
    </row>
    <row r="266">
      <c r="A266" t="inlineStr">
        <is>
          <t>2013-Q2</t>
        </is>
      </c>
      <c r="B266" s="87" t="n">
        <v>41456</v>
      </c>
      <c r="C266" t="n">
        <v>5.472698795</v>
      </c>
      <c r="D266" t="n">
        <v>1.945166191</v>
      </c>
      <c r="E266" t="n">
        <v>-0.350455854</v>
      </c>
      <c r="F266" t="n">
        <v>0.505328464</v>
      </c>
      <c r="G266" t="n">
        <v>3.905081728</v>
      </c>
      <c r="H266" t="n">
        <v>1.830937489</v>
      </c>
      <c r="I266" t="n">
        <v>1.954612134</v>
      </c>
      <c r="J266" t="n">
        <v>4.105309425</v>
      </c>
      <c r="K266" t="n">
        <v>7.6</v>
      </c>
      <c r="L266" t="n">
        <v>-0.543689248</v>
      </c>
      <c r="M266" t="n">
        <v>0.439963565</v>
      </c>
      <c r="N266" t="n">
        <v>0.570215085</v>
      </c>
      <c r="O266" t="n">
        <v>-0.377377803</v>
      </c>
      <c r="P266" t="n">
        <v>-1.670138916</v>
      </c>
      <c r="Q266" t="n">
        <v>1.617109971</v>
      </c>
      <c r="R266" t="n">
        <v>-0.22191207</v>
      </c>
      <c r="T266" t="n">
        <v>-0.860853711</v>
      </c>
      <c r="U266" t="n">
        <v>0.76958867</v>
      </c>
      <c r="V266" t="n">
        <v>1.100168045</v>
      </c>
      <c r="X266" t="n">
        <v>2.104918318</v>
      </c>
      <c r="Y266" t="n">
        <v>-3.058073933</v>
      </c>
      <c r="Z266" t="n">
        <v>1.382790024</v>
      </c>
      <c r="AA266" t="n">
        <v>6.11797</v>
      </c>
      <c r="AB266" t="n">
        <v>0.168921625</v>
      </c>
      <c r="AC266" t="n">
        <v>4.549940909</v>
      </c>
      <c r="AD266" t="n">
        <v>5.09200473</v>
      </c>
      <c r="AE266" t="n">
        <v>-2.16813539</v>
      </c>
      <c r="AF266" t="n">
        <v>1.83467689</v>
      </c>
      <c r="AG266" t="n">
        <v>3.014827768</v>
      </c>
      <c r="AH266" t="n">
        <v>4.866266767</v>
      </c>
      <c r="AI266" t="n">
        <v>2.095968554</v>
      </c>
      <c r="AJ266" t="n">
        <v>1.108979052</v>
      </c>
      <c r="AK266" t="n">
        <v>-0.9859058469999999</v>
      </c>
      <c r="AL266" t="n">
        <v>0.224397702</v>
      </c>
      <c r="AM266" t="n">
        <v>2.66525174</v>
      </c>
      <c r="AN266" t="n">
        <v>1.345424978</v>
      </c>
      <c r="AO266" t="n">
        <v>1.049027586</v>
      </c>
      <c r="AP266" t="n">
        <v>-1.546055897</v>
      </c>
      <c r="AQ266" t="n">
        <v>1.673903609</v>
      </c>
      <c r="AR266" t="n">
        <v>0.334212227</v>
      </c>
      <c r="AS266" t="n">
        <v>-1.309305329</v>
      </c>
      <c r="AT266" t="n">
        <v>0.448371333</v>
      </c>
      <c r="AU266" t="n">
        <v>9.54976744</v>
      </c>
      <c r="AV266" t="n">
        <v>1.29617049</v>
      </c>
      <c r="AW266" t="n">
        <v>2.407849915</v>
      </c>
    </row>
    <row r="267">
      <c r="A267" t="inlineStr">
        <is>
          <t>2013-Q3</t>
        </is>
      </c>
      <c r="B267" s="87" t="n">
        <v>41548</v>
      </c>
      <c r="C267" t="n">
        <v>2.872032149</v>
      </c>
      <c r="D267" t="n">
        <v>2.141694347</v>
      </c>
      <c r="E267" t="n">
        <v>0.308018696</v>
      </c>
      <c r="F267" t="n">
        <v>0.5719818719999999</v>
      </c>
      <c r="G267" t="n">
        <v>2.453886625</v>
      </c>
      <c r="H267" t="n">
        <v>2.521181159</v>
      </c>
      <c r="I267" t="n">
        <v>2.015057197</v>
      </c>
      <c r="J267" t="n">
        <v>4.350996754</v>
      </c>
      <c r="K267" t="n">
        <v>7.9</v>
      </c>
      <c r="L267" t="n">
        <v>0.113273973</v>
      </c>
      <c r="M267" t="n">
        <v>0.729425255</v>
      </c>
      <c r="N267" t="n">
        <v>1.11226999</v>
      </c>
      <c r="O267" t="n">
        <v>0.05029037</v>
      </c>
      <c r="P267" t="n">
        <v>-1.220482784</v>
      </c>
      <c r="Q267" t="n">
        <v>0.860180329</v>
      </c>
      <c r="R267" t="n">
        <v>0.228544357</v>
      </c>
      <c r="T267" t="n">
        <v>-0.130193592</v>
      </c>
      <c r="U267" t="n">
        <v>0.586844047</v>
      </c>
      <c r="V267" t="n">
        <v>1.665771379</v>
      </c>
      <c r="X267" t="n">
        <v>1.64357186</v>
      </c>
      <c r="Y267" t="n">
        <v>-1.665000454</v>
      </c>
      <c r="Z267" t="n">
        <v>2.608950964</v>
      </c>
      <c r="AA267" t="n">
        <v>5.9169</v>
      </c>
      <c r="AB267" t="n">
        <v>4.010893445</v>
      </c>
      <c r="AC267" t="n">
        <v>3.628382746</v>
      </c>
      <c r="AD267" t="n">
        <v>5.300797614</v>
      </c>
      <c r="AE267" t="n">
        <v>-1.431975073</v>
      </c>
      <c r="AF267" t="n">
        <v>3.200014422</v>
      </c>
      <c r="AG267" t="n">
        <v>3.473511616</v>
      </c>
      <c r="AH267" t="n">
        <v>3.839956932</v>
      </c>
      <c r="AI267" t="n">
        <v>2.150257657</v>
      </c>
      <c r="AJ267" t="n">
        <v>1.486211546</v>
      </c>
      <c r="AK267" t="n">
        <v>0.039970728</v>
      </c>
      <c r="AL267" t="n">
        <v>2.696098976</v>
      </c>
      <c r="AM267" t="n">
        <v>2.99581598</v>
      </c>
      <c r="AN267" t="n">
        <v>1.889605808</v>
      </c>
      <c r="AO267" t="n">
        <v>1.369671916</v>
      </c>
      <c r="AP267" t="n">
        <v>-0.560105728</v>
      </c>
      <c r="AQ267" t="n">
        <v>1.192806365</v>
      </c>
      <c r="AR267" t="n">
        <v>0.70465878</v>
      </c>
      <c r="AS267" t="n">
        <v>-1.493407351</v>
      </c>
      <c r="AT267" t="n">
        <v>1.029613425</v>
      </c>
      <c r="AU267" t="n">
        <v>9.228090256</v>
      </c>
      <c r="AV267" t="n">
        <v>1.91984462</v>
      </c>
      <c r="AW267" t="n">
        <v>2.477104493</v>
      </c>
    </row>
    <row r="268">
      <c r="A268" t="inlineStr">
        <is>
          <t>2013-Q4</t>
        </is>
      </c>
      <c r="B268" s="87" t="n">
        <v>41640</v>
      </c>
      <c r="C268" t="n">
        <v>0.142578635</v>
      </c>
      <c r="D268" t="n">
        <v>2.463747086</v>
      </c>
      <c r="E268" t="n">
        <v>0.75030374</v>
      </c>
      <c r="F268" t="n">
        <v>0.83789398</v>
      </c>
      <c r="G268" t="n">
        <v>2.592494139</v>
      </c>
      <c r="H268" t="n">
        <v>3.384447333</v>
      </c>
      <c r="I268" t="n">
        <v>2.451530242</v>
      </c>
      <c r="J268" t="n">
        <v>3.814538788</v>
      </c>
      <c r="K268" t="n">
        <v>7.7</v>
      </c>
      <c r="L268" t="n">
        <v>1.630396629</v>
      </c>
      <c r="M268" t="n">
        <v>1.483648492</v>
      </c>
      <c r="N268" t="n">
        <v>1.479632236</v>
      </c>
      <c r="O268" t="n">
        <v>0.745534346</v>
      </c>
      <c r="P268" t="n">
        <v>-0.295494008</v>
      </c>
      <c r="Q268" t="n">
        <v>-0.077656895</v>
      </c>
      <c r="R268" t="n">
        <v>0.960259882</v>
      </c>
      <c r="T268" t="n">
        <v>-0.232263912</v>
      </c>
      <c r="U268" t="n">
        <v>1.148678387</v>
      </c>
      <c r="V268" t="n">
        <v>2.214733568</v>
      </c>
      <c r="X268" t="n">
        <v>2.43100616</v>
      </c>
      <c r="Y268" t="n">
        <v>-0.119042742</v>
      </c>
      <c r="Z268" t="n">
        <v>3.649767</v>
      </c>
      <c r="AA268" t="n">
        <v>6.97856</v>
      </c>
      <c r="AB268" t="n">
        <v>2.855916043</v>
      </c>
      <c r="AC268" t="n">
        <v>5.64586839</v>
      </c>
      <c r="AD268" t="n">
        <v>5.401843353</v>
      </c>
      <c r="AE268" t="n">
        <v>-0.904802781</v>
      </c>
      <c r="AF268" t="n">
        <v>3.156716731</v>
      </c>
      <c r="AG268" t="n">
        <v>3.755183823</v>
      </c>
      <c r="AH268" t="n">
        <v>1.161429179</v>
      </c>
      <c r="AI268" t="n">
        <v>2.521680777</v>
      </c>
      <c r="AJ268" t="n">
        <v>1.183489296</v>
      </c>
      <c r="AK268" t="n">
        <v>1.38497114</v>
      </c>
      <c r="AL268" t="n">
        <v>1.682972714</v>
      </c>
      <c r="AM268" t="n">
        <v>1.68187194</v>
      </c>
      <c r="AN268" t="n">
        <v>2.34376095</v>
      </c>
      <c r="AO268" t="n">
        <v>2.175251729</v>
      </c>
      <c r="AP268" t="n">
        <v>2.143056093</v>
      </c>
      <c r="AQ268" t="n">
        <v>1.708512002</v>
      </c>
      <c r="AR268" t="n">
        <v>1.405061538</v>
      </c>
      <c r="AS268" t="n">
        <v>2.452959071</v>
      </c>
      <c r="AT268" t="n">
        <v>2.473479948</v>
      </c>
      <c r="AU268" t="n">
        <v>7.713279186</v>
      </c>
      <c r="AV268" t="n">
        <v>2.532049778</v>
      </c>
      <c r="AW268" t="n">
        <v>2.5397362</v>
      </c>
    </row>
    <row r="269">
      <c r="A269" t="inlineStr">
        <is>
          <t>2014-Q1</t>
        </is>
      </c>
      <c r="B269" s="87" t="n">
        <v>41730</v>
      </c>
      <c r="C269" t="n">
        <v>-1.332298309</v>
      </c>
      <c r="D269" t="n">
        <v>2.803128467</v>
      </c>
      <c r="E269" t="n">
        <v>0.733873313</v>
      </c>
      <c r="F269" t="n">
        <v>1.55021681</v>
      </c>
      <c r="G269" t="n">
        <v>3.051685666</v>
      </c>
      <c r="H269" t="n">
        <v>2.632805647</v>
      </c>
      <c r="I269" t="n">
        <v>2.659979612</v>
      </c>
      <c r="J269" t="n">
        <v>2.767334145</v>
      </c>
      <c r="K269" t="n">
        <v>7.5</v>
      </c>
      <c r="L269" t="n">
        <v>1.396007756</v>
      </c>
      <c r="M269" t="n">
        <v>2.913075283</v>
      </c>
      <c r="N269" t="n">
        <v>1.166224286</v>
      </c>
      <c r="O269" t="n">
        <v>1.533118538</v>
      </c>
      <c r="P269" t="n">
        <v>0.391740256</v>
      </c>
      <c r="Q269" t="n">
        <v>1.078258485</v>
      </c>
      <c r="R269" t="n">
        <v>1.639876647</v>
      </c>
      <c r="T269" t="n">
        <v>-0.146658286</v>
      </c>
      <c r="U269" t="n">
        <v>1.233289755</v>
      </c>
      <c r="V269" t="n">
        <v>1.757289355</v>
      </c>
      <c r="X269" t="n">
        <v>2.913931109</v>
      </c>
      <c r="Y269" t="n">
        <v>0.808688155</v>
      </c>
      <c r="Z269" t="n">
        <v>4.263911726</v>
      </c>
      <c r="AA269" t="n">
        <v>6.51554</v>
      </c>
      <c r="AB269" t="n">
        <v>8.262536315</v>
      </c>
      <c r="AC269" t="n">
        <v>1.924687884</v>
      </c>
      <c r="AD269" t="n">
        <v>5.088942666</v>
      </c>
      <c r="AE269" t="n">
        <v>0.186335025</v>
      </c>
      <c r="AF269" t="n">
        <v>2.584360694</v>
      </c>
      <c r="AG269" t="n">
        <v>3.824688709</v>
      </c>
      <c r="AH269" t="n">
        <v>3.2459572</v>
      </c>
      <c r="AI269" t="n">
        <v>2.134129133</v>
      </c>
      <c r="AJ269" t="n">
        <v>1.63067223</v>
      </c>
      <c r="AK269" t="n">
        <v>0.962696116</v>
      </c>
      <c r="AL269" t="n">
        <v>2.058856329</v>
      </c>
      <c r="AM269" t="n">
        <v>3.526563736</v>
      </c>
      <c r="AN269" t="n">
        <v>2.116135535</v>
      </c>
      <c r="AO269" t="n">
        <v>3.165262901</v>
      </c>
      <c r="AP269" t="n">
        <v>1.066874721</v>
      </c>
      <c r="AQ269" t="n">
        <v>0.953200272</v>
      </c>
      <c r="AR269" t="n">
        <v>1.993167069</v>
      </c>
      <c r="AS269" t="n">
        <v>2.348034834</v>
      </c>
      <c r="AT269" t="n">
        <v>1.892895378</v>
      </c>
      <c r="AU269" t="n">
        <v>7.683130316</v>
      </c>
      <c r="AV269" t="n">
        <v>1.294055859</v>
      </c>
      <c r="AW269" t="n">
        <v>1.609781045</v>
      </c>
    </row>
    <row r="270">
      <c r="A270" t="inlineStr">
        <is>
          <t>2014-Q2</t>
        </is>
      </c>
      <c r="B270" s="87" t="n">
        <v>41821</v>
      </c>
      <c r="C270" t="n">
        <v>-2.42876131</v>
      </c>
      <c r="D270" t="n">
        <v>2.83770421</v>
      </c>
      <c r="E270" t="n">
        <v>1.309870657</v>
      </c>
      <c r="F270" t="n">
        <v>1.228594186</v>
      </c>
      <c r="G270" t="n">
        <v>-0.198970626</v>
      </c>
      <c r="H270" t="n">
        <v>2.972572204</v>
      </c>
      <c r="I270" t="n">
        <v>2.42443276</v>
      </c>
      <c r="J270" t="n">
        <v>1.701176688</v>
      </c>
      <c r="K270" t="n">
        <v>7.6</v>
      </c>
      <c r="L270" t="n">
        <v>2.049605777</v>
      </c>
      <c r="M270" t="n">
        <v>1.82472532</v>
      </c>
      <c r="N270" t="n">
        <v>1.017899621</v>
      </c>
      <c r="O270" t="n">
        <v>1.219726128</v>
      </c>
      <c r="P270" t="n">
        <v>0.945221705</v>
      </c>
      <c r="Q270" t="n">
        <v>1.751806394</v>
      </c>
      <c r="R270" t="n">
        <v>1.406387336</v>
      </c>
      <c r="T270" t="n">
        <v>-0.443643947</v>
      </c>
      <c r="U270" t="n">
        <v>0.6942658779999999</v>
      </c>
      <c r="V270" t="n">
        <v>1.790393947</v>
      </c>
      <c r="X270" t="n">
        <v>3.066294921</v>
      </c>
      <c r="Y270" t="n">
        <v>0.363411455</v>
      </c>
      <c r="Z270" t="n">
        <v>4.591077931</v>
      </c>
      <c r="AA270" t="n">
        <v>7.44603</v>
      </c>
      <c r="AB270" t="n">
        <v>9.574881867</v>
      </c>
      <c r="AC270" t="n">
        <v>0.361291152</v>
      </c>
      <c r="AD270" t="n">
        <v>3.979461804</v>
      </c>
      <c r="AE270" t="n">
        <v>0.134783172</v>
      </c>
      <c r="AF270" t="n">
        <v>-0.184173064</v>
      </c>
      <c r="AG270" t="n">
        <v>3.500273069</v>
      </c>
      <c r="AH270" t="n">
        <v>-0.075729854</v>
      </c>
      <c r="AI270" t="n">
        <v>2.763382746</v>
      </c>
      <c r="AJ270" t="n">
        <v>3.488321999</v>
      </c>
      <c r="AK270" t="n">
        <v>1.737896984</v>
      </c>
      <c r="AL270" t="n">
        <v>2.075706131</v>
      </c>
      <c r="AM270" t="n">
        <v>2.854199788</v>
      </c>
      <c r="AN270" t="n">
        <v>2.058592193</v>
      </c>
      <c r="AO270" t="n">
        <v>3.227329386</v>
      </c>
      <c r="AP270" t="n">
        <v>0.6399180330000001</v>
      </c>
      <c r="AQ270" t="n">
        <v>1.095166405</v>
      </c>
      <c r="AR270" t="n">
        <v>2.442384578</v>
      </c>
      <c r="AS270" t="n">
        <v>2.903952985</v>
      </c>
      <c r="AT270" t="n">
        <v>2.824972638</v>
      </c>
      <c r="AU270" t="n">
        <v>2.914726553</v>
      </c>
      <c r="AV270" t="n">
        <v>2.451999168</v>
      </c>
      <c r="AW270" t="n">
        <v>1.274154405</v>
      </c>
    </row>
    <row r="271">
      <c r="A271" t="inlineStr">
        <is>
          <t>2014-Q3</t>
        </is>
      </c>
      <c r="B271" s="87" t="n">
        <v>41913</v>
      </c>
      <c r="C271" t="n">
        <v>-3.853787655</v>
      </c>
      <c r="D271" t="n">
        <v>2.521488388</v>
      </c>
      <c r="E271" t="n">
        <v>0.74585569</v>
      </c>
      <c r="F271" t="n">
        <v>1.612887217</v>
      </c>
      <c r="G271" t="n">
        <v>-0.547065558</v>
      </c>
      <c r="H271" t="n">
        <v>3.119733603</v>
      </c>
      <c r="I271" t="n">
        <v>2.207824919</v>
      </c>
      <c r="J271" t="n">
        <v>0.748613224</v>
      </c>
      <c r="K271" t="n">
        <v>7.2</v>
      </c>
      <c r="L271" t="n">
        <v>2.795065238</v>
      </c>
      <c r="M271" t="n">
        <v>1.783270004</v>
      </c>
      <c r="N271" t="n">
        <v>2.062368885</v>
      </c>
      <c r="O271" t="n">
        <v>1.357782882</v>
      </c>
      <c r="P271" t="n">
        <v>1.74793584</v>
      </c>
      <c r="Q271" t="n">
        <v>3.372775592</v>
      </c>
      <c r="R271" t="n">
        <v>1.571980757</v>
      </c>
      <c r="T271" t="n">
        <v>-0.406204538</v>
      </c>
      <c r="U271" t="n">
        <v>1.182978915</v>
      </c>
      <c r="V271" t="n">
        <v>1.873189163</v>
      </c>
      <c r="X271" t="n">
        <v>2.974231655</v>
      </c>
      <c r="Y271" t="n">
        <v>1.452147732</v>
      </c>
      <c r="Z271" t="n">
        <v>3.993966368</v>
      </c>
      <c r="AA271" t="n">
        <v>7.68364</v>
      </c>
      <c r="AB271" t="n">
        <v>7.73153008</v>
      </c>
      <c r="AC271" t="n">
        <v>4.15867896</v>
      </c>
      <c r="AD271" t="n">
        <v>3.756028861</v>
      </c>
      <c r="AE271" t="n">
        <v>0.007220859</v>
      </c>
      <c r="AF271" t="n">
        <v>-1.044622123</v>
      </c>
      <c r="AG271" t="n">
        <v>2.930433986</v>
      </c>
      <c r="AH271" t="n">
        <v>1.929968047</v>
      </c>
      <c r="AI271" t="n">
        <v>1.806470546</v>
      </c>
      <c r="AJ271" t="n">
        <v>2.907879442</v>
      </c>
      <c r="AK271" t="n">
        <v>1.380732704</v>
      </c>
      <c r="AL271" t="n">
        <v>1.509161811</v>
      </c>
      <c r="AM271" t="n">
        <v>3.568843922</v>
      </c>
      <c r="AN271" t="n">
        <v>2.118844497</v>
      </c>
      <c r="AO271" t="n">
        <v>3.309486157</v>
      </c>
      <c r="AP271" t="n">
        <v>0.875727424</v>
      </c>
      <c r="AQ271" t="n">
        <v>0.732738043</v>
      </c>
      <c r="AR271" t="n">
        <v>2.956274181</v>
      </c>
      <c r="AS271" t="n">
        <v>3.512931069</v>
      </c>
      <c r="AT271" t="n">
        <v>3.102756392</v>
      </c>
      <c r="AU271" t="n">
        <v>3.921101733</v>
      </c>
      <c r="AV271" t="n">
        <v>2.831456926</v>
      </c>
      <c r="AW271" t="n">
        <v>1.280322755</v>
      </c>
    </row>
    <row r="272">
      <c r="A272" t="inlineStr">
        <is>
          <t>2014-Q4</t>
        </is>
      </c>
      <c r="B272" s="87" t="n">
        <v>42005</v>
      </c>
      <c r="C272" t="n">
        <v>-2.420430678</v>
      </c>
      <c r="D272" t="n">
        <v>2.07513425</v>
      </c>
      <c r="E272" t="n">
        <v>0.482425528</v>
      </c>
      <c r="F272" t="n">
        <v>1.921343752</v>
      </c>
      <c r="G272" t="n">
        <v>-0.160899657</v>
      </c>
      <c r="H272" t="n">
        <v>2.75380714</v>
      </c>
      <c r="I272" t="n">
        <v>2.403041082</v>
      </c>
      <c r="J272" t="n">
        <v>1.692374764</v>
      </c>
      <c r="K272" t="n">
        <v>7.3</v>
      </c>
      <c r="L272" t="n">
        <v>2.79273164</v>
      </c>
      <c r="M272" t="n">
        <v>2.302105746</v>
      </c>
      <c r="N272" t="n">
        <v>2.222885506</v>
      </c>
      <c r="O272" t="n">
        <v>1.500791713</v>
      </c>
      <c r="P272" t="n">
        <v>2.450614801</v>
      </c>
      <c r="Q272" t="n">
        <v>4.973340902</v>
      </c>
      <c r="R272" t="n">
        <v>1.712592822</v>
      </c>
      <c r="T272" t="n">
        <v>-0.465609267</v>
      </c>
      <c r="U272" t="n">
        <v>0.791638031</v>
      </c>
      <c r="V272" t="n">
        <v>1.839687945</v>
      </c>
      <c r="X272" t="n">
        <v>3.009588264</v>
      </c>
      <c r="Y272" t="n">
        <v>-0.285792849</v>
      </c>
      <c r="Z272" t="n">
        <v>3.678340437</v>
      </c>
      <c r="AA272" t="n">
        <v>6.9807</v>
      </c>
      <c r="AB272" t="n">
        <v>8.28844222</v>
      </c>
      <c r="AC272" t="n">
        <v>0.3576003</v>
      </c>
      <c r="AD272" t="n">
        <v>4.548456104</v>
      </c>
      <c r="AE272" t="n">
        <v>-0.040131745</v>
      </c>
      <c r="AF272" t="n">
        <v>-0.457657082</v>
      </c>
      <c r="AG272" t="n">
        <v>2.574595409</v>
      </c>
      <c r="AH272" t="n">
        <v>5.428534097</v>
      </c>
      <c r="AI272" t="n">
        <v>1.463680978</v>
      </c>
      <c r="AJ272" t="n">
        <v>3.398766803</v>
      </c>
      <c r="AK272" t="n">
        <v>1.643506055</v>
      </c>
      <c r="AL272" t="n">
        <v>2.932518752</v>
      </c>
      <c r="AM272" t="n">
        <v>4.9955707</v>
      </c>
      <c r="AN272" t="n">
        <v>2.186448159</v>
      </c>
      <c r="AO272" t="n">
        <v>3.711121396</v>
      </c>
      <c r="AP272" t="n">
        <v>0.590349244</v>
      </c>
      <c r="AQ272" t="n">
        <v>-0.08116216399999999</v>
      </c>
      <c r="AR272" t="n">
        <v>3.494232378</v>
      </c>
      <c r="AS272" t="n">
        <v>1.686754184</v>
      </c>
      <c r="AT272" t="n">
        <v>3.184492249</v>
      </c>
      <c r="AU272" t="n">
        <v>5.117751062</v>
      </c>
      <c r="AV272" t="n">
        <v>2.563759666</v>
      </c>
      <c r="AW272" t="n">
        <v>1.492299283</v>
      </c>
    </row>
    <row r="273">
      <c r="A273" t="inlineStr">
        <is>
          <t>2015-Q1</t>
        </is>
      </c>
      <c r="B273" s="87" t="n">
        <v>42095</v>
      </c>
      <c r="C273" t="n">
        <v>0.534951148</v>
      </c>
      <c r="D273" t="n">
        <v>2.226151614</v>
      </c>
      <c r="E273" t="n">
        <v>1.014167815</v>
      </c>
      <c r="F273" t="n">
        <v>2.012721266</v>
      </c>
      <c r="G273" t="n">
        <v>-1.707748459</v>
      </c>
      <c r="H273" t="n">
        <v>2.022401696</v>
      </c>
      <c r="I273" t="n">
        <v>1.591292271</v>
      </c>
      <c r="J273" t="n">
        <v>1.807497163</v>
      </c>
      <c r="K273" t="n">
        <v>7.1</v>
      </c>
      <c r="L273" t="n">
        <v>5.281546598</v>
      </c>
      <c r="M273" t="n">
        <v>0.81967864</v>
      </c>
      <c r="N273" t="n">
        <v>2.662785995</v>
      </c>
      <c r="O273" t="n">
        <v>1.754517416</v>
      </c>
      <c r="P273" t="n">
        <v>3.246965453</v>
      </c>
      <c r="Q273" t="n">
        <v>1.835317671</v>
      </c>
      <c r="R273" t="n">
        <v>2.022545439</v>
      </c>
      <c r="T273" t="n">
        <v>-0.471140274</v>
      </c>
      <c r="U273" t="n">
        <v>1.193257739</v>
      </c>
      <c r="V273" t="n">
        <v>2.351561642</v>
      </c>
      <c r="X273" t="n">
        <v>2.715634012</v>
      </c>
      <c r="Y273" t="n">
        <v>0.301675192</v>
      </c>
      <c r="Z273" t="n">
        <v>4.569100857</v>
      </c>
      <c r="AA273" t="n">
        <v>7.53623</v>
      </c>
      <c r="AB273" t="n">
        <v>29.489152715</v>
      </c>
      <c r="AC273" t="n">
        <v>1.518408163</v>
      </c>
      <c r="AD273" t="n">
        <v>3.454156328</v>
      </c>
      <c r="AE273" t="n">
        <v>0.06609949699999999</v>
      </c>
      <c r="AF273" t="n">
        <v>0.262652742</v>
      </c>
      <c r="AG273" t="n">
        <v>2.480268289</v>
      </c>
      <c r="AH273" t="n">
        <v>2.522516475</v>
      </c>
      <c r="AI273" t="n">
        <v>3.041365261</v>
      </c>
      <c r="AJ273" t="n">
        <v>3.251787546</v>
      </c>
      <c r="AK273" t="n">
        <v>2.34598117</v>
      </c>
      <c r="AL273" t="n">
        <v>2.136302822</v>
      </c>
      <c r="AM273" t="n">
        <v>3.776186536</v>
      </c>
      <c r="AN273" t="n">
        <v>2.652726988</v>
      </c>
      <c r="AO273" t="n">
        <v>4.10599236</v>
      </c>
      <c r="AP273" t="n">
        <v>1.892981477</v>
      </c>
      <c r="AQ273" t="n">
        <v>-1.090179575</v>
      </c>
      <c r="AR273" t="n">
        <v>4.841123229</v>
      </c>
      <c r="AS273" t="n">
        <v>2.092800133</v>
      </c>
      <c r="AT273" t="n">
        <v>3.76455334</v>
      </c>
      <c r="AU273" t="n">
        <v>4.08566093</v>
      </c>
      <c r="AV273" t="n">
        <v>3.761202773</v>
      </c>
      <c r="AW273" t="n">
        <v>2.366630487</v>
      </c>
    </row>
    <row r="274">
      <c r="A274" t="inlineStr">
        <is>
          <t>2015-Q2</t>
        </is>
      </c>
      <c r="B274" s="87" t="n">
        <v>42186</v>
      </c>
      <c r="C274" t="n">
        <v>3.538204112</v>
      </c>
      <c r="D274" t="n">
        <v>1.87187804</v>
      </c>
      <c r="E274" t="n">
        <v>0.518057556</v>
      </c>
      <c r="F274" t="n">
        <v>2.426382359</v>
      </c>
      <c r="G274" t="n">
        <v>-2.793210879</v>
      </c>
      <c r="H274" t="n">
        <v>0.823871439</v>
      </c>
      <c r="I274" t="n">
        <v>1.641096241</v>
      </c>
      <c r="J274" t="n">
        <v>2.688812223</v>
      </c>
      <c r="K274" t="n">
        <v>7.1</v>
      </c>
      <c r="L274" t="n">
        <v>5.745739998</v>
      </c>
      <c r="M274" t="n">
        <v>1.532410198</v>
      </c>
      <c r="N274" t="n">
        <v>3.217787663</v>
      </c>
      <c r="O274" t="n">
        <v>1.974236426</v>
      </c>
      <c r="P274" t="n">
        <v>3.873276253</v>
      </c>
      <c r="Q274" t="n">
        <v>3.42185637</v>
      </c>
      <c r="R274" t="n">
        <v>2.213956925</v>
      </c>
      <c r="T274" t="n">
        <v>0.8798156579999999</v>
      </c>
      <c r="U274" t="n">
        <v>1.081469994</v>
      </c>
      <c r="V274" t="n">
        <v>2.333108618</v>
      </c>
      <c r="X274" t="n">
        <v>2.646630585</v>
      </c>
      <c r="Y274" t="n">
        <v>0.511022116</v>
      </c>
      <c r="Z274" t="n">
        <v>3.311921889</v>
      </c>
      <c r="AA274" t="n">
        <v>7.38078</v>
      </c>
      <c r="AB274" t="n">
        <v>21.585499784</v>
      </c>
      <c r="AC274" t="n">
        <v>7.783196254</v>
      </c>
      <c r="AD274" t="n">
        <v>2.570040706</v>
      </c>
      <c r="AE274" t="n">
        <v>0.494675431</v>
      </c>
      <c r="AF274" t="n">
        <v>2.261118792</v>
      </c>
      <c r="AG274" t="n">
        <v>2.04324107</v>
      </c>
      <c r="AH274" t="n">
        <v>4.62454956</v>
      </c>
      <c r="AI274" t="n">
        <v>3.994454682</v>
      </c>
      <c r="AJ274" t="n">
        <v>3.149550173</v>
      </c>
      <c r="AK274" t="n">
        <v>2.064727176</v>
      </c>
      <c r="AL274" t="n">
        <v>1.924428113</v>
      </c>
      <c r="AM274" t="n">
        <v>3.985122166</v>
      </c>
      <c r="AN274" t="n">
        <v>2.720629926</v>
      </c>
      <c r="AO274" t="n">
        <v>3.741782584</v>
      </c>
      <c r="AP274" t="n">
        <v>1.857357964</v>
      </c>
      <c r="AQ274" t="n">
        <v>-2.223591134</v>
      </c>
      <c r="AR274" t="n">
        <v>5.342834416</v>
      </c>
      <c r="AS274" t="n">
        <v>1.907403743</v>
      </c>
      <c r="AT274" t="n">
        <v>3.95405957</v>
      </c>
      <c r="AU274" t="n">
        <v>7.414384034</v>
      </c>
      <c r="AV274" t="n">
        <v>3.039854675</v>
      </c>
      <c r="AW274" t="n">
        <v>1.103366057</v>
      </c>
    </row>
    <row r="275">
      <c r="A275" t="inlineStr">
        <is>
          <t>2015-Q3</t>
        </is>
      </c>
      <c r="B275" s="87" t="n">
        <v>42278</v>
      </c>
      <c r="C275" t="n">
        <v>4.284966603</v>
      </c>
      <c r="D275" t="n">
        <v>2.447117286</v>
      </c>
      <c r="E275" t="n">
        <v>1.187658601</v>
      </c>
      <c r="F275" t="n">
        <v>1.918418379</v>
      </c>
      <c r="G275" t="n">
        <v>-4.219115794</v>
      </c>
      <c r="H275" t="n">
        <v>0.219332497</v>
      </c>
      <c r="I275" t="n">
        <v>1.715246304</v>
      </c>
      <c r="J275" t="n">
        <v>2.379221265</v>
      </c>
      <c r="K275" t="n">
        <v>7</v>
      </c>
      <c r="L275" t="n">
        <v>5.757359353</v>
      </c>
      <c r="M275" t="n">
        <v>1.493771112</v>
      </c>
      <c r="N275" t="n">
        <v>1.824728012</v>
      </c>
      <c r="O275" t="n">
        <v>1.970199219</v>
      </c>
      <c r="P275" t="n">
        <v>4.048558095</v>
      </c>
      <c r="Q275" t="n">
        <v>2.813994824</v>
      </c>
      <c r="R275" t="n">
        <v>2.232297665</v>
      </c>
      <c r="T275" t="n">
        <v>0.48184543</v>
      </c>
      <c r="U275" t="n">
        <v>0.916549826</v>
      </c>
      <c r="V275" t="n">
        <v>1.865529446</v>
      </c>
      <c r="X275" t="n">
        <v>2.503972696</v>
      </c>
      <c r="Y275" t="n">
        <v>-2.501082787</v>
      </c>
      <c r="Z275" t="n">
        <v>3.131315786</v>
      </c>
      <c r="AA275" t="n">
        <v>7.40231</v>
      </c>
      <c r="AB275" t="n">
        <v>24.757834426</v>
      </c>
      <c r="AC275" t="n">
        <v>3.263728572</v>
      </c>
      <c r="AD275" t="n">
        <v>1.73244618</v>
      </c>
      <c r="AE275" t="n">
        <v>0.632545344</v>
      </c>
      <c r="AF275" t="n">
        <v>2.249808996</v>
      </c>
      <c r="AG275" t="n">
        <v>3.232595765</v>
      </c>
      <c r="AH275" t="n">
        <v>2.006471059</v>
      </c>
      <c r="AI275" t="n">
        <v>4.296726092</v>
      </c>
      <c r="AJ275" t="n">
        <v>4.14384656</v>
      </c>
      <c r="AK275" t="n">
        <v>2.159549803</v>
      </c>
      <c r="AL275" t="n">
        <v>2.68709773</v>
      </c>
      <c r="AM275" t="n">
        <v>3.794445805</v>
      </c>
      <c r="AN275" t="n">
        <v>2.47261714</v>
      </c>
      <c r="AO275" t="n">
        <v>4.185842203</v>
      </c>
      <c r="AP275" t="n">
        <v>1.876774457</v>
      </c>
      <c r="AQ275" t="n">
        <v>-1.72172671</v>
      </c>
      <c r="AR275" t="n">
        <v>5.537614535</v>
      </c>
      <c r="AS275" t="n">
        <v>1.943360387</v>
      </c>
      <c r="AT275" t="n">
        <v>4.638896105</v>
      </c>
      <c r="AU275" t="n">
        <v>6.306599319</v>
      </c>
      <c r="AV275" t="n">
        <v>2.182668511</v>
      </c>
      <c r="AW275" t="n">
        <v>1.07302391</v>
      </c>
    </row>
    <row r="276">
      <c r="A276" t="inlineStr">
        <is>
          <t>2015-Q4</t>
        </is>
      </c>
      <c r="B276" s="87" t="n">
        <v>42370</v>
      </c>
      <c r="C276" t="n">
        <v>2.592127079</v>
      </c>
      <c r="D276" t="n">
        <v>2.685460339</v>
      </c>
      <c r="E276" t="n">
        <v>1.146707887</v>
      </c>
      <c r="F276" t="n">
        <v>1.811273819</v>
      </c>
      <c r="G276" t="n">
        <v>-5.442551169</v>
      </c>
      <c r="H276" t="n">
        <v>-0.394869166</v>
      </c>
      <c r="I276" t="n">
        <v>1.590770491</v>
      </c>
      <c r="J276" t="n">
        <v>2.161889414</v>
      </c>
      <c r="K276" t="n">
        <v>6.9</v>
      </c>
      <c r="L276" t="n">
        <v>5.098788695</v>
      </c>
      <c r="M276" t="n">
        <v>1.110032878</v>
      </c>
      <c r="N276" t="n">
        <v>1.686875018</v>
      </c>
      <c r="O276" t="n">
        <v>2.015725992</v>
      </c>
      <c r="P276" t="n">
        <v>4.162744164</v>
      </c>
      <c r="Q276" t="n">
        <v>1.109257613</v>
      </c>
      <c r="R276" t="n">
        <v>2.281702407</v>
      </c>
      <c r="T276" t="n">
        <v>1.287365939</v>
      </c>
      <c r="U276" t="n">
        <v>0.9794130559999999</v>
      </c>
      <c r="V276" t="n">
        <v>1.620969512</v>
      </c>
      <c r="X276" t="n">
        <v>2.62565875</v>
      </c>
      <c r="Y276" t="n">
        <v>0.302981736</v>
      </c>
      <c r="Z276" t="n">
        <v>3.610517164</v>
      </c>
      <c r="AA276" t="n">
        <v>7.92964</v>
      </c>
      <c r="AB276" t="n">
        <v>25.767292037</v>
      </c>
      <c r="AC276" t="n">
        <v>5.196167415</v>
      </c>
      <c r="AD276" t="n">
        <v>1.039977889</v>
      </c>
      <c r="AE276" t="n">
        <v>1.436718007</v>
      </c>
      <c r="AF276" t="n">
        <v>1.627385046</v>
      </c>
      <c r="AG276" t="n">
        <v>3.470945248</v>
      </c>
      <c r="AH276" t="n">
        <v>0.089501814</v>
      </c>
      <c r="AI276" t="n">
        <v>3.568408804</v>
      </c>
      <c r="AJ276" t="n">
        <v>2.707318574</v>
      </c>
      <c r="AK276" t="n">
        <v>1.267955687</v>
      </c>
      <c r="AL276" t="n">
        <v>0.556183286</v>
      </c>
      <c r="AM276" t="n">
        <v>3.193576856</v>
      </c>
      <c r="AN276" t="n">
        <v>2.224053823</v>
      </c>
      <c r="AO276" t="n">
        <v>4.795058151</v>
      </c>
      <c r="AP276" t="n">
        <v>1.543573076</v>
      </c>
      <c r="AQ276" t="n">
        <v>-1.743892844</v>
      </c>
      <c r="AR276" t="n">
        <v>5.136724884</v>
      </c>
      <c r="AS276" t="n">
        <v>1.970926639</v>
      </c>
      <c r="AT276" t="n">
        <v>4.629973529</v>
      </c>
      <c r="AU276" t="n">
        <v>6.117065331</v>
      </c>
      <c r="AV276" t="n">
        <v>1.874684059</v>
      </c>
      <c r="AW276" t="n">
        <v>0.756699682</v>
      </c>
    </row>
    <row r="277">
      <c r="A277" t="inlineStr">
        <is>
          <t>2016-Q1</t>
        </is>
      </c>
      <c r="B277" s="87" t="n">
        <v>42461</v>
      </c>
      <c r="C277" t="n">
        <v>0.203692955</v>
      </c>
      <c r="D277" t="n">
        <v>2.635162106</v>
      </c>
      <c r="E277" t="n">
        <v>1.975558806</v>
      </c>
      <c r="F277" t="n">
        <v>1.34272954</v>
      </c>
      <c r="G277" t="n">
        <v>-6.331737084</v>
      </c>
      <c r="H277" t="n">
        <v>0.704858556</v>
      </c>
      <c r="I277" t="n">
        <v>2.198761267</v>
      </c>
      <c r="J277" t="n">
        <v>2.574687033</v>
      </c>
      <c r="K277" t="n">
        <v>6.9</v>
      </c>
      <c r="L277" t="n">
        <v>3.393559436</v>
      </c>
      <c r="M277" t="n">
        <v>2.476818989</v>
      </c>
      <c r="N277" t="n">
        <v>2.158906178</v>
      </c>
      <c r="O277" t="n">
        <v>1.914820941</v>
      </c>
      <c r="P277" t="n">
        <v>3.678792401</v>
      </c>
      <c r="Q277" t="n">
        <v>4.206458222</v>
      </c>
      <c r="R277" t="n">
        <v>2.059495188</v>
      </c>
      <c r="T277" t="n">
        <v>3.340424309</v>
      </c>
      <c r="U277" t="n">
        <v>1.129946629</v>
      </c>
      <c r="V277" t="n">
        <v>1.582574463</v>
      </c>
      <c r="X277" t="n">
        <v>2.418570476</v>
      </c>
      <c r="Y277" t="n">
        <v>-1.14012845</v>
      </c>
      <c r="Z277" t="n">
        <v>1.354705361</v>
      </c>
      <c r="AA277" t="n">
        <v>9.22246</v>
      </c>
      <c r="AB277" t="n">
        <v>-1.103334538</v>
      </c>
      <c r="AC277" t="n">
        <v>3.912379621</v>
      </c>
      <c r="AD277" t="n">
        <v>1.948492468</v>
      </c>
      <c r="AE277" t="n">
        <v>1.444889328</v>
      </c>
      <c r="AF277" t="n">
        <v>0.8132793270000001</v>
      </c>
      <c r="AG277" t="n">
        <v>2.926494945</v>
      </c>
      <c r="AH277" t="n">
        <v>3.831010438</v>
      </c>
      <c r="AI277" t="n">
        <v>3.998821051</v>
      </c>
      <c r="AJ277" t="n">
        <v>2.730763478</v>
      </c>
      <c r="AK277" t="n">
        <v>1.594948325</v>
      </c>
      <c r="AL277" t="n">
        <v>0.949763569</v>
      </c>
      <c r="AM277" t="n">
        <v>4.058760957</v>
      </c>
      <c r="AN277" t="n">
        <v>1.948096513</v>
      </c>
      <c r="AO277" t="n">
        <v>3.023989131</v>
      </c>
      <c r="AP277" t="n">
        <v>1.363934383</v>
      </c>
      <c r="AQ277" t="n">
        <v>-0.545475916</v>
      </c>
      <c r="AR277" t="n">
        <v>3.125064122</v>
      </c>
      <c r="AS277" t="n">
        <v>2.515541814</v>
      </c>
      <c r="AT277" t="n">
        <v>3.06420464</v>
      </c>
      <c r="AU277" t="n">
        <v>4.524423533</v>
      </c>
      <c r="AV277" t="n">
        <v>1.648190603</v>
      </c>
      <c r="AW277" t="n">
        <v>0.27304739</v>
      </c>
    </row>
    <row r="278">
      <c r="A278" t="inlineStr">
        <is>
          <t>2016-Q2</t>
        </is>
      </c>
      <c r="B278" s="87" t="n">
        <v>42552</v>
      </c>
      <c r="C278" t="n">
        <v>-3.621577893</v>
      </c>
      <c r="D278" t="n">
        <v>3.194157634</v>
      </c>
      <c r="E278" t="n">
        <v>1.635063096</v>
      </c>
      <c r="F278" t="n">
        <v>1.219500485</v>
      </c>
      <c r="G278" t="n">
        <v>-3.28435573</v>
      </c>
      <c r="H278" t="n">
        <v>0.483168091</v>
      </c>
      <c r="I278" t="n">
        <v>1.995545113</v>
      </c>
      <c r="J278" t="n">
        <v>1.076573231</v>
      </c>
      <c r="K278" t="n">
        <v>6.8</v>
      </c>
      <c r="L278" t="n">
        <v>2.255475396</v>
      </c>
      <c r="M278" t="n">
        <v>2.178643906</v>
      </c>
      <c r="N278" t="n">
        <v>3.058665445</v>
      </c>
      <c r="O278" t="n">
        <v>1.720878246</v>
      </c>
      <c r="P278" t="n">
        <v>3.008578363</v>
      </c>
      <c r="Q278" t="n">
        <v>2.000614593</v>
      </c>
      <c r="R278" t="n">
        <v>1.907581139</v>
      </c>
      <c r="T278" t="n">
        <v>1.950050025</v>
      </c>
      <c r="U278" t="n">
        <v>0.957967449</v>
      </c>
      <c r="V278" t="n">
        <v>1.325944159</v>
      </c>
      <c r="X278" t="n">
        <v>2.25477174</v>
      </c>
      <c r="Y278" t="n">
        <v>-1.397522072</v>
      </c>
      <c r="Z278" t="n">
        <v>2.621778117</v>
      </c>
      <c r="AA278" t="n">
        <v>8.83644</v>
      </c>
      <c r="AB278" t="n">
        <v>2.740186388</v>
      </c>
      <c r="AC278" t="n">
        <v>4.64346693</v>
      </c>
      <c r="AD278" t="n">
        <v>4.250607373</v>
      </c>
      <c r="AE278" t="n">
        <v>1.252262388</v>
      </c>
      <c r="AF278" t="n">
        <v>0.52528469</v>
      </c>
      <c r="AG278" t="n">
        <v>3.671215604</v>
      </c>
      <c r="AH278" t="n">
        <v>4.591173984</v>
      </c>
      <c r="AI278" t="n">
        <v>1.447318623</v>
      </c>
      <c r="AJ278" t="n">
        <v>1.988290714</v>
      </c>
      <c r="AK278" t="n">
        <v>1.520433163</v>
      </c>
      <c r="AL278" t="n">
        <v>0.385706397</v>
      </c>
      <c r="AM278" t="n">
        <v>4.284569373</v>
      </c>
      <c r="AN278" t="n">
        <v>1.761653231</v>
      </c>
      <c r="AO278" t="n">
        <v>3.557428686</v>
      </c>
      <c r="AP278" t="n">
        <v>1.365877713</v>
      </c>
      <c r="AQ278" t="n">
        <v>0.179086243</v>
      </c>
      <c r="AR278" t="n">
        <v>2.107506166</v>
      </c>
      <c r="AS278" t="n">
        <v>3.140064758</v>
      </c>
      <c r="AT278" t="n">
        <v>2.140620334</v>
      </c>
      <c r="AU278" t="n">
        <v>4.428795264</v>
      </c>
      <c r="AV278" t="n">
        <v>1.36762965</v>
      </c>
      <c r="AW278" t="n">
        <v>1.224121386</v>
      </c>
    </row>
    <row r="279">
      <c r="A279" t="inlineStr">
        <is>
          <t>2016-Q3</t>
        </is>
      </c>
      <c r="B279" s="87" t="n">
        <v>42644</v>
      </c>
      <c r="C279" t="n">
        <v>-3.276736629</v>
      </c>
      <c r="D279" t="n">
        <v>2.264110396</v>
      </c>
      <c r="E279" t="n">
        <v>1.601013724</v>
      </c>
      <c r="F279" t="n">
        <v>1.203756948</v>
      </c>
      <c r="G279" t="n">
        <v>-2.435116022</v>
      </c>
      <c r="H279" t="n">
        <v>1.161554002</v>
      </c>
      <c r="I279" t="n">
        <v>1.914750427</v>
      </c>
      <c r="J279" t="n">
        <v>1.794435509</v>
      </c>
      <c r="K279" t="n">
        <v>6.8</v>
      </c>
      <c r="L279" t="n">
        <v>1.959620105</v>
      </c>
      <c r="M279" t="n">
        <v>2.018125025</v>
      </c>
      <c r="N279" t="n">
        <v>3.620422425</v>
      </c>
      <c r="O279" t="n">
        <v>1.730613673</v>
      </c>
      <c r="P279" t="n">
        <v>2.985140797</v>
      </c>
      <c r="Q279" t="n">
        <v>2.375349185</v>
      </c>
      <c r="R279" t="n">
        <v>1.82138051</v>
      </c>
      <c r="T279" t="n">
        <v>3.111312491</v>
      </c>
      <c r="U279" t="n">
        <v>0.810272394</v>
      </c>
      <c r="V279" t="n">
        <v>1.491571894</v>
      </c>
      <c r="X279" t="n">
        <v>2.161200344</v>
      </c>
      <c r="Y279" t="n">
        <v>0.901781348</v>
      </c>
      <c r="Z279" t="n">
        <v>2.37878469</v>
      </c>
      <c r="AA279" t="n">
        <v>9.312110000000001</v>
      </c>
      <c r="AB279" t="n">
        <v>-1.167237921</v>
      </c>
      <c r="AC279" t="n">
        <v>7.338249816</v>
      </c>
      <c r="AD279" t="n">
        <v>5.438529654</v>
      </c>
      <c r="AE279" t="n">
        <v>1.582185824</v>
      </c>
      <c r="AF279" t="n">
        <v>0.605207221</v>
      </c>
      <c r="AG279" t="n">
        <v>2.630505148</v>
      </c>
      <c r="AH279" t="n">
        <v>5.850193642</v>
      </c>
      <c r="AI279" t="n">
        <v>0.906628808</v>
      </c>
      <c r="AJ279" t="n">
        <v>1.736917992</v>
      </c>
      <c r="AK279" t="n">
        <v>2.30395343</v>
      </c>
      <c r="AL279" t="n">
        <v>-1.081657864</v>
      </c>
      <c r="AM279" t="n">
        <v>4.137334761</v>
      </c>
      <c r="AN279" t="n">
        <v>1.620110691</v>
      </c>
      <c r="AO279" t="n">
        <v>2.52411902</v>
      </c>
      <c r="AP279" t="n">
        <v>2.439463797</v>
      </c>
      <c r="AQ279" t="n">
        <v>0.08629020699999999</v>
      </c>
      <c r="AR279" t="n">
        <v>1.319512879</v>
      </c>
      <c r="AS279" t="n">
        <v>3.38565941</v>
      </c>
      <c r="AT279" t="n">
        <v>1.039809138</v>
      </c>
      <c r="AU279" t="n">
        <v>0.03215391</v>
      </c>
      <c r="AV279" t="n">
        <v>1.648263356</v>
      </c>
      <c r="AW279" t="n">
        <v>0.7579511249999999</v>
      </c>
    </row>
    <row r="280">
      <c r="A280" t="inlineStr">
        <is>
          <t>2016-Q4</t>
        </is>
      </c>
      <c r="B280" s="87" t="n">
        <v>42736</v>
      </c>
      <c r="C280" t="n">
        <v>-1.568911653</v>
      </c>
      <c r="D280" t="n">
        <v>2.721573191</v>
      </c>
      <c r="E280" t="n">
        <v>2.520485522</v>
      </c>
      <c r="F280" t="n">
        <v>1.300882844</v>
      </c>
      <c r="G280" t="n">
        <v>-1.840787815</v>
      </c>
      <c r="H280" t="n">
        <v>1.653443587</v>
      </c>
      <c r="I280" t="n">
        <v>1.842540997</v>
      </c>
      <c r="J280" t="n">
        <v>1.046002221</v>
      </c>
      <c r="K280" t="n">
        <v>6.9</v>
      </c>
      <c r="L280" t="n">
        <v>2.170634498</v>
      </c>
      <c r="M280" t="n">
        <v>1.90021589</v>
      </c>
      <c r="N280" t="n">
        <v>4.134965567</v>
      </c>
      <c r="O280" t="n">
        <v>2.020998128</v>
      </c>
      <c r="P280" t="n">
        <v>2.470572308</v>
      </c>
      <c r="Q280" t="n">
        <v>3.794324239</v>
      </c>
      <c r="R280" t="n">
        <v>2.151265608</v>
      </c>
      <c r="T280" t="n">
        <v>2.851778842</v>
      </c>
      <c r="U280" t="n">
        <v>1.203859838</v>
      </c>
      <c r="V280" t="n">
        <v>1.742854815</v>
      </c>
      <c r="X280" t="n">
        <v>2.221510058</v>
      </c>
      <c r="Y280" t="n">
        <v>-0.228928369</v>
      </c>
      <c r="Z280" t="n">
        <v>2.191008238</v>
      </c>
      <c r="AA280" t="n">
        <v>8.5954</v>
      </c>
      <c r="AB280" t="n">
        <v>8.837132512</v>
      </c>
      <c r="AC280" t="n">
        <v>9.165672981</v>
      </c>
      <c r="AD280" t="n">
        <v>5.711113612</v>
      </c>
      <c r="AE280" t="n">
        <v>1.337739034</v>
      </c>
      <c r="AF280" t="n">
        <v>0.93134288</v>
      </c>
      <c r="AG280" t="n">
        <v>2.572190823</v>
      </c>
      <c r="AH280" t="n">
        <v>5.679361487</v>
      </c>
      <c r="AI280" t="n">
        <v>2.262275338</v>
      </c>
      <c r="AJ280" t="n">
        <v>3.130946336</v>
      </c>
      <c r="AK280" t="n">
        <v>3.144898161</v>
      </c>
      <c r="AL280" t="n">
        <v>1.131210516</v>
      </c>
      <c r="AM280" t="n">
        <v>3.420229922</v>
      </c>
      <c r="AN280" t="n">
        <v>2.133576742</v>
      </c>
      <c r="AO280" t="n">
        <v>3.588053369</v>
      </c>
      <c r="AP280" t="n">
        <v>2.901011108</v>
      </c>
      <c r="AQ280" t="n">
        <v>1.172923142</v>
      </c>
      <c r="AR280" t="n">
        <v>1.209940288</v>
      </c>
      <c r="AS280" t="n">
        <v>4.03742439</v>
      </c>
      <c r="AT280" t="n">
        <v>1.198817637</v>
      </c>
      <c r="AU280" t="n">
        <v>4.326189325</v>
      </c>
      <c r="AV280" t="n">
        <v>2.004177046</v>
      </c>
      <c r="AW280" t="n">
        <v>0.408272378</v>
      </c>
    </row>
    <row r="281">
      <c r="A281" t="inlineStr">
        <is>
          <t>2017-Q1</t>
        </is>
      </c>
      <c r="B281" s="87" t="n">
        <v>42826</v>
      </c>
      <c r="C281" t="n">
        <v>0.258514291</v>
      </c>
      <c r="D281" t="n">
        <v>2.090215914</v>
      </c>
      <c r="E281" t="n">
        <v>1.941659903</v>
      </c>
      <c r="F281" t="n">
        <v>1.902990414</v>
      </c>
      <c r="G281" t="n">
        <v>0.859818928</v>
      </c>
      <c r="H281" t="n">
        <v>2.197779092</v>
      </c>
      <c r="I281" t="n">
        <v>1.585543775</v>
      </c>
      <c r="J281" t="n">
        <v>-0.414096952</v>
      </c>
      <c r="K281" t="n">
        <v>7</v>
      </c>
      <c r="L281" t="n">
        <v>3.570373762</v>
      </c>
      <c r="M281" t="n">
        <v>2.306102514</v>
      </c>
      <c r="N281" t="n">
        <v>3.622621239</v>
      </c>
      <c r="O281" t="n">
        <v>2.179691992</v>
      </c>
      <c r="P281" t="n">
        <v>2.588779171</v>
      </c>
      <c r="Q281" t="n">
        <v>4.150611999</v>
      </c>
      <c r="R281" t="n">
        <v>2.390253365</v>
      </c>
      <c r="T281" t="n">
        <v>2.600051927</v>
      </c>
      <c r="U281" t="n">
        <v>1.38721472</v>
      </c>
      <c r="V281" t="n">
        <v>1.811177893</v>
      </c>
      <c r="X281" t="n">
        <v>2.433388147</v>
      </c>
      <c r="Y281" t="n">
        <v>0.371089066</v>
      </c>
      <c r="Z281" t="n">
        <v>4.219964594</v>
      </c>
      <c r="AA281" t="n">
        <v>6.37876</v>
      </c>
      <c r="AB281" t="n">
        <v>7.320634788</v>
      </c>
      <c r="AC281" t="n">
        <v>8.060298252999999</v>
      </c>
      <c r="AD281" t="n">
        <v>4.886258793</v>
      </c>
      <c r="AE281" t="n">
        <v>1.617353901</v>
      </c>
      <c r="AF281" t="n">
        <v>1.008661036</v>
      </c>
      <c r="AG281" t="n">
        <v>3.242147538</v>
      </c>
      <c r="AH281" t="n">
        <v>1.07034259</v>
      </c>
      <c r="AI281" t="n">
        <v>1.965566214</v>
      </c>
      <c r="AJ281" t="n">
        <v>3.014693974</v>
      </c>
      <c r="AK281" t="n">
        <v>2.732828044</v>
      </c>
      <c r="AL281" t="n">
        <v>2.000701794</v>
      </c>
      <c r="AM281" t="n">
        <v>3.275933758</v>
      </c>
      <c r="AN281" t="n">
        <v>2.233357034</v>
      </c>
      <c r="AO281" t="n">
        <v>4.875458136</v>
      </c>
      <c r="AP281" t="n">
        <v>3.622097634</v>
      </c>
      <c r="AQ281" t="n">
        <v>1.184664665</v>
      </c>
      <c r="AR281" t="n">
        <v>2.09038931</v>
      </c>
      <c r="AS281" t="n">
        <v>4.82296578</v>
      </c>
      <c r="AT281" t="n">
        <v>1.732087134</v>
      </c>
      <c r="AU281" t="n">
        <v>5.373309812</v>
      </c>
      <c r="AV281" t="n">
        <v>1.88527887</v>
      </c>
      <c r="AW281" t="n">
        <v>0.64192753</v>
      </c>
    </row>
    <row r="282">
      <c r="A282" t="inlineStr">
        <is>
          <t>2017-Q2</t>
        </is>
      </c>
      <c r="B282" s="87" t="n">
        <v>42917</v>
      </c>
      <c r="C282" t="n">
        <v>2.94785243</v>
      </c>
      <c r="D282" t="n">
        <v>2.112337356</v>
      </c>
      <c r="E282" t="n">
        <v>2.662617887</v>
      </c>
      <c r="F282" t="n">
        <v>1.590915559</v>
      </c>
      <c r="G282" t="n">
        <v>1.038896981</v>
      </c>
      <c r="H282" t="n">
        <v>3.75347556</v>
      </c>
      <c r="I282" t="n">
        <v>1.364603033</v>
      </c>
      <c r="J282" t="n">
        <v>0.911967297</v>
      </c>
      <c r="K282" t="n">
        <v>7</v>
      </c>
      <c r="L282" t="n">
        <v>6.131361227</v>
      </c>
      <c r="M282" t="n">
        <v>2.679362955</v>
      </c>
      <c r="N282" t="n">
        <v>3.382501008</v>
      </c>
      <c r="O282" t="n">
        <v>2.742411337</v>
      </c>
      <c r="P282" t="n">
        <v>3.257293623</v>
      </c>
      <c r="Q282" t="n">
        <v>6.325982017</v>
      </c>
      <c r="R282" t="n">
        <v>2.930200478</v>
      </c>
      <c r="T282" t="n">
        <v>3.747731734</v>
      </c>
      <c r="U282" t="n">
        <v>2.387079923</v>
      </c>
      <c r="V282" t="n">
        <v>2.192090137</v>
      </c>
      <c r="X282" t="n">
        <v>2.161879072</v>
      </c>
      <c r="Y282" t="n">
        <v>1.31753877</v>
      </c>
      <c r="Z282" t="n">
        <v>4.027697607</v>
      </c>
      <c r="AA282" t="n">
        <v>6.65711</v>
      </c>
      <c r="AB282" t="n">
        <v>9.031183795</v>
      </c>
      <c r="AC282" t="n">
        <v>4.575598553</v>
      </c>
      <c r="AD282" t="n">
        <v>3.977461693</v>
      </c>
      <c r="AE282" t="n">
        <v>1.814360382</v>
      </c>
      <c r="AF282" t="n">
        <v>1.550542897</v>
      </c>
      <c r="AG282" t="n">
        <v>2.757337588</v>
      </c>
      <c r="AH282" t="n">
        <v>1.073161598</v>
      </c>
      <c r="AI282" t="n">
        <v>3.823822813</v>
      </c>
      <c r="AJ282" t="n">
        <v>2.925062447</v>
      </c>
      <c r="AK282" t="n">
        <v>3.392672588</v>
      </c>
      <c r="AL282" t="n">
        <v>3.016079238</v>
      </c>
      <c r="AM282" t="n">
        <v>3.405326886</v>
      </c>
      <c r="AN282" t="n">
        <v>2.600649898</v>
      </c>
      <c r="AO282" t="n">
        <v>4.422552815</v>
      </c>
      <c r="AP282" t="n">
        <v>3.834597164</v>
      </c>
      <c r="AQ282" t="n">
        <v>1.828467195</v>
      </c>
      <c r="AR282" t="n">
        <v>2.792319481</v>
      </c>
      <c r="AS282" t="n">
        <v>4.754507426</v>
      </c>
      <c r="AT282" t="n">
        <v>2.943601576</v>
      </c>
      <c r="AU282" t="n">
        <v>6.255758034</v>
      </c>
      <c r="AV282" t="n">
        <v>2.146716583</v>
      </c>
      <c r="AW282" t="n">
        <v>1.093464986</v>
      </c>
    </row>
    <row r="283">
      <c r="A283" t="inlineStr">
        <is>
          <t>2017-Q3</t>
        </is>
      </c>
      <c r="B283" s="87" t="n">
        <v>43009</v>
      </c>
      <c r="C283" t="n">
        <v>3.822856646</v>
      </c>
      <c r="D283" t="n">
        <v>2.97006137</v>
      </c>
      <c r="E283" t="n">
        <v>2.632698327</v>
      </c>
      <c r="F283" t="n">
        <v>1.347588924</v>
      </c>
      <c r="G283" t="n">
        <v>1.989139426</v>
      </c>
      <c r="H283" t="n">
        <v>3.12771636</v>
      </c>
      <c r="I283" t="n">
        <v>1.458895098</v>
      </c>
      <c r="J283" t="n">
        <v>2.260934278</v>
      </c>
      <c r="K283" t="n">
        <v>6.9</v>
      </c>
      <c r="L283" t="n">
        <v>5.879392756</v>
      </c>
      <c r="M283" t="n">
        <v>3.227702713</v>
      </c>
      <c r="N283" t="n">
        <v>2.136810628</v>
      </c>
      <c r="O283" t="n">
        <v>2.994542886</v>
      </c>
      <c r="P283" t="n">
        <v>2.940226867</v>
      </c>
      <c r="Q283" t="n">
        <v>5.531043162</v>
      </c>
      <c r="R283" t="n">
        <v>3.206590991</v>
      </c>
      <c r="T283" t="n">
        <v>3.015599824</v>
      </c>
      <c r="U283" t="n">
        <v>2.83622005</v>
      </c>
      <c r="V283" t="n">
        <v>2.385007194</v>
      </c>
      <c r="X283" t="n">
        <v>2.144633837</v>
      </c>
      <c r="Y283" t="n">
        <v>2.0613423</v>
      </c>
      <c r="Z283" t="n">
        <v>4.447687218</v>
      </c>
      <c r="AA283" t="n">
        <v>5.99967</v>
      </c>
      <c r="AB283" t="n">
        <v>13.570784836</v>
      </c>
      <c r="AC283" t="n">
        <v>2.368120258</v>
      </c>
      <c r="AD283" t="n">
        <v>4.24689507</v>
      </c>
      <c r="AE283" t="n">
        <v>1.627175769</v>
      </c>
      <c r="AF283" t="n">
        <v>2.135200322</v>
      </c>
      <c r="AG283" t="n">
        <v>3.767675681</v>
      </c>
      <c r="AH283" t="n">
        <v>1.611204518</v>
      </c>
      <c r="AI283" t="n">
        <v>3.94529972</v>
      </c>
      <c r="AJ283" t="n">
        <v>1.618522017</v>
      </c>
      <c r="AK283" t="n">
        <v>2.993920187</v>
      </c>
      <c r="AL283" t="n">
        <v>4.041466204</v>
      </c>
      <c r="AM283" t="n">
        <v>3.420294018</v>
      </c>
      <c r="AN283" t="n">
        <v>2.941160704</v>
      </c>
      <c r="AO283" t="n">
        <v>5.333590517</v>
      </c>
      <c r="AP283" t="n">
        <v>3.342896141</v>
      </c>
      <c r="AQ283" t="n">
        <v>2.41722483</v>
      </c>
      <c r="AR283" t="n">
        <v>3.242785676</v>
      </c>
      <c r="AS283" t="n">
        <v>4.672414993</v>
      </c>
      <c r="AT283" t="n">
        <v>3.624033962</v>
      </c>
      <c r="AU283" t="n">
        <v>11.051091386</v>
      </c>
      <c r="AV283" t="n">
        <v>2.266564638</v>
      </c>
      <c r="AW283" t="n">
        <v>1.291712289</v>
      </c>
    </row>
    <row r="284">
      <c r="A284" t="inlineStr">
        <is>
          <t>2017-Q4</t>
        </is>
      </c>
      <c r="B284" s="87" t="n">
        <v>43101</v>
      </c>
      <c r="C284" t="n">
        <v>4.269888681</v>
      </c>
      <c r="D284" t="n">
        <v>2.334220095</v>
      </c>
      <c r="E284" t="n">
        <v>2.325306063</v>
      </c>
      <c r="F284" t="n">
        <v>1.638432983</v>
      </c>
      <c r="G284" t="n">
        <v>2.610653724</v>
      </c>
      <c r="H284" t="n">
        <v>3.083114067</v>
      </c>
      <c r="I284" t="n">
        <v>2.207822702</v>
      </c>
      <c r="J284" t="n">
        <v>2.856253858</v>
      </c>
      <c r="K284" t="n">
        <v>6.8</v>
      </c>
      <c r="L284" t="n">
        <v>5.894849621</v>
      </c>
      <c r="M284" t="n">
        <v>3.734400223</v>
      </c>
      <c r="N284" t="n">
        <v>2.171760752</v>
      </c>
      <c r="O284" t="n">
        <v>3.104862978</v>
      </c>
      <c r="P284" t="n">
        <v>3.105170881</v>
      </c>
      <c r="Q284" t="n">
        <v>5.788772234</v>
      </c>
      <c r="R284" t="n">
        <v>3.239613376</v>
      </c>
      <c r="T284" t="n">
        <v>3.409754673</v>
      </c>
      <c r="U284" t="n">
        <v>3.153068218</v>
      </c>
      <c r="V284" t="n">
        <v>2.675172685</v>
      </c>
      <c r="X284" t="n">
        <v>1.803513159</v>
      </c>
      <c r="Y284" t="n">
        <v>0.481535185</v>
      </c>
      <c r="Z284" t="n">
        <v>5.048488</v>
      </c>
      <c r="AA284" t="n">
        <v>6.53205</v>
      </c>
      <c r="AB284" t="n">
        <v>6.966306461</v>
      </c>
      <c r="AC284" t="n">
        <v>2.164690382</v>
      </c>
      <c r="AD284" t="n">
        <v>4.589956344</v>
      </c>
      <c r="AE284" t="n">
        <v>1.880438479</v>
      </c>
      <c r="AF284" t="n">
        <v>2.131667516</v>
      </c>
      <c r="AG284" t="n">
        <v>2.872493588</v>
      </c>
      <c r="AH284" t="n">
        <v>1.492704498</v>
      </c>
      <c r="AI284" t="n">
        <v>3.416333471</v>
      </c>
      <c r="AJ284" t="n">
        <v>1.814425447</v>
      </c>
      <c r="AK284" t="n">
        <v>2.937041833</v>
      </c>
      <c r="AL284" t="n">
        <v>2.081467905</v>
      </c>
      <c r="AM284" t="n">
        <v>3.898185536</v>
      </c>
      <c r="AN284" t="n">
        <v>2.926282793</v>
      </c>
      <c r="AO284" t="n">
        <v>4.792837068</v>
      </c>
      <c r="AP284" t="n">
        <v>3.233822787</v>
      </c>
      <c r="AQ284" t="n">
        <v>1.600415896</v>
      </c>
      <c r="AR284" t="n">
        <v>3.784175491</v>
      </c>
      <c r="AS284" t="n">
        <v>6.216054274</v>
      </c>
      <c r="AT284" t="n">
        <v>2.918911602</v>
      </c>
      <c r="AU284" t="n">
        <v>7.233754818</v>
      </c>
      <c r="AV284" t="n">
        <v>2.717885582</v>
      </c>
      <c r="AW284" t="n">
        <v>1.603878997</v>
      </c>
    </row>
    <row r="285">
      <c r="A285" t="inlineStr">
        <is>
          <t>2018-Q1</t>
        </is>
      </c>
      <c r="B285" s="87" t="n">
        <v>43191</v>
      </c>
      <c r="C285" t="n">
        <v>3.030087417</v>
      </c>
      <c r="D285" t="n">
        <v>2.972294004</v>
      </c>
      <c r="E285" t="n">
        <v>2.71967233</v>
      </c>
      <c r="F285" t="n">
        <v>1.382570439</v>
      </c>
      <c r="G285" t="n">
        <v>2.024372467</v>
      </c>
      <c r="H285" t="n">
        <v>2.867253653</v>
      </c>
      <c r="I285" t="n">
        <v>3.126877967</v>
      </c>
      <c r="J285" t="n">
        <v>4.915594524</v>
      </c>
      <c r="K285" t="n">
        <v>6.9</v>
      </c>
      <c r="L285" t="n">
        <v>4.804497555</v>
      </c>
      <c r="M285" t="n">
        <v>2.042184252</v>
      </c>
      <c r="N285" t="n">
        <v>2.027279546</v>
      </c>
      <c r="O285" t="n">
        <v>2.450031555</v>
      </c>
      <c r="P285" t="n">
        <v>2.679684843</v>
      </c>
      <c r="Q285" t="n">
        <v>4.843950899</v>
      </c>
      <c r="R285" t="n">
        <v>2.638182252</v>
      </c>
      <c r="T285" t="n">
        <v>2.593811004</v>
      </c>
      <c r="U285" t="n">
        <v>2.344362666</v>
      </c>
      <c r="V285" t="n">
        <v>2.401824953</v>
      </c>
      <c r="X285" t="n">
        <v>1.385648092</v>
      </c>
      <c r="Y285" t="n">
        <v>2.143192926</v>
      </c>
      <c r="Z285" t="n">
        <v>5.421755288</v>
      </c>
      <c r="AA285" t="n">
        <v>7.96765</v>
      </c>
      <c r="AB285" t="n">
        <v>12.839838404</v>
      </c>
      <c r="AC285" t="n">
        <v>7.005617414</v>
      </c>
      <c r="AD285" t="n">
        <v>5.643300961</v>
      </c>
      <c r="AE285" t="n">
        <v>1.306524557</v>
      </c>
      <c r="AF285" t="n">
        <v>1.433536889</v>
      </c>
      <c r="AG285" t="n">
        <v>3.062091596</v>
      </c>
      <c r="AH285" t="n">
        <v>3.447082234</v>
      </c>
      <c r="AI285" t="n">
        <v>3.329100929</v>
      </c>
      <c r="AJ285" t="n">
        <v>2.452651938</v>
      </c>
      <c r="AK285" t="n">
        <v>2.815785276</v>
      </c>
      <c r="AL285" t="n">
        <v>1.863449402</v>
      </c>
      <c r="AM285" t="n">
        <v>3.566247032</v>
      </c>
      <c r="AN285" t="n">
        <v>2.853820438</v>
      </c>
      <c r="AO285" t="n">
        <v>5.124233985</v>
      </c>
      <c r="AP285" t="n">
        <v>2.781332358</v>
      </c>
      <c r="AQ285" t="n">
        <v>2.770876817</v>
      </c>
      <c r="AR285" t="n">
        <v>3.708306153</v>
      </c>
      <c r="AS285" t="n">
        <v>4.571098318</v>
      </c>
      <c r="AT285" t="n">
        <v>2.732045064</v>
      </c>
      <c r="AU285" t="n">
        <v>7.363445147</v>
      </c>
      <c r="AV285" t="n">
        <v>3.015311883</v>
      </c>
      <c r="AW285" t="n">
        <v>1.570386415</v>
      </c>
    </row>
    <row r="286">
      <c r="A286" t="inlineStr">
        <is>
          <t>2018-Q2</t>
        </is>
      </c>
      <c r="B286" s="87" t="n">
        <v>43282</v>
      </c>
      <c r="C286" t="n">
        <v>-2.732210279</v>
      </c>
      <c r="D286" t="n">
        <v>3.205152467</v>
      </c>
      <c r="E286" t="n">
        <v>2.52149125</v>
      </c>
      <c r="F286" t="n">
        <v>1.601486628</v>
      </c>
      <c r="G286" t="n">
        <v>1.445036664</v>
      </c>
      <c r="H286" t="n">
        <v>2.624971128</v>
      </c>
      <c r="I286" t="n">
        <v>3.772938289</v>
      </c>
      <c r="J286" t="n">
        <v>4.829095322</v>
      </c>
      <c r="K286" t="n">
        <v>6.9</v>
      </c>
      <c r="L286" t="n">
        <v>2.681757146</v>
      </c>
      <c r="M286" t="n">
        <v>1.816096978</v>
      </c>
      <c r="N286" t="n">
        <v>1.406567485</v>
      </c>
      <c r="O286" t="n">
        <v>2.134648248</v>
      </c>
      <c r="P286" t="n">
        <v>2.184344364</v>
      </c>
      <c r="Q286" t="n">
        <v>3.687959425</v>
      </c>
      <c r="R286" t="n">
        <v>2.345197194</v>
      </c>
      <c r="T286" t="n">
        <v>1.260039265</v>
      </c>
      <c r="U286" t="n">
        <v>1.880804484</v>
      </c>
      <c r="V286" t="n">
        <v>2.455177246</v>
      </c>
      <c r="X286" t="n">
        <v>1.624075789</v>
      </c>
      <c r="Y286" t="n">
        <v>1.679992483</v>
      </c>
      <c r="Z286" t="n">
        <v>5.199425538</v>
      </c>
      <c r="AA286" t="n">
        <v>7.18732</v>
      </c>
      <c r="AB286" t="n">
        <v>12.502919683</v>
      </c>
      <c r="AC286" t="n">
        <v>5.299466341</v>
      </c>
      <c r="AD286" t="n">
        <v>4.444061176</v>
      </c>
      <c r="AE286" t="n">
        <v>0.907316317</v>
      </c>
      <c r="AF286" t="n">
        <v>1.373449732</v>
      </c>
      <c r="AG286" t="n">
        <v>3.023521939</v>
      </c>
      <c r="AH286" t="n">
        <v>1.599440829</v>
      </c>
      <c r="AI286" t="n">
        <v>3.836260646</v>
      </c>
      <c r="AJ286" t="n">
        <v>2.128813981</v>
      </c>
      <c r="AK286" t="n">
        <v>2.557864465</v>
      </c>
      <c r="AL286" t="n">
        <v>1.194846951</v>
      </c>
      <c r="AM286" t="n">
        <v>3.626693385</v>
      </c>
      <c r="AN286" t="n">
        <v>2.760389083</v>
      </c>
      <c r="AO286" t="n">
        <v>5.570977034</v>
      </c>
      <c r="AP286" t="n">
        <v>3.06183269</v>
      </c>
      <c r="AQ286" t="n">
        <v>2.635629215</v>
      </c>
      <c r="AR286" t="n">
        <v>3.91693658</v>
      </c>
      <c r="AS286" t="n">
        <v>4.600977889</v>
      </c>
      <c r="AT286" t="n">
        <v>2.5237914</v>
      </c>
      <c r="AU286" t="n">
        <v>5.503513698</v>
      </c>
      <c r="AV286" t="n">
        <v>3.296152283</v>
      </c>
      <c r="AW286" t="n">
        <v>0.884009454</v>
      </c>
    </row>
    <row r="287">
      <c r="A287" t="inlineStr">
        <is>
          <t>2018-Q3</t>
        </is>
      </c>
      <c r="B287" s="87" t="n">
        <v>43374</v>
      </c>
      <c r="C287" t="n">
        <v>-4.144037148</v>
      </c>
      <c r="D287" t="n">
        <v>2.63075145</v>
      </c>
      <c r="E287" t="n">
        <v>2.129677447</v>
      </c>
      <c r="F287" t="n">
        <v>2.058512974</v>
      </c>
      <c r="G287" t="n">
        <v>2.025358929</v>
      </c>
      <c r="H287" t="n">
        <v>2.899105586</v>
      </c>
      <c r="I287" t="n">
        <v>2.884226609</v>
      </c>
      <c r="J287" t="n">
        <v>2.606696721</v>
      </c>
      <c r="K287" t="n">
        <v>6.7</v>
      </c>
      <c r="L287" t="n">
        <v>2.729405668</v>
      </c>
      <c r="M287" t="n">
        <v>0.502174423</v>
      </c>
      <c r="N287" t="n">
        <v>2.392719949</v>
      </c>
      <c r="O287" t="n">
        <v>1.484471477</v>
      </c>
      <c r="P287" t="n">
        <v>2.123714933</v>
      </c>
      <c r="Q287" t="n">
        <v>4.019125952</v>
      </c>
      <c r="R287" t="n">
        <v>1.743114135</v>
      </c>
      <c r="T287" t="n">
        <v>0.65940316</v>
      </c>
      <c r="U287" t="n">
        <v>1.631788408</v>
      </c>
      <c r="V287" t="n">
        <v>1.973240659</v>
      </c>
      <c r="X287" t="n">
        <v>1.829927604</v>
      </c>
      <c r="Y287" t="n">
        <v>0.384221104</v>
      </c>
      <c r="Z287" t="n">
        <v>5.670819562</v>
      </c>
      <c r="AA287" t="n">
        <v>6.9183</v>
      </c>
      <c r="AB287" t="n">
        <v>7.99377363</v>
      </c>
      <c r="AC287" t="n">
        <v>4.60165732</v>
      </c>
      <c r="AD287" t="n">
        <v>3.762596357</v>
      </c>
      <c r="AE287" t="n">
        <v>0.597147787</v>
      </c>
      <c r="AF287" t="n">
        <v>-0.164966446</v>
      </c>
      <c r="AG287" t="n">
        <v>2.217632527</v>
      </c>
      <c r="AH287" t="n">
        <v>1.476571527</v>
      </c>
      <c r="AI287" t="n">
        <v>4.678942956</v>
      </c>
      <c r="AJ287" t="n">
        <v>2.926219001</v>
      </c>
      <c r="AK287" t="n">
        <v>2.109475019</v>
      </c>
      <c r="AL287" t="n">
        <v>1.139360105</v>
      </c>
      <c r="AM287" t="n">
        <v>3.077315974</v>
      </c>
      <c r="AN287" t="n">
        <v>2.230644186</v>
      </c>
      <c r="AO287" t="n">
        <v>5.846150443</v>
      </c>
      <c r="AP287" t="n">
        <v>2.888588032</v>
      </c>
      <c r="AQ287" t="n">
        <v>2.189001208</v>
      </c>
      <c r="AR287" t="n">
        <v>4.091774978</v>
      </c>
      <c r="AS287" t="n">
        <v>4.967510246</v>
      </c>
      <c r="AT287" t="n">
        <v>0.81741701</v>
      </c>
      <c r="AU287" t="n">
        <v>2.27502318</v>
      </c>
      <c r="AV287" t="n">
        <v>3.052885912</v>
      </c>
      <c r="AW287" t="n">
        <v>1.80273475</v>
      </c>
    </row>
    <row r="288">
      <c r="A288" t="inlineStr">
        <is>
          <t>2018-Q4</t>
        </is>
      </c>
      <c r="B288" s="87" t="n">
        <v>43466</v>
      </c>
      <c r="C288" t="n">
        <v>-6.462422581</v>
      </c>
      <c r="D288" t="n">
        <v>2.306890197</v>
      </c>
      <c r="E288" t="n">
        <v>2.435070845</v>
      </c>
      <c r="F288" t="n">
        <v>2.22939088</v>
      </c>
      <c r="G288" t="n">
        <v>1.222056752</v>
      </c>
      <c r="H288" t="n">
        <v>2.717788724</v>
      </c>
      <c r="I288" t="n">
        <v>1.993577852</v>
      </c>
      <c r="J288" t="n">
        <v>2.768623133</v>
      </c>
      <c r="K288" t="n">
        <v>6.5</v>
      </c>
      <c r="L288" t="n">
        <v>2.558305925</v>
      </c>
      <c r="M288" t="n">
        <v>0.084593112</v>
      </c>
      <c r="N288" t="n">
        <v>2.132945885</v>
      </c>
      <c r="O288" t="n">
        <v>1.206946092</v>
      </c>
      <c r="P288" t="n">
        <v>2.173890457</v>
      </c>
      <c r="Q288" t="n">
        <v>3.966353028</v>
      </c>
      <c r="R288" t="n">
        <v>1.504627174</v>
      </c>
      <c r="T288" t="n">
        <v>0.082962649</v>
      </c>
      <c r="U288" t="n">
        <v>1.515601574</v>
      </c>
      <c r="V288" t="n">
        <v>1.511333803</v>
      </c>
      <c r="X288" t="n">
        <v>1.761540578</v>
      </c>
      <c r="Y288" t="n">
        <v>1.902013283</v>
      </c>
      <c r="Z288" t="n">
        <v>5.29456989</v>
      </c>
      <c r="AA288" t="n">
        <v>6.59234</v>
      </c>
      <c r="AB288" t="n">
        <v>3.919743053</v>
      </c>
      <c r="AC288" t="n">
        <v>2.790394861</v>
      </c>
      <c r="AD288" t="n">
        <v>3.053370858</v>
      </c>
      <c r="AE288" t="n">
        <v>0.402002775</v>
      </c>
      <c r="AF288" t="n">
        <v>-0.333069571</v>
      </c>
      <c r="AG288" t="n">
        <v>3.332470097</v>
      </c>
      <c r="AH288" t="n">
        <v>1.61709531</v>
      </c>
      <c r="AI288" t="n">
        <v>4.932146244</v>
      </c>
      <c r="AJ288" t="n">
        <v>1.225663417</v>
      </c>
      <c r="AK288" t="n">
        <v>1.807199253</v>
      </c>
      <c r="AL288" t="n">
        <v>1.753153678</v>
      </c>
      <c r="AM288" t="n">
        <v>3.513846113</v>
      </c>
      <c r="AN288" t="n">
        <v>1.646493024</v>
      </c>
      <c r="AO288" t="n">
        <v>4.937718221</v>
      </c>
      <c r="AP288" t="n">
        <v>2.667707197</v>
      </c>
      <c r="AQ288" t="n">
        <v>2.84590986</v>
      </c>
      <c r="AR288" t="n">
        <v>3.463890401</v>
      </c>
      <c r="AS288" t="n">
        <v>4.015765093</v>
      </c>
      <c r="AT288" t="n">
        <v>2.064023378</v>
      </c>
      <c r="AU288" t="n">
        <v>-2.61596129</v>
      </c>
      <c r="AV288" t="n">
        <v>2.320617095</v>
      </c>
      <c r="AW288" t="n">
        <v>1.692026805</v>
      </c>
    </row>
    <row r="289">
      <c r="A289" t="inlineStr">
        <is>
          <t>2019-Q1</t>
        </is>
      </c>
      <c r="B289" s="87" t="n">
        <v>43556</v>
      </c>
      <c r="C289" t="n">
        <v>-6.007299943</v>
      </c>
      <c r="D289" t="n">
        <v>1.855547631</v>
      </c>
      <c r="E289" t="n">
        <v>2.410764588</v>
      </c>
      <c r="F289" t="n">
        <v>2.086661065</v>
      </c>
      <c r="G289" t="n">
        <v>1.17939083</v>
      </c>
      <c r="H289" t="n">
        <v>1.918859114</v>
      </c>
      <c r="I289" t="n">
        <v>1.193403985</v>
      </c>
      <c r="J289" t="n">
        <v>1.420709971</v>
      </c>
      <c r="K289" t="n">
        <v>6.3</v>
      </c>
      <c r="L289" t="n">
        <v>2.967140332</v>
      </c>
      <c r="M289" t="n">
        <v>1.578883507</v>
      </c>
      <c r="N289" t="n">
        <v>2.31402628</v>
      </c>
      <c r="O289" t="n">
        <v>1.868389997</v>
      </c>
      <c r="P289" t="n">
        <v>2.401358009</v>
      </c>
      <c r="Q289" t="n">
        <v>4.560043467</v>
      </c>
      <c r="R289" t="n">
        <v>2.15634132</v>
      </c>
      <c r="T289" t="n">
        <v>0.628975141</v>
      </c>
      <c r="U289" t="n">
        <v>2.134599635</v>
      </c>
      <c r="V289" t="n">
        <v>1.679990759</v>
      </c>
      <c r="X289" t="n">
        <v>2.172956661</v>
      </c>
      <c r="Y289" t="n">
        <v>1.394444623</v>
      </c>
      <c r="Z289" t="n">
        <v>5.219036775</v>
      </c>
      <c r="AA289" t="n">
        <v>5.48622</v>
      </c>
      <c r="AB289" t="n">
        <v>5.238753516</v>
      </c>
      <c r="AC289" t="n">
        <v>3.939718366</v>
      </c>
      <c r="AD289" t="n">
        <v>3.317317153</v>
      </c>
      <c r="AE289" t="n">
        <v>0.460691207</v>
      </c>
      <c r="AF289" t="n">
        <v>-0.05761898</v>
      </c>
      <c r="AG289" t="n">
        <v>1.955154074</v>
      </c>
      <c r="AH289" t="n">
        <v>2.659344608</v>
      </c>
      <c r="AI289" t="n">
        <v>4.48284052</v>
      </c>
      <c r="AJ289" t="n">
        <v>0.216367503</v>
      </c>
      <c r="AK289" t="n">
        <v>2.02216115</v>
      </c>
      <c r="AL289" t="n">
        <v>0.713067425</v>
      </c>
      <c r="AM289" t="n">
        <v>3.200413794</v>
      </c>
      <c r="AN289" t="n">
        <v>1.690292171</v>
      </c>
      <c r="AO289" t="n">
        <v>5.54634386</v>
      </c>
      <c r="AP289" t="n">
        <v>2.824818654</v>
      </c>
      <c r="AQ289" t="n">
        <v>1.431307172</v>
      </c>
      <c r="AR289" t="n">
        <v>3.603219894</v>
      </c>
      <c r="AS289" t="n">
        <v>4.353941416</v>
      </c>
      <c r="AT289" t="n">
        <v>2.352567503</v>
      </c>
      <c r="AU289" t="n">
        <v>-2.333422921</v>
      </c>
      <c r="AV289" t="n">
        <v>2.153001514</v>
      </c>
      <c r="AW289" t="n">
        <v>0.258904096</v>
      </c>
    </row>
    <row r="290">
      <c r="A290" t="inlineStr">
        <is>
          <t>2019-Q2</t>
        </is>
      </c>
      <c r="B290" s="87" t="n">
        <v>43647</v>
      </c>
      <c r="C290" t="n">
        <v>-0.8609999780000001</v>
      </c>
      <c r="D290" t="n">
        <v>1.671892604</v>
      </c>
      <c r="E290" t="n">
        <v>1.515406696</v>
      </c>
      <c r="F290" t="n">
        <v>2.074391331</v>
      </c>
      <c r="G290" t="n">
        <v>1.596902051</v>
      </c>
      <c r="H290" t="n">
        <v>2.126804807</v>
      </c>
      <c r="I290" t="n">
        <v>0.65844172</v>
      </c>
      <c r="J290" t="n">
        <v>1.765438508</v>
      </c>
      <c r="K290" t="n">
        <v>6</v>
      </c>
      <c r="L290" t="n">
        <v>3.019525607</v>
      </c>
      <c r="M290" t="n">
        <v>0.518674349</v>
      </c>
      <c r="N290" t="n">
        <v>2.398628872</v>
      </c>
      <c r="O290" t="n">
        <v>1.557373178</v>
      </c>
      <c r="P290" t="n">
        <v>2.176754078</v>
      </c>
      <c r="Q290" t="n">
        <v>4.139187477</v>
      </c>
      <c r="R290" t="n">
        <v>1.820472222</v>
      </c>
      <c r="T290" t="n">
        <v>1.477016356</v>
      </c>
      <c r="U290" t="n">
        <v>2.325332997</v>
      </c>
      <c r="V290" t="n">
        <v>1.559298041</v>
      </c>
      <c r="X290" t="n">
        <v>1.752346376</v>
      </c>
      <c r="Y290" t="n">
        <v>2.020336294</v>
      </c>
      <c r="Z290" t="n">
        <v>4.620848089</v>
      </c>
      <c r="AA290" t="n">
        <v>5.26452</v>
      </c>
      <c r="AB290" t="n">
        <v>4.560875726</v>
      </c>
      <c r="AC290" t="n">
        <v>1.559575381</v>
      </c>
      <c r="AD290" t="n">
        <v>3.402018529</v>
      </c>
      <c r="AE290" t="n">
        <v>0.637872656</v>
      </c>
      <c r="AF290" t="n">
        <v>0.047251063</v>
      </c>
      <c r="AG290" t="n">
        <v>2.372984127</v>
      </c>
      <c r="AH290" t="n">
        <v>4.808530454</v>
      </c>
      <c r="AI290" t="n">
        <v>3.032054361</v>
      </c>
      <c r="AJ290" t="n">
        <v>-0.136328739</v>
      </c>
      <c r="AK290" t="n">
        <v>1.810296957</v>
      </c>
      <c r="AL290" t="n">
        <v>0.572630133</v>
      </c>
      <c r="AM290" t="n">
        <v>2.61618284</v>
      </c>
      <c r="AN290" t="n">
        <v>1.637219978</v>
      </c>
      <c r="AO290" t="n">
        <v>4.904055942</v>
      </c>
      <c r="AP290" t="n">
        <v>2.605571366</v>
      </c>
      <c r="AQ290" t="n">
        <v>3.149877706</v>
      </c>
      <c r="AR290" t="n">
        <v>2.790788319</v>
      </c>
      <c r="AS290" t="n">
        <v>2.775255433</v>
      </c>
      <c r="AT290" t="n">
        <v>1.7518975</v>
      </c>
      <c r="AU290" t="n">
        <v>-0.514834341</v>
      </c>
      <c r="AV290" t="n">
        <v>2.111478836</v>
      </c>
      <c r="AW290" t="n">
        <v>0.8835602420000001</v>
      </c>
    </row>
    <row r="291">
      <c r="A291" t="inlineStr">
        <is>
          <t>2019-Q3</t>
        </is>
      </c>
      <c r="B291" s="87" t="n">
        <v>43739</v>
      </c>
      <c r="C291" t="n">
        <v>-0.367179461</v>
      </c>
      <c r="D291" t="n">
        <v>2.069036884</v>
      </c>
      <c r="E291" t="n">
        <v>1.665338703</v>
      </c>
      <c r="F291" t="n">
        <v>2.379557232</v>
      </c>
      <c r="G291" t="n">
        <v>0.697599322</v>
      </c>
      <c r="H291" t="n">
        <v>1.758138855</v>
      </c>
      <c r="I291" t="n">
        <v>1.431181867</v>
      </c>
      <c r="J291" t="n">
        <v>2.736598699</v>
      </c>
      <c r="K291" t="n">
        <v>5.9</v>
      </c>
      <c r="L291" t="n">
        <v>2.955063995</v>
      </c>
      <c r="M291" t="n">
        <v>1.359957007</v>
      </c>
      <c r="N291" t="n">
        <v>2.091522894</v>
      </c>
      <c r="O291" t="n">
        <v>1.747518614</v>
      </c>
      <c r="P291" t="n">
        <v>2.035871746</v>
      </c>
      <c r="Q291" t="n">
        <v>4.207076799</v>
      </c>
      <c r="R291" t="n">
        <v>1.974330595</v>
      </c>
      <c r="T291" t="n">
        <v>1.592682841</v>
      </c>
      <c r="U291" t="n">
        <v>1.994906769</v>
      </c>
      <c r="V291" t="n">
        <v>1.794061978</v>
      </c>
      <c r="X291" t="n">
        <v>1.577667941</v>
      </c>
      <c r="Y291" t="n">
        <v>2.272842184</v>
      </c>
      <c r="Z291" t="n">
        <v>4.394810888</v>
      </c>
      <c r="AA291" t="n">
        <v>4.74206</v>
      </c>
      <c r="AB291" t="n">
        <v>5.396004609</v>
      </c>
      <c r="AC291" t="n">
        <v>0.978219433</v>
      </c>
      <c r="AD291" t="n">
        <v>3.616733048</v>
      </c>
      <c r="AE291" t="n">
        <v>0.648966975</v>
      </c>
      <c r="AF291" t="n">
        <v>0.732962066</v>
      </c>
      <c r="AG291" t="n">
        <v>2.085000621</v>
      </c>
      <c r="AH291" t="n">
        <v>3.142334667</v>
      </c>
      <c r="AI291" t="n">
        <v>1.427742771</v>
      </c>
      <c r="AJ291" t="n">
        <v>-0.014643523</v>
      </c>
      <c r="AK291" t="n">
        <v>1.888930804</v>
      </c>
      <c r="AL291" t="n">
        <v>0.165503613</v>
      </c>
      <c r="AM291" t="n">
        <v>3.224533362</v>
      </c>
      <c r="AN291" t="n">
        <v>1.878326856</v>
      </c>
      <c r="AO291" t="n">
        <v>4.563664772</v>
      </c>
      <c r="AP291" t="n">
        <v>2.540924798</v>
      </c>
      <c r="AQ291" t="n">
        <v>1.894762912</v>
      </c>
      <c r="AR291" t="n">
        <v>2.035192191</v>
      </c>
      <c r="AS291" t="n">
        <v>2.897479916</v>
      </c>
      <c r="AT291" t="n">
        <v>2.612703325</v>
      </c>
      <c r="AU291" t="n">
        <v>1.144279226</v>
      </c>
      <c r="AV291" t="n">
        <v>2.318325998</v>
      </c>
      <c r="AW291" t="n">
        <v>-0.229652007</v>
      </c>
    </row>
    <row r="292">
      <c r="A292" t="inlineStr">
        <is>
          <t>2019-Q4</t>
        </is>
      </c>
      <c r="B292" s="87" t="n">
        <v>43831</v>
      </c>
      <c r="C292" t="n">
        <v>-0.647806484</v>
      </c>
      <c r="D292" t="n">
        <v>2.328427648</v>
      </c>
      <c r="E292" t="n">
        <v>0.291399302</v>
      </c>
      <c r="F292" t="n">
        <v>2.058359478</v>
      </c>
      <c r="G292" t="n">
        <v>1.400804092</v>
      </c>
      <c r="H292" t="n">
        <v>1.717385462</v>
      </c>
      <c r="I292" t="n">
        <v>1.686132437</v>
      </c>
      <c r="J292" t="n">
        <v>-2.380823358</v>
      </c>
      <c r="K292" t="n">
        <v>5.8</v>
      </c>
      <c r="L292" t="n">
        <v>2.884639764</v>
      </c>
      <c r="M292" t="n">
        <v>0.894534052</v>
      </c>
      <c r="N292" t="n">
        <v>1.660637333</v>
      </c>
      <c r="O292" t="n">
        <v>1.153398992</v>
      </c>
      <c r="P292" t="n">
        <v>1.733430049</v>
      </c>
      <c r="Q292" t="n">
        <v>3.176296709</v>
      </c>
      <c r="R292" t="n">
        <v>1.388864428</v>
      </c>
      <c r="T292" t="n">
        <v>1.181678689</v>
      </c>
      <c r="U292" t="n">
        <v>0.911920938</v>
      </c>
      <c r="V292" t="n">
        <v>1.390928267</v>
      </c>
      <c r="X292" t="n">
        <v>1.192769962</v>
      </c>
      <c r="Y292" t="n">
        <v>1.429794703</v>
      </c>
      <c r="Z292" t="n">
        <v>3.995441213</v>
      </c>
      <c r="AA292" t="n">
        <v>3.57248</v>
      </c>
      <c r="AB292" t="n">
        <v>5.280029025</v>
      </c>
      <c r="AC292" t="n">
        <v>3.271694407</v>
      </c>
      <c r="AD292" t="n">
        <v>4.000849258</v>
      </c>
      <c r="AE292" t="n">
        <v>-0.114848464</v>
      </c>
      <c r="AF292" t="n">
        <v>-1.692733636</v>
      </c>
      <c r="AG292" t="n">
        <v>2.557298587</v>
      </c>
      <c r="AH292" t="n">
        <v>2.561716033</v>
      </c>
      <c r="AI292" t="n">
        <v>0.8476970109999999</v>
      </c>
      <c r="AJ292" t="n">
        <v>-0.802658289</v>
      </c>
      <c r="AK292" t="n">
        <v>1.910179306</v>
      </c>
      <c r="AL292" t="n">
        <v>1.505194098</v>
      </c>
      <c r="AM292" t="n">
        <v>2.316258822</v>
      </c>
      <c r="AN292" t="n">
        <v>1.686405656</v>
      </c>
      <c r="AO292" t="n">
        <v>4.034963753</v>
      </c>
      <c r="AP292" t="n">
        <v>2.760684181</v>
      </c>
      <c r="AQ292" t="n">
        <v>0.764657988</v>
      </c>
      <c r="AR292" t="n">
        <v>2.017998195</v>
      </c>
      <c r="AS292" t="n">
        <v>2.952396899</v>
      </c>
      <c r="AT292" t="n">
        <v>1.38349362</v>
      </c>
      <c r="AU292" t="n">
        <v>5.68390736</v>
      </c>
      <c r="AV292" t="n">
        <v>2.569423535</v>
      </c>
      <c r="AW292" t="n">
        <v>-0.449256694</v>
      </c>
    </row>
    <row r="293">
      <c r="A293" t="inlineStr">
        <is>
          <t>2020-Q1</t>
        </is>
      </c>
      <c r="B293" s="87" t="n">
        <v>43922</v>
      </c>
      <c r="C293" t="n">
        <v>-4.797304988</v>
      </c>
      <c r="D293" t="n">
        <v>1.603812991</v>
      </c>
      <c r="E293" t="n">
        <v>-3.035012813</v>
      </c>
      <c r="F293" t="n">
        <v>-1.399151646</v>
      </c>
      <c r="G293" t="n">
        <v>-1.389182942</v>
      </c>
      <c r="H293" t="n">
        <v>-0.567093183</v>
      </c>
      <c r="I293" t="n">
        <v>-0.165913384</v>
      </c>
      <c r="J293" t="n">
        <v>-0.113376133</v>
      </c>
      <c r="K293" t="n">
        <v>-6.8</v>
      </c>
      <c r="L293" t="n">
        <v>-1.462598866</v>
      </c>
      <c r="M293" t="n">
        <v>-1.919182065</v>
      </c>
      <c r="N293" t="n">
        <v>0.221352097</v>
      </c>
      <c r="O293" t="n">
        <v>-3.054231457</v>
      </c>
      <c r="P293" t="n">
        <v>-4.326540789</v>
      </c>
      <c r="Q293" t="n">
        <v>0.31862205</v>
      </c>
      <c r="R293" t="n">
        <v>-2.496160613</v>
      </c>
      <c r="T293" t="n">
        <v>0.070032915</v>
      </c>
      <c r="U293" t="n">
        <v>-5.423366004</v>
      </c>
      <c r="V293" t="n">
        <v>-1.103725608</v>
      </c>
      <c r="X293" t="n">
        <v>-2.104502761</v>
      </c>
      <c r="Y293" t="n">
        <v>-1.031981943</v>
      </c>
      <c r="Z293" t="n">
        <v>1.750673883</v>
      </c>
      <c r="AA293" t="n">
        <v>2.64876</v>
      </c>
      <c r="AB293" t="n">
        <v>6.797967387</v>
      </c>
      <c r="AC293" t="n">
        <v>-3.374408638</v>
      </c>
      <c r="AD293" t="n">
        <v>1.276653933</v>
      </c>
      <c r="AE293" t="n">
        <v>-5.86692763</v>
      </c>
      <c r="AF293" t="n">
        <v>-1.780369814</v>
      </c>
      <c r="AG293" t="n">
        <v>1.466146721</v>
      </c>
      <c r="AH293" t="n">
        <v>0.034027178</v>
      </c>
      <c r="AI293" t="n">
        <v>-1.336698672</v>
      </c>
      <c r="AJ293" t="n">
        <v>-1.685687934</v>
      </c>
      <c r="AK293" t="n">
        <v>-0.37328283</v>
      </c>
      <c r="AL293" t="n">
        <v>0.463272933</v>
      </c>
      <c r="AM293" t="n">
        <v>0.622617422</v>
      </c>
      <c r="AN293" t="n">
        <v>-0.674116111</v>
      </c>
      <c r="AO293" t="n">
        <v>2.221660189</v>
      </c>
      <c r="AP293" t="n">
        <v>-2.634006101</v>
      </c>
      <c r="AQ293" t="n">
        <v>0.605141744</v>
      </c>
      <c r="AR293" t="n">
        <v>-2.812822933</v>
      </c>
      <c r="AS293" t="n">
        <v>-2.356365792</v>
      </c>
      <c r="AT293" t="n">
        <v>0.026420368</v>
      </c>
      <c r="AU293" t="n">
        <v>4.292928455</v>
      </c>
      <c r="AV293" t="n">
        <v>0.630785164</v>
      </c>
      <c r="AW293" t="n">
        <v>0.669337363</v>
      </c>
    </row>
    <row r="294">
      <c r="A294" t="inlineStr">
        <is>
          <t>2020-Q2</t>
        </is>
      </c>
      <c r="B294" s="87" t="n">
        <v>44013</v>
      </c>
      <c r="C294" t="n">
        <v>-19.717883762</v>
      </c>
      <c r="D294" t="n">
        <v>-5.954186848</v>
      </c>
      <c r="E294" t="n">
        <v>-13.660914144</v>
      </c>
      <c r="F294" t="n">
        <v>-13.262200612</v>
      </c>
      <c r="G294" t="n">
        <v>-10.64085773</v>
      </c>
      <c r="H294" t="n">
        <v>-12.414749165</v>
      </c>
      <c r="I294" t="n">
        <v>-6.681317916</v>
      </c>
      <c r="J294" t="n">
        <v>-13.667061182</v>
      </c>
      <c r="K294" t="n">
        <v>3.2</v>
      </c>
      <c r="L294" t="n">
        <v>-10.942126829</v>
      </c>
      <c r="M294" t="n">
        <v>-11.286579908</v>
      </c>
      <c r="N294" t="n">
        <v>-6.616515028</v>
      </c>
      <c r="O294" t="n">
        <v>-14.538802132</v>
      </c>
      <c r="P294" t="n">
        <v>-21.50187491</v>
      </c>
      <c r="Q294" t="n">
        <v>-6.044231717</v>
      </c>
      <c r="R294" t="n">
        <v>-13.724992266</v>
      </c>
      <c r="T294" t="n">
        <v>-7.079584535</v>
      </c>
      <c r="U294" t="n">
        <v>-18.60960572</v>
      </c>
      <c r="V294" t="n">
        <v>-11.841180481</v>
      </c>
      <c r="X294" t="n">
        <v>-21.249193733</v>
      </c>
      <c r="Y294" t="n">
        <v>-15.684314666</v>
      </c>
      <c r="Z294" t="n">
        <v>-13.262319901</v>
      </c>
      <c r="AA294" t="n">
        <v>-24.1861</v>
      </c>
      <c r="AB294" t="n">
        <v>1.012517365</v>
      </c>
      <c r="AC294" t="n">
        <v>-10.452892331</v>
      </c>
      <c r="AD294" t="n">
        <v>-8.310070767999999</v>
      </c>
      <c r="AE294" t="n">
        <v>-18.130104282</v>
      </c>
      <c r="AF294" t="n">
        <v>-10.075101245</v>
      </c>
      <c r="AG294" t="n">
        <v>-2.748063246</v>
      </c>
      <c r="AH294" t="n">
        <v>-7.734824109</v>
      </c>
      <c r="AI294" t="n">
        <v>-8.477608194</v>
      </c>
      <c r="AJ294" t="n">
        <v>-18.901418013</v>
      </c>
      <c r="AK294" t="n">
        <v>-9.097024391</v>
      </c>
      <c r="AL294" t="n">
        <v>-4.371833948</v>
      </c>
      <c r="AM294" t="n">
        <v>-10.205358252</v>
      </c>
      <c r="AN294" t="n">
        <v>-11.576798399</v>
      </c>
      <c r="AO294" t="n">
        <v>-7.826007908</v>
      </c>
      <c r="AP294" t="n">
        <v>-17.945345509</v>
      </c>
      <c r="AQ294" t="n">
        <v>-6.032287087</v>
      </c>
      <c r="AR294" t="n">
        <v>-10.142446709</v>
      </c>
      <c r="AS294" t="n">
        <v>-11.321084625</v>
      </c>
      <c r="AT294" t="n">
        <v>-8.289420664</v>
      </c>
      <c r="AU294" t="n">
        <v>-9.102578514999999</v>
      </c>
      <c r="AV294" t="n">
        <v>-9.083737424000001</v>
      </c>
      <c r="AW294" t="n">
        <v>-17.245082083</v>
      </c>
    </row>
    <row r="295">
      <c r="A295" t="inlineStr">
        <is>
          <t>2020-Q3</t>
        </is>
      </c>
      <c r="B295" s="87" t="n">
        <v>44105</v>
      </c>
      <c r="C295" t="n">
        <v>-10.298534308</v>
      </c>
      <c r="D295" t="n">
        <v>-3.516455117</v>
      </c>
      <c r="E295" t="n">
        <v>-4.523313805</v>
      </c>
      <c r="F295" t="n">
        <v>-3.615599932</v>
      </c>
      <c r="G295" t="n">
        <v>-3.686019362</v>
      </c>
      <c r="H295" t="n">
        <v>-4.856904767</v>
      </c>
      <c r="I295" t="n">
        <v>-1.324001555</v>
      </c>
      <c r="J295" t="n">
        <v>-9.761169534</v>
      </c>
      <c r="K295" t="n">
        <v>4.9</v>
      </c>
      <c r="L295" t="n">
        <v>-5.446967887</v>
      </c>
      <c r="M295" t="n">
        <v>-3.660077954</v>
      </c>
      <c r="N295" t="n">
        <v>-1.323282469</v>
      </c>
      <c r="O295" t="n">
        <v>-4.050956785</v>
      </c>
      <c r="P295" t="n">
        <v>-8.661583224999999</v>
      </c>
      <c r="Q295" t="n">
        <v>-3.296179373</v>
      </c>
      <c r="R295" t="n">
        <v>-3.918905636</v>
      </c>
      <c r="T295" t="n">
        <v>-2.601849277</v>
      </c>
      <c r="U295" t="n">
        <v>-3.59505906</v>
      </c>
      <c r="V295" t="n">
        <v>-3.968714633</v>
      </c>
      <c r="X295" t="n">
        <v>-7.833741921</v>
      </c>
      <c r="Y295" t="n">
        <v>-11.001424706</v>
      </c>
      <c r="Z295" t="n">
        <v>-4.50474378</v>
      </c>
      <c r="AA295" t="n">
        <v>-6.78708</v>
      </c>
      <c r="AB295" t="n">
        <v>11.039220589</v>
      </c>
      <c r="AC295" t="n">
        <v>-6.801548498</v>
      </c>
      <c r="AD295" t="n">
        <v>-1.366773026</v>
      </c>
      <c r="AE295" t="n">
        <v>-5.420652548</v>
      </c>
      <c r="AF295" t="n">
        <v>-5.371766536</v>
      </c>
      <c r="AG295" t="n">
        <v>-0.9770946150000001</v>
      </c>
      <c r="AH295" t="n">
        <v>-0.023238806</v>
      </c>
      <c r="AI295" t="n">
        <v>-2.82320564</v>
      </c>
      <c r="AJ295" t="n">
        <v>-8.386979965</v>
      </c>
      <c r="AK295" t="n">
        <v>-2.629024798</v>
      </c>
      <c r="AL295" t="n">
        <v>-0.278447554</v>
      </c>
      <c r="AM295" t="n">
        <v>1.202931593</v>
      </c>
      <c r="AN295" t="n">
        <v>-3.700454775</v>
      </c>
      <c r="AO295" t="n">
        <v>-1.926451673</v>
      </c>
      <c r="AP295" t="n">
        <v>-6.338843252</v>
      </c>
      <c r="AQ295" t="n">
        <v>-2.467576233</v>
      </c>
      <c r="AR295" t="n">
        <v>-2.216595815</v>
      </c>
      <c r="AS295" t="n">
        <v>-2.023875942</v>
      </c>
      <c r="AT295" t="n">
        <v>-2.083357613</v>
      </c>
      <c r="AU295" t="n">
        <v>5.751517577</v>
      </c>
      <c r="AV295" t="n">
        <v>-2.887505989</v>
      </c>
      <c r="AW295" t="n">
        <v>-5.730121938</v>
      </c>
    </row>
    <row r="296">
      <c r="A296" t="inlineStr">
        <is>
          <t>2020-Q4</t>
        </is>
      </c>
      <c r="B296" s="87" t="n">
        <v>44197</v>
      </c>
      <c r="C296" t="n">
        <v>-4.652705707</v>
      </c>
      <c r="D296" t="n">
        <v>-0.7504950500000001</v>
      </c>
      <c r="E296" t="n">
        <v>-6.146708653</v>
      </c>
      <c r="F296" t="n">
        <v>-4.37397825</v>
      </c>
      <c r="G296" t="n">
        <v>-1.01447414</v>
      </c>
      <c r="H296" t="n">
        <v>-3.062442805</v>
      </c>
      <c r="I296" t="n">
        <v>-1.837631608</v>
      </c>
      <c r="J296" t="n">
        <v>-0.150244788</v>
      </c>
      <c r="K296" t="n">
        <v>6.5</v>
      </c>
      <c r="L296" t="n">
        <v>-5.345479854</v>
      </c>
      <c r="M296" t="n">
        <v>-2.871620591</v>
      </c>
      <c r="N296" t="n">
        <v>-0.524766229</v>
      </c>
      <c r="O296" t="n">
        <v>-4.379829148</v>
      </c>
      <c r="P296" t="n">
        <v>-8.801676573</v>
      </c>
      <c r="Q296" t="n">
        <v>-1.261629538</v>
      </c>
      <c r="R296" t="n">
        <v>-4.12355737</v>
      </c>
      <c r="T296" t="n">
        <v>-1.565305304</v>
      </c>
      <c r="U296" t="n">
        <v>-4.298442623</v>
      </c>
      <c r="V296" t="n">
        <v>-2.925395131</v>
      </c>
      <c r="X296" t="n">
        <v>-6.407082527</v>
      </c>
      <c r="Y296" t="n">
        <v>-7.348555509</v>
      </c>
      <c r="Z296" t="n">
        <v>-3.441349075</v>
      </c>
      <c r="AA296" t="n">
        <v>0.77762</v>
      </c>
      <c r="AB296" t="n">
        <v>4.586238321</v>
      </c>
      <c r="AC296" t="n">
        <v>-5.42721099</v>
      </c>
      <c r="AD296" t="n">
        <v>0.01636922</v>
      </c>
      <c r="AE296" t="n">
        <v>-6.56563359</v>
      </c>
      <c r="AF296" t="n">
        <v>-0.814780977</v>
      </c>
      <c r="AG296" t="n">
        <v>-1.120057389</v>
      </c>
      <c r="AH296" t="n">
        <v>0.691550244</v>
      </c>
      <c r="AI296" t="n">
        <v>-1.794280491</v>
      </c>
      <c r="AJ296" t="n">
        <v>-4.526993045</v>
      </c>
      <c r="AK296" t="n">
        <v>-3.117377237</v>
      </c>
      <c r="AL296" t="n">
        <v>-1.0754983</v>
      </c>
      <c r="AM296" t="n">
        <v>0.49542041</v>
      </c>
      <c r="AN296" t="n">
        <v>-2.704219991</v>
      </c>
      <c r="AO296" t="n">
        <v>-2.536063817</v>
      </c>
      <c r="AP296" t="n">
        <v>-6.849309852</v>
      </c>
      <c r="AQ296" t="n">
        <v>-1.299478987</v>
      </c>
      <c r="AR296" t="n">
        <v>-2.278542267</v>
      </c>
      <c r="AS296" t="n">
        <v>-3.542925082</v>
      </c>
      <c r="AT296" t="n">
        <v>-2.012976545</v>
      </c>
      <c r="AU296" t="n">
        <v>5.582396764</v>
      </c>
      <c r="AV296" t="n">
        <v>-2.262915243</v>
      </c>
      <c r="AW296" t="n">
        <v>-3.388749564</v>
      </c>
    </row>
    <row r="297">
      <c r="A297" t="inlineStr">
        <is>
          <t>2021-Q1</t>
        </is>
      </c>
      <c r="B297" s="87" t="n">
        <v>44287</v>
      </c>
      <c r="C297" t="n">
        <v>2.537821758</v>
      </c>
      <c r="D297" t="n">
        <v>1.354075433</v>
      </c>
      <c r="E297" t="n">
        <v>-4.090416383</v>
      </c>
      <c r="F297" t="n">
        <v>-0.04769767</v>
      </c>
      <c r="G297" t="n">
        <v>2.64640957</v>
      </c>
      <c r="H297" t="n">
        <v>0.268460188</v>
      </c>
      <c r="I297" t="n">
        <v>-0.456871831</v>
      </c>
      <c r="J297" t="n">
        <v>1.426124821</v>
      </c>
      <c r="K297" t="n">
        <v>18.3</v>
      </c>
      <c r="L297" t="n">
        <v>-2.4561493</v>
      </c>
      <c r="M297" t="n">
        <v>-2.975180066</v>
      </c>
      <c r="N297" t="n">
        <v>-0.187604873</v>
      </c>
      <c r="O297" t="n">
        <v>-1.148259576</v>
      </c>
      <c r="P297" t="n">
        <v>-4.214048001</v>
      </c>
      <c r="Q297" t="n">
        <v>3.33162116</v>
      </c>
      <c r="R297" t="n">
        <v>-1.099913498</v>
      </c>
      <c r="T297" t="n">
        <v>-0.9167891379999999</v>
      </c>
      <c r="U297" t="n">
        <v>1.538842211</v>
      </c>
      <c r="V297" t="n">
        <v>-0.589695581</v>
      </c>
      <c r="X297" t="n">
        <v>-5.08610427</v>
      </c>
      <c r="Y297" t="n">
        <v>-1.904060276</v>
      </c>
      <c r="Z297" t="n">
        <v>-1.51590028</v>
      </c>
      <c r="AA297" t="n">
        <v>0.95128</v>
      </c>
      <c r="AB297" t="n">
        <v>10.999706198</v>
      </c>
      <c r="AC297" t="n">
        <v>-3.789493821</v>
      </c>
      <c r="AD297" t="n">
        <v>0.711880726</v>
      </c>
      <c r="AE297" t="n">
        <v>-0.622138806</v>
      </c>
      <c r="AF297" t="n">
        <v>-1.832604832</v>
      </c>
      <c r="AG297" t="n">
        <v>1.886157086</v>
      </c>
      <c r="AH297" t="n">
        <v>5.556183748</v>
      </c>
      <c r="AI297" t="n">
        <v>-0.238901637</v>
      </c>
      <c r="AJ297" t="n">
        <v>-2.771985714</v>
      </c>
      <c r="AK297" t="n">
        <v>-2.26365154</v>
      </c>
      <c r="AL297" t="n">
        <v>0.030130131</v>
      </c>
      <c r="AM297" t="n">
        <v>3.277203383</v>
      </c>
      <c r="AN297" t="n">
        <v>-0.301464972</v>
      </c>
      <c r="AO297" t="n">
        <v>-1.087700843</v>
      </c>
      <c r="AP297" t="n">
        <v>-5.72386132</v>
      </c>
      <c r="AQ297" t="n">
        <v>-0.432061294</v>
      </c>
      <c r="AR297" t="n">
        <v>0.280406041</v>
      </c>
      <c r="AS297" t="n">
        <v>2.708439138</v>
      </c>
      <c r="AT297" t="n">
        <v>0.006955005</v>
      </c>
      <c r="AU297" t="n">
        <v>7.665925488</v>
      </c>
      <c r="AV297" t="n">
        <v>0.546976803</v>
      </c>
      <c r="AW297" t="n">
        <v>-2.627756322</v>
      </c>
    </row>
    <row r="298">
      <c r="A298" t="inlineStr">
        <is>
          <t>2021-Q2</t>
        </is>
      </c>
      <c r="B298" s="87" t="n">
        <v>44378</v>
      </c>
      <c r="C298" t="n">
        <v>19.669173822</v>
      </c>
      <c r="D298" t="n">
        <v>9.505363147000001</v>
      </c>
      <c r="E298" t="n">
        <v>12.785575396</v>
      </c>
      <c r="F298" t="n">
        <v>15.073029451</v>
      </c>
      <c r="G298" t="n">
        <v>12.222418805</v>
      </c>
      <c r="H298" t="n">
        <v>11.814578424</v>
      </c>
      <c r="I298" t="n">
        <v>7.971817826</v>
      </c>
      <c r="J298" t="n">
        <v>17.506159256</v>
      </c>
      <c r="K298" t="n">
        <v>7.9</v>
      </c>
      <c r="L298" t="n">
        <v>8.478103726000001</v>
      </c>
      <c r="M298" t="n">
        <v>9.979996924</v>
      </c>
      <c r="N298" t="n">
        <v>8.841762278999999</v>
      </c>
      <c r="O298" t="n">
        <v>14.379616911</v>
      </c>
      <c r="P298" t="n">
        <v>17.548571404</v>
      </c>
      <c r="Q298" t="n">
        <v>12.45037852</v>
      </c>
      <c r="R298" t="n">
        <v>13.82914422</v>
      </c>
      <c r="T298" t="n">
        <v>8.015252907000001</v>
      </c>
      <c r="U298" t="n">
        <v>18.823665454</v>
      </c>
      <c r="V298" t="n">
        <v>12.89936741</v>
      </c>
      <c r="X298" t="n">
        <v>24.232106554</v>
      </c>
      <c r="Y298" t="n">
        <v>16.613562816</v>
      </c>
      <c r="Z298" t="n">
        <v>17.340538711</v>
      </c>
      <c r="AA298" t="n">
        <v>19.50214</v>
      </c>
      <c r="AB298" t="n">
        <v>20.831565515</v>
      </c>
      <c r="AC298" t="n">
        <v>8.632021129</v>
      </c>
      <c r="AD298" t="n">
        <v>14.453790472</v>
      </c>
      <c r="AE298" t="n">
        <v>17.103324776</v>
      </c>
      <c r="AF298" t="n">
        <v>7.281512327</v>
      </c>
      <c r="AG298" t="n">
        <v>6.011551996</v>
      </c>
      <c r="AH298" t="n">
        <v>12.577390713</v>
      </c>
      <c r="AI298" t="n">
        <v>10.326292826</v>
      </c>
      <c r="AJ298" t="n">
        <v>19.618506912</v>
      </c>
      <c r="AK298" t="n">
        <v>10.679032597</v>
      </c>
      <c r="AL298" t="n">
        <v>5.916167074</v>
      </c>
      <c r="AM298" t="n">
        <v>17.887959783</v>
      </c>
      <c r="AN298" t="n">
        <v>13.211771695</v>
      </c>
      <c r="AO298" t="n">
        <v>10.914667086</v>
      </c>
      <c r="AP298" t="n">
        <v>16.128373849</v>
      </c>
      <c r="AQ298" t="n">
        <v>7.569583717</v>
      </c>
      <c r="AR298" t="n">
        <v>10.129999864</v>
      </c>
      <c r="AS298" t="n">
        <v>15.701891574</v>
      </c>
      <c r="AT298" t="n">
        <v>9.591287124999999</v>
      </c>
      <c r="AU298" t="n">
        <v>22.472627478</v>
      </c>
      <c r="AV298" t="n">
        <v>12.226677108</v>
      </c>
      <c r="AW298" t="n">
        <v>19.121183447</v>
      </c>
    </row>
    <row r="299">
      <c r="A299" t="inlineStr">
        <is>
          <t>2021-Q3</t>
        </is>
      </c>
      <c r="B299" s="87" t="n">
        <v>44470</v>
      </c>
      <c r="C299" t="n">
        <v>11.295659723</v>
      </c>
      <c r="D299" t="n">
        <v>3.852921421</v>
      </c>
      <c r="E299" t="n">
        <v>5.570872785</v>
      </c>
      <c r="F299" t="n">
        <v>4.947206294</v>
      </c>
      <c r="G299" t="n">
        <v>4.035347404</v>
      </c>
      <c r="H299" t="n">
        <v>3.967072967</v>
      </c>
      <c r="I299" t="n">
        <v>3.251909098</v>
      </c>
      <c r="J299" t="n">
        <v>17.344137939</v>
      </c>
      <c r="K299" t="n">
        <v>4.9</v>
      </c>
      <c r="L299" t="n">
        <v>3.138118544</v>
      </c>
      <c r="M299" t="n">
        <v>2.568066597</v>
      </c>
      <c r="N299" t="n">
        <v>3.57066498</v>
      </c>
      <c r="O299" t="n">
        <v>3.85416119</v>
      </c>
      <c r="P299" t="n">
        <v>2.667413616</v>
      </c>
      <c r="Q299" t="n">
        <v>9.158946426</v>
      </c>
      <c r="R299" t="n">
        <v>4.058556127</v>
      </c>
      <c r="T299" t="n">
        <v>3.936544192</v>
      </c>
      <c r="U299" t="n">
        <v>3.273581977</v>
      </c>
      <c r="V299" t="n">
        <v>4.117457923</v>
      </c>
      <c r="X299" t="n">
        <v>6.785613532</v>
      </c>
      <c r="Y299" t="n">
        <v>13.437990601</v>
      </c>
      <c r="Z299" t="n">
        <v>6.075593638</v>
      </c>
      <c r="AA299" t="n">
        <v>8.54739</v>
      </c>
      <c r="AB299" t="n">
        <v>11.423769153</v>
      </c>
      <c r="AC299" t="n">
        <v>3.666453393</v>
      </c>
      <c r="AD299" t="n">
        <v>5.895210031</v>
      </c>
      <c r="AE299" t="n">
        <v>3.947932075</v>
      </c>
      <c r="AF299" t="n">
        <v>1.145873854</v>
      </c>
      <c r="AG299" t="n">
        <v>4.018252373</v>
      </c>
      <c r="AH299" t="n">
        <v>5.336431771</v>
      </c>
      <c r="AI299" t="n">
        <v>5.056055404</v>
      </c>
      <c r="AJ299" t="n">
        <v>4.684202888</v>
      </c>
      <c r="AK299" t="n">
        <v>4.958665522</v>
      </c>
      <c r="AL299" t="n">
        <v>5.203320575</v>
      </c>
      <c r="AM299" t="n">
        <v>-0.26529296</v>
      </c>
      <c r="AN299" t="n">
        <v>4.6</v>
      </c>
      <c r="AO299" t="n">
        <v>5.493664183</v>
      </c>
      <c r="AP299" t="n">
        <v>4.190147084</v>
      </c>
      <c r="AQ299" t="n">
        <v>3.830445643</v>
      </c>
      <c r="AR299" t="n">
        <v>1.341350285</v>
      </c>
      <c r="AS299" t="n">
        <v>4.773877256</v>
      </c>
      <c r="AT299" t="n">
        <v>4.547842163</v>
      </c>
      <c r="AU299" t="n">
        <v>8.067343685000001</v>
      </c>
      <c r="AV299" t="n">
        <v>4.946555569</v>
      </c>
      <c r="AW299" t="n">
        <v>3.032818719</v>
      </c>
    </row>
    <row r="300">
      <c r="A300" t="inlineStr">
        <is>
          <t>2021-Q4</t>
        </is>
      </c>
      <c r="B300" s="87" t="n">
        <v>44562</v>
      </c>
      <c r="K300" t="n">
        <v>4</v>
      </c>
    </row>
    <row r="301">
      <c r="A301" t="inlineStr">
        <is>
          <t>2022-Q1</t>
        </is>
      </c>
      <c r="B301" s="87" t="n">
        <v>44652</v>
      </c>
    </row>
    <row r="302">
      <c r="A302" t="inlineStr">
        <is>
          <t>2022-Q2</t>
        </is>
      </c>
      <c r="B302" s="87" t="n">
        <v>44743</v>
      </c>
    </row>
    <row r="303">
      <c r="A303" t="inlineStr">
        <is>
          <t>2022-Q3</t>
        </is>
      </c>
      <c r="B303" s="87" t="n">
        <v>44835</v>
      </c>
    </row>
    <row r="304">
      <c r="A304" t="inlineStr">
        <is>
          <t>2022-Q4</t>
        </is>
      </c>
      <c r="B304" s="87" t="n">
        <v>44927</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L182"/>
  <sheetViews>
    <sheetView topLeftCell="A128" workbookViewId="0">
      <selection activeCell="L191" sqref="L191"/>
    </sheetView>
  </sheetViews>
  <sheetFormatPr baseColWidth="10" defaultRowHeight="15"/>
  <sheetData>
    <row r="1" ht="23" customHeight="1" s="68" thickBot="1">
      <c r="A1" t="inlineStr">
        <is>
          <t>Country</t>
        </is>
      </c>
      <c r="B1" t="inlineStr">
        <is>
          <t>GDP</t>
        </is>
      </c>
      <c r="C1" t="inlineStr">
        <is>
          <t>GDP YoY</t>
        </is>
      </c>
      <c r="D1" t="inlineStr">
        <is>
          <t>GDP QoQ</t>
        </is>
      </c>
      <c r="E1" t="inlineStr">
        <is>
          <t>Interest rate</t>
        </is>
      </c>
      <c r="F1" t="inlineStr">
        <is>
          <t>Inflation rate</t>
        </is>
      </c>
      <c r="G1" t="inlineStr">
        <is>
          <t>Jobless rate</t>
        </is>
      </c>
      <c r="H1" t="inlineStr">
        <is>
          <t>Gov. Budget</t>
        </is>
      </c>
      <c r="I1" t="inlineStr">
        <is>
          <t>Debt/GDP</t>
        </is>
      </c>
      <c r="J1" t="inlineStr">
        <is>
          <t>Current Account</t>
        </is>
      </c>
      <c r="K1" t="inlineStr">
        <is>
          <t>Currency</t>
        </is>
      </c>
      <c r="L1" t="inlineStr">
        <is>
          <t>Population</t>
        </is>
      </c>
    </row>
    <row r="2">
      <c r="A2" t="inlineStr">
        <is>
          <t>Afghanistan</t>
        </is>
      </c>
      <c r="B2" t="n">
        <v>20</v>
      </c>
      <c r="C2" t="n">
        <v>-0.0193</v>
      </c>
      <c r="D2" t="n">
        <v/>
      </c>
      <c r="E2" t="n">
        <v>0.15</v>
      </c>
      <c r="F2" t="n">
        <v>0.0156</v>
      </c>
      <c r="G2" t="n">
        <v>0.112</v>
      </c>
      <c r="H2" t="n">
        <v>-0.034</v>
      </c>
      <c r="I2" t="n">
        <v>0.078</v>
      </c>
      <c r="J2" t="n">
        <v>-21.2</v>
      </c>
      <c r="K2" t="n">
        <v>78.40000000000001</v>
      </c>
      <c r="L2" t="n">
        <v>33.2</v>
      </c>
    </row>
    <row r="3">
      <c r="A3" t="inlineStr">
        <is>
          <t>Albania</t>
        </is>
      </c>
      <c r="B3" t="n">
        <v>15</v>
      </c>
      <c r="C3" t="n">
        <v>0.179</v>
      </c>
      <c r="D3" t="n">
        <v>0.0211</v>
      </c>
      <c r="E3" t="n">
        <v>0.005</v>
      </c>
      <c r="F3" t="n">
        <v>0.031</v>
      </c>
      <c r="G3" t="n">
        <v>0.116</v>
      </c>
      <c r="H3" t="n">
        <v>-0.06900000000000001</v>
      </c>
      <c r="I3" t="n">
        <v>0.779</v>
      </c>
      <c r="J3" t="n">
        <v>-8.9</v>
      </c>
      <c r="K3" t="n">
        <v>107.3</v>
      </c>
      <c r="L3" t="n">
        <v>2.85</v>
      </c>
    </row>
    <row r="4">
      <c r="A4" t="inlineStr">
        <is>
          <t>Algeria</t>
        </is>
      </c>
      <c r="B4" t="n">
        <v>145</v>
      </c>
      <c r="C4" t="n">
        <v>0.064</v>
      </c>
      <c r="D4" t="n">
        <v>0.008</v>
      </c>
      <c r="E4" t="n">
        <v>0.03</v>
      </c>
      <c r="F4" t="n">
        <v>0.0412</v>
      </c>
      <c r="G4" t="n">
        <v>0.114</v>
      </c>
      <c r="H4" t="n">
        <v>-0.115</v>
      </c>
      <c r="I4" t="n">
        <v>0.5720000000000001</v>
      </c>
      <c r="J4" t="n">
        <v>-10.8</v>
      </c>
      <c r="K4" t="n">
        <v>134.37</v>
      </c>
      <c r="L4" t="n">
        <v>44.23</v>
      </c>
    </row>
    <row r="5">
      <c r="A5" t="inlineStr">
        <is>
          <t>Angola</t>
        </is>
      </c>
      <c r="B5" t="n">
        <v>62</v>
      </c>
      <c r="C5" t="n">
        <v>0.012</v>
      </c>
      <c r="D5" t="n">
        <v>-0.024</v>
      </c>
      <c r="E5" t="n">
        <v>0.2</v>
      </c>
      <c r="F5" t="n">
        <v>0.2698</v>
      </c>
      <c r="G5" t="n">
        <v>0.341</v>
      </c>
      <c r="H5" t="n">
        <v>-0.025</v>
      </c>
      <c r="I5" t="n">
        <v>1.2</v>
      </c>
      <c r="J5" t="n">
        <v>1.5</v>
      </c>
      <c r="K5" t="n">
        <v>456.04</v>
      </c>
      <c r="L5" t="n">
        <v>33</v>
      </c>
    </row>
    <row r="6">
      <c r="A6" t="inlineStr">
        <is>
          <t>Argentina</t>
        </is>
      </c>
      <c r="B6" t="n">
        <v>383</v>
      </c>
      <c r="C6" t="n">
        <v>0.119</v>
      </c>
      <c r="D6" t="n">
        <v>0.0408</v>
      </c>
      <c r="E6" t="n">
        <v>0.38</v>
      </c>
      <c r="F6" t="n">
        <v>0.512</v>
      </c>
      <c r="G6" t="n">
        <v>0.08199999999999999</v>
      </c>
      <c r="H6" t="n">
        <v>-0.08500000000000001</v>
      </c>
      <c r="I6" t="n">
        <v>1.02</v>
      </c>
      <c r="J6" t="n">
        <v>1</v>
      </c>
      <c r="K6" t="n">
        <v>96.12</v>
      </c>
      <c r="L6" t="n">
        <v>45.38</v>
      </c>
    </row>
    <row r="7">
      <c r="A7" t="inlineStr">
        <is>
          <t>Armenia</t>
        </is>
      </c>
      <c r="B7" t="n">
        <v>13</v>
      </c>
      <c r="C7" t="n">
        <v>0.027</v>
      </c>
      <c r="D7" t="n">
        <v/>
      </c>
      <c r="E7" t="n">
        <v>0.0775</v>
      </c>
      <c r="F7" t="n">
        <v>0.096</v>
      </c>
      <c r="G7" t="n">
        <v>0.15</v>
      </c>
      <c r="H7" t="n">
        <v>-0.05400000000000001</v>
      </c>
      <c r="I7" t="n">
        <v>0.6279</v>
      </c>
      <c r="J7" t="n">
        <v>-4</v>
      </c>
      <c r="K7" t="n">
        <v>495.16</v>
      </c>
      <c r="L7" t="n">
        <v>2.96</v>
      </c>
    </row>
    <row r="8">
      <c r="A8" t="inlineStr">
        <is>
          <t>Australia</t>
        </is>
      </c>
      <c r="B8" t="n">
        <v>1331</v>
      </c>
      <c r="C8" t="n">
        <v>0.039</v>
      </c>
      <c r="D8" t="n">
        <v>-0.019</v>
      </c>
      <c r="E8" t="n">
        <v>0.001</v>
      </c>
      <c r="F8" t="n">
        <v>0.03</v>
      </c>
      <c r="G8" t="n">
        <v>0.046</v>
      </c>
      <c r="H8" t="n">
        <v>-0.043</v>
      </c>
      <c r="I8" t="n">
        <v>0.248</v>
      </c>
      <c r="J8" t="n">
        <v>2.5</v>
      </c>
      <c r="K8" t="n">
        <v>0.68</v>
      </c>
      <c r="L8" t="n">
        <v>25.68</v>
      </c>
    </row>
    <row r="9">
      <c r="A9" t="inlineStr">
        <is>
          <t>Austria</t>
        </is>
      </c>
      <c r="B9" t="n">
        <v>431</v>
      </c>
      <c r="C9" t="n">
        <v>0.057</v>
      </c>
      <c r="D9" t="n">
        <v>0.038</v>
      </c>
      <c r="E9" t="n">
        <v>0</v>
      </c>
      <c r="F9" t="n">
        <v>0.043</v>
      </c>
      <c r="G9" t="n">
        <v>0.07000000000000001</v>
      </c>
      <c r="H9" t="n">
        <v>-0.08900000000000001</v>
      </c>
      <c r="I9" t="n">
        <v>0.8390000000000001</v>
      </c>
      <c r="J9" t="n">
        <v>2.5</v>
      </c>
      <c r="K9" t="n">
        <v>1.11</v>
      </c>
      <c r="L9" t="n">
        <v>8.9</v>
      </c>
    </row>
    <row r="10">
      <c r="A10" t="inlineStr">
        <is>
          <t>Azerbaijan</t>
        </is>
      </c>
      <c r="B10" t="n">
        <v>43</v>
      </c>
      <c r="C10" t="n">
        <v>0.048</v>
      </c>
      <c r="D10" t="n">
        <v/>
      </c>
      <c r="E10" t="n">
        <v>0.0725</v>
      </c>
      <c r="F10" t="n">
        <v>0.062</v>
      </c>
      <c r="G10" t="n">
        <v>0.06269999999999999</v>
      </c>
      <c r="H10" t="n">
        <v>-0.024</v>
      </c>
      <c r="I10" t="n">
        <v>0.201</v>
      </c>
      <c r="J10" t="n">
        <v>-0.5</v>
      </c>
      <c r="K10" t="n">
        <v>1.7</v>
      </c>
      <c r="L10" t="n">
        <v>10.07</v>
      </c>
    </row>
    <row r="11">
      <c r="A11" t="inlineStr">
        <is>
          <t>Bahamas</t>
        </is>
      </c>
      <c r="B11" t="n">
        <v>11</v>
      </c>
      <c r="C11" t="n">
        <v>-0.148</v>
      </c>
      <c r="D11" t="n">
        <v/>
      </c>
      <c r="E11" t="n">
        <v>0.04</v>
      </c>
      <c r="F11" t="n">
        <v>0.027</v>
      </c>
      <c r="G11" t="n">
        <v>0.256</v>
      </c>
      <c r="H11" t="n">
        <v>-0.064</v>
      </c>
      <c r="I11" t="n">
        <v>0.838</v>
      </c>
      <c r="J11" t="n">
        <v>-17.6</v>
      </c>
      <c r="K11" t="n">
        <v>1</v>
      </c>
      <c r="L11" t="n">
        <v>0.39</v>
      </c>
    </row>
    <row r="12">
      <c r="A12" t="inlineStr">
        <is>
          <t>Bahrain</t>
        </is>
      </c>
      <c r="B12" t="n">
        <v>38</v>
      </c>
      <c r="C12" t="n">
        <v>0.0572</v>
      </c>
      <c r="D12" t="n">
        <v>0.0351</v>
      </c>
      <c r="E12" t="n">
        <v>0.01</v>
      </c>
      <c r="F12" t="n">
        <v>0.006999999999999999</v>
      </c>
      <c r="G12" t="n">
        <v>0.049</v>
      </c>
      <c r="H12" t="n">
        <v>-0.131</v>
      </c>
      <c r="I12" t="n">
        <v>1.283</v>
      </c>
      <c r="J12" t="n">
        <v>-2.1</v>
      </c>
      <c r="K12" t="n">
        <v>0.38</v>
      </c>
      <c r="L12" t="n">
        <v>1.7</v>
      </c>
    </row>
    <row r="13">
      <c r="A13" t="inlineStr">
        <is>
          <t>Bangladesh</t>
        </is>
      </c>
      <c r="B13" t="n">
        <v>324</v>
      </c>
      <c r="C13" t="n">
        <v>0.0547</v>
      </c>
      <c r="D13" t="n">
        <v>0.0547</v>
      </c>
      <c r="E13" t="n">
        <v>0.0475</v>
      </c>
      <c r="F13" t="n">
        <v>0.057</v>
      </c>
      <c r="G13" t="n">
        <v>0.053</v>
      </c>
      <c r="H13" t="n">
        <v>-0.0535</v>
      </c>
      <c r="I13" t="n">
        <v>0.317</v>
      </c>
      <c r="J13" t="n">
        <v>-1.5</v>
      </c>
      <c r="K13" t="n">
        <v>84.8</v>
      </c>
      <c r="L13" t="n">
        <v>165</v>
      </c>
    </row>
    <row r="14">
      <c r="A14" t="inlineStr">
        <is>
          <t>Belarus</t>
        </is>
      </c>
      <c r="B14" t="n">
        <v>60</v>
      </c>
      <c r="C14" t="n">
        <v>0.0581</v>
      </c>
      <c r="D14" t="n">
        <v/>
      </c>
      <c r="E14" t="n">
        <v>0.0925</v>
      </c>
      <c r="F14" t="n">
        <v>0.103</v>
      </c>
      <c r="G14" t="n">
        <v>0.002</v>
      </c>
      <c r="H14" t="n">
        <v>-0.026</v>
      </c>
      <c r="I14" t="n">
        <v>0.373</v>
      </c>
      <c r="J14" t="n">
        <v>-0.4</v>
      </c>
      <c r="K14" t="n">
        <v>2.57</v>
      </c>
      <c r="L14" t="n">
        <v>9.35</v>
      </c>
    </row>
    <row r="15">
      <c r="A15" t="inlineStr">
        <is>
          <t>Belgium</t>
        </is>
      </c>
      <c r="B15" t="n">
        <v>515</v>
      </c>
      <c r="C15" t="n">
        <v>0.049</v>
      </c>
      <c r="D15" t="n">
        <v>0.02</v>
      </c>
      <c r="E15" t="n">
        <v>0</v>
      </c>
      <c r="F15" t="n">
        <v>0.0564</v>
      </c>
      <c r="G15" t="n">
        <v>0.063</v>
      </c>
      <c r="H15" t="n">
        <v>-0.094</v>
      </c>
      <c r="I15" t="n">
        <v>1.141</v>
      </c>
      <c r="J15" t="n">
        <v>-0.2</v>
      </c>
      <c r="K15" t="n">
        <v>1.11</v>
      </c>
      <c r="L15" t="n">
        <v>11.52</v>
      </c>
    </row>
    <row r="16">
      <c r="A16" t="inlineStr">
        <is>
          <t>Benin</t>
        </is>
      </c>
      <c r="B16" t="n">
        <v>16</v>
      </c>
      <c r="C16" t="n">
        <v>0.08199999999999999</v>
      </c>
      <c r="D16" t="n">
        <v/>
      </c>
      <c r="E16" t="n">
        <v>0.04</v>
      </c>
      <c r="F16" t="n">
        <v>0.025</v>
      </c>
      <c r="G16" t="n">
        <v>0.025</v>
      </c>
      <c r="H16" t="n">
        <v>-0.03700000000000001</v>
      </c>
      <c r="I16" t="n">
        <v>0.461</v>
      </c>
      <c r="J16" t="n">
        <v>-5.5</v>
      </c>
      <c r="K16" t="n">
        <v>588.96</v>
      </c>
      <c r="L16" t="n">
        <v>12.11</v>
      </c>
    </row>
    <row r="17">
      <c r="A17" t="inlineStr">
        <is>
          <t>Bhutan</t>
        </is>
      </c>
      <c r="B17" t="n">
        <v>2</v>
      </c>
      <c r="C17" t="n">
        <v>-0.1008</v>
      </c>
      <c r="D17" t="n">
        <v/>
      </c>
      <c r="E17" t="n">
        <v>0.07139999999999999</v>
      </c>
      <c r="F17" t="n">
        <v>0.04969999999999999</v>
      </c>
      <c r="G17" t="n">
        <v>0.05</v>
      </c>
      <c r="H17" t="n">
        <v>-0.062</v>
      </c>
      <c r="I17" t="n">
        <v>1.2074</v>
      </c>
      <c r="J17" t="n">
        <v>-11.4</v>
      </c>
      <c r="K17" t="n">
        <v>71.01000000000001</v>
      </c>
      <c r="L17" t="n">
        <v>0.77</v>
      </c>
    </row>
    <row r="18">
      <c r="A18" t="inlineStr">
        <is>
          <t>Bolivia</t>
        </is>
      </c>
      <c r="B18" t="n">
        <v>37</v>
      </c>
      <c r="C18" t="n">
        <v>0.2191</v>
      </c>
      <c r="D18" t="n">
        <v>-0.062</v>
      </c>
      <c r="E18" t="n">
        <v>0.0385</v>
      </c>
      <c r="F18" t="n">
        <v>0.009599999999999999</v>
      </c>
      <c r="G18" t="n">
        <v>0.05599999999999999</v>
      </c>
      <c r="H18" t="n">
        <v>-0.09699999999999999</v>
      </c>
      <c r="I18" t="n">
        <v>0.6729999999999999</v>
      </c>
      <c r="J18" t="n">
        <v>-0.5</v>
      </c>
      <c r="K18" t="n">
        <v>6.83</v>
      </c>
      <c r="L18" t="n">
        <v>11.68</v>
      </c>
    </row>
    <row r="19">
      <c r="A19" t="inlineStr">
        <is>
          <t>Bosniaand Herzegovina</t>
        </is>
      </c>
      <c r="B19" t="n">
        <v>20</v>
      </c>
      <c r="C19" t="n">
        <v>0.116</v>
      </c>
      <c r="D19" t="n">
        <v>0.019</v>
      </c>
      <c r="E19" t="n">
        <v>0.0344</v>
      </c>
      <c r="F19" t="n">
        <v>0.043</v>
      </c>
      <c r="G19" t="n">
        <v>0.3173</v>
      </c>
      <c r="H19" t="n">
        <v>-0.053</v>
      </c>
      <c r="I19" t="n">
        <v>0.246</v>
      </c>
      <c r="J19" t="n">
        <v>-3.1</v>
      </c>
      <c r="K19" t="n">
        <v>1.77</v>
      </c>
      <c r="L19" t="n">
        <v>3.28</v>
      </c>
    </row>
    <row r="20">
      <c r="A20" t="inlineStr">
        <is>
          <t>Botswana</t>
        </is>
      </c>
      <c r="B20" t="n">
        <v>16</v>
      </c>
      <c r="C20" t="n">
        <v>0.08400000000000001</v>
      </c>
      <c r="D20" t="n">
        <v>0.034</v>
      </c>
      <c r="E20" t="n">
        <v>0.0375</v>
      </c>
      <c r="F20" t="n">
        <v>0.08599999999999999</v>
      </c>
      <c r="G20" t="n">
        <v>0.233</v>
      </c>
      <c r="H20" t="n">
        <v>-0.05599999999999999</v>
      </c>
      <c r="I20" t="n">
        <v>0.182</v>
      </c>
      <c r="J20" t="n">
        <v>-11.2</v>
      </c>
      <c r="K20" t="n">
        <v>11.03</v>
      </c>
      <c r="L20" t="n">
        <v>2.37</v>
      </c>
    </row>
    <row r="21">
      <c r="A21" t="inlineStr">
        <is>
          <t>Brazil</t>
        </is>
      </c>
      <c r="B21" t="n">
        <v>1445</v>
      </c>
      <c r="C21" t="n">
        <v>0.04</v>
      </c>
      <c r="D21" t="n">
        <v>-0.001</v>
      </c>
      <c r="E21" t="n">
        <v>0.0925</v>
      </c>
      <c r="F21" t="n">
        <v>0.1074</v>
      </c>
      <c r="G21" t="n">
        <v>0.126</v>
      </c>
      <c r="H21" t="n">
        <v>-0.134</v>
      </c>
      <c r="I21" t="n">
        <v>0.8883</v>
      </c>
      <c r="J21" t="n">
        <v>-0.72</v>
      </c>
      <c r="K21" t="n">
        <v>5.69</v>
      </c>
      <c r="L21" t="n">
        <v>211.82</v>
      </c>
    </row>
    <row r="22">
      <c r="A22" t="inlineStr">
        <is>
          <t>Brunei</t>
        </is>
      </c>
      <c r="B22" t="n">
        <v>12</v>
      </c>
      <c r="C22" t="n">
        <v>-0.021</v>
      </c>
      <c r="D22" t="n">
        <v/>
      </c>
      <c r="E22" t="n">
        <v>0.055</v>
      </c>
      <c r="F22" t="n">
        <v>0.022</v>
      </c>
      <c r="G22" t="n">
        <v>0.08400000000000001</v>
      </c>
      <c r="H22" t="n">
        <v>-0.027</v>
      </c>
      <c r="I22" t="n">
        <v>0.032</v>
      </c>
      <c r="J22" t="n">
        <v>1</v>
      </c>
      <c r="K22" t="n">
        <v>1.35</v>
      </c>
      <c r="L22" t="n">
        <v>0.45</v>
      </c>
    </row>
    <row r="23">
      <c r="A23" t="inlineStr">
        <is>
          <t>Bulgaria</t>
        </is>
      </c>
      <c r="B23" t="n">
        <v>69</v>
      </c>
      <c r="C23" t="n">
        <v>0.0462</v>
      </c>
      <c r="D23" t="n">
        <v>0.006</v>
      </c>
      <c r="E23" t="n">
        <v>0</v>
      </c>
      <c r="F23" t="n">
        <v>0.073</v>
      </c>
      <c r="G23" t="n">
        <v>0.047</v>
      </c>
      <c r="H23" t="n">
        <v>-0.034</v>
      </c>
      <c r="I23" t="n">
        <v>0.242</v>
      </c>
      <c r="J23" t="n">
        <v>-0.7</v>
      </c>
      <c r="K23" t="n">
        <v>1.66</v>
      </c>
      <c r="L23" t="n">
        <v>6.95</v>
      </c>
    </row>
    <row r="24">
      <c r="A24" t="inlineStr">
        <is>
          <t>Burkina Faso</t>
        </is>
      </c>
      <c r="B24" t="n">
        <v>17</v>
      </c>
      <c r="C24" t="n">
        <v>0.225</v>
      </c>
      <c r="D24" t="n">
        <v/>
      </c>
      <c r="E24" t="n">
        <v>0.04</v>
      </c>
      <c r="F24" t="n">
        <v>0.039</v>
      </c>
      <c r="G24" t="n">
        <v>0.05</v>
      </c>
      <c r="H24" t="n">
        <v>-0.05400000000000001</v>
      </c>
      <c r="I24" t="n">
        <v>0.25</v>
      </c>
      <c r="J24" t="n">
        <v>1.2</v>
      </c>
      <c r="K24" t="n">
        <v>588.96</v>
      </c>
      <c r="L24" t="n">
        <v>21.51</v>
      </c>
    </row>
    <row r="25">
      <c r="A25" t="inlineStr">
        <is>
          <t>Burundi</t>
        </is>
      </c>
      <c r="B25" t="n">
        <v>3</v>
      </c>
      <c r="C25" t="n">
        <v>-0.003</v>
      </c>
      <c r="D25" t="n">
        <v/>
      </c>
      <c r="E25" t="n">
        <v>0.0706</v>
      </c>
      <c r="F25" t="n">
        <v>0.0987</v>
      </c>
      <c r="G25" t="n">
        <v>0.008</v>
      </c>
      <c r="H25" t="n">
        <v>-0.08800000000000001</v>
      </c>
      <c r="I25" t="n">
        <v>0.159</v>
      </c>
      <c r="J25" t="n">
        <v>-19.1</v>
      </c>
      <c r="K25" t="n">
        <v>1877.75</v>
      </c>
      <c r="L25" t="n">
        <v>11.89</v>
      </c>
    </row>
    <row r="26">
      <c r="A26" t="inlineStr">
        <is>
          <t>Cambodia</t>
        </is>
      </c>
      <c r="B26" t="n">
        <v>25</v>
      </c>
      <c r="C26" t="n">
        <v>-0.031</v>
      </c>
      <c r="D26" t="n">
        <v/>
      </c>
      <c r="E26" t="n">
        <v>0.0089</v>
      </c>
      <c r="F26" t="n">
        <v>0.0296</v>
      </c>
      <c r="G26" t="n">
        <v>0.0031</v>
      </c>
      <c r="H26" t="n">
        <v>-0.026</v>
      </c>
      <c r="I26" t="n">
        <v>0.315</v>
      </c>
      <c r="J26" t="n">
        <v>-11.9</v>
      </c>
      <c r="K26" t="n">
        <v>4061</v>
      </c>
      <c r="L26" t="n">
        <v>16.71</v>
      </c>
    </row>
    <row r="27">
      <c r="A27" t="inlineStr">
        <is>
          <t>Cameroon</t>
        </is>
      </c>
      <c r="B27" t="n">
        <v>40</v>
      </c>
      <c r="C27" t="n">
        <v>0.008</v>
      </c>
      <c r="D27" t="n">
        <v>0.027</v>
      </c>
      <c r="E27" t="n">
        <v>0.0325</v>
      </c>
      <c r="F27" t="n">
        <v>0.0239</v>
      </c>
      <c r="G27" t="n">
        <v>0.036</v>
      </c>
      <c r="H27" t="n">
        <v>-0.049</v>
      </c>
      <c r="I27" t="n">
        <v>0.4320000000000001</v>
      </c>
      <c r="J27" t="n">
        <v>-5.2</v>
      </c>
      <c r="K27" t="n">
        <v>551.3200000000001</v>
      </c>
      <c r="L27" t="n">
        <v>26.54</v>
      </c>
    </row>
    <row r="28">
      <c r="A28" t="inlineStr">
        <is>
          <t>Canada</t>
        </is>
      </c>
      <c r="B28" t="n">
        <v>1644</v>
      </c>
      <c r="C28" t="n">
        <v>0.04</v>
      </c>
      <c r="D28" t="n">
        <v>0.013</v>
      </c>
      <c r="E28" t="n">
        <v>0.0025</v>
      </c>
      <c r="F28" t="n">
        <v>0.047</v>
      </c>
      <c r="G28" t="n">
        <v>0.06</v>
      </c>
      <c r="H28" t="n">
        <v>-0.149</v>
      </c>
      <c r="I28" t="n">
        <v>1.178</v>
      </c>
      <c r="J28" t="n">
        <v>-1.9</v>
      </c>
      <c r="K28" t="n">
        <v>1.33</v>
      </c>
      <c r="L28" t="n">
        <v>38.01</v>
      </c>
    </row>
    <row r="29">
      <c r="A29" t="inlineStr">
        <is>
          <t>Cape Verde</t>
        </is>
      </c>
      <c r="B29" t="n">
        <v>2</v>
      </c>
      <c r="C29" t="n">
        <v>0.308</v>
      </c>
      <c r="D29" t="n">
        <v>-0.033</v>
      </c>
      <c r="E29" t="n">
        <v>0.0025</v>
      </c>
      <c r="F29" t="n">
        <v>0.048</v>
      </c>
      <c r="G29" t="n">
        <v>0.145</v>
      </c>
      <c r="H29" t="n">
        <v>-0.08900000000000001</v>
      </c>
      <c r="I29" t="n">
        <v>1.558</v>
      </c>
      <c r="J29" t="n">
        <v>-15.6</v>
      </c>
      <c r="K29" t="n">
        <v>99.94</v>
      </c>
      <c r="L29" t="n">
        <v>0.5600000000000001</v>
      </c>
    </row>
    <row r="30">
      <c r="A30" t="inlineStr">
        <is>
          <t>Cayman Islands</t>
        </is>
      </c>
      <c r="B30" t="n">
        <v>6</v>
      </c>
      <c r="C30" t="n">
        <v>-0.067</v>
      </c>
      <c r="D30" t="n">
        <v/>
      </c>
      <c r="E30" t="n">
        <v/>
      </c>
      <c r="F30" t="n">
        <v>-0.01</v>
      </c>
      <c r="G30" t="n">
        <v>0.052</v>
      </c>
      <c r="H30" t="n">
        <v>-0.022</v>
      </c>
      <c r="I30" t="n">
        <v>0.053</v>
      </c>
      <c r="J30" t="n">
        <v>-21.2</v>
      </c>
      <c r="K30" t="n">
        <v>0.82</v>
      </c>
      <c r="L30" t="n">
        <v>0.07000000000000001</v>
      </c>
    </row>
    <row r="31">
      <c r="A31" t="inlineStr">
        <is>
          <t>Central African Republic</t>
        </is>
      </c>
      <c r="B31" t="n">
        <v>2</v>
      </c>
      <c r="C31" t="n">
        <v>0</v>
      </c>
      <c r="D31" t="n">
        <v/>
      </c>
      <c r="E31" t="n">
        <v>0.0325</v>
      </c>
      <c r="F31" t="n">
        <v>0.0478</v>
      </c>
      <c r="G31" t="n">
        <v>0.043</v>
      </c>
      <c r="H31" t="n">
        <v>-0.03</v>
      </c>
      <c r="I31" t="n">
        <v>0.449</v>
      </c>
      <c r="J31" t="n">
        <v>-5.7</v>
      </c>
      <c r="K31" t="n">
        <v>551.3200000000001</v>
      </c>
      <c r="L31" t="n">
        <v>4.83</v>
      </c>
    </row>
    <row r="32">
      <c r="A32" t="inlineStr">
        <is>
          <t>Chad</t>
        </is>
      </c>
      <c r="B32" t="n">
        <v>10</v>
      </c>
      <c r="C32" t="n">
        <v>-0.009000000000000001</v>
      </c>
      <c r="D32" t="n">
        <v/>
      </c>
      <c r="E32" t="n">
        <v>0.0325</v>
      </c>
      <c r="F32" t="n">
        <v>-0.009000000000000001</v>
      </c>
      <c r="G32" t="n">
        <v>0.023</v>
      </c>
      <c r="H32" t="n">
        <v>-0.008</v>
      </c>
      <c r="I32" t="n">
        <v>0.43</v>
      </c>
      <c r="J32" t="n">
        <v>-13.3</v>
      </c>
      <c r="K32" t="n">
        <v>551.3200000000001</v>
      </c>
      <c r="L32" t="n">
        <v>16.42</v>
      </c>
    </row>
    <row r="33">
      <c r="A33" t="inlineStr">
        <is>
          <t>Chile</t>
        </is>
      </c>
      <c r="B33" t="n">
        <v>253</v>
      </c>
      <c r="C33" t="n">
        <v>0.172</v>
      </c>
      <c r="D33" t="n">
        <v>0.049</v>
      </c>
      <c r="E33" t="n">
        <v>0.04</v>
      </c>
      <c r="F33" t="n">
        <v>0.067</v>
      </c>
      <c r="G33" t="n">
        <v>0.081</v>
      </c>
      <c r="H33" t="n">
        <v>-0.07099999999999999</v>
      </c>
      <c r="I33" t="n">
        <v>0.33</v>
      </c>
      <c r="J33" t="n">
        <v>1.4</v>
      </c>
      <c r="K33" t="n">
        <v>749.27</v>
      </c>
      <c r="L33" t="n">
        <v>19.46</v>
      </c>
    </row>
    <row r="34">
      <c r="A34" t="inlineStr">
        <is>
          <t>China</t>
        </is>
      </c>
      <c r="B34" t="n">
        <v>14723</v>
      </c>
      <c r="C34" t="n">
        <v>0.049</v>
      </c>
      <c r="D34" t="n">
        <v>0.002</v>
      </c>
      <c r="E34" t="n">
        <v>0.038</v>
      </c>
      <c r="F34" t="n">
        <v>0.023</v>
      </c>
      <c r="G34" t="n">
        <v>0.05</v>
      </c>
      <c r="H34" t="n">
        <v>-0.03700000000000001</v>
      </c>
      <c r="I34" t="n">
        <v>0.6679999999999999</v>
      </c>
      <c r="J34" t="n">
        <v>1.9</v>
      </c>
      <c r="K34" t="n">
        <v>6.37</v>
      </c>
      <c r="L34" t="n">
        <v>1443.5</v>
      </c>
    </row>
    <row r="35">
      <c r="A35" t="inlineStr">
        <is>
          <t>Colombia</t>
        </is>
      </c>
      <c r="B35" t="n">
        <v>271</v>
      </c>
      <c r="C35" t="n">
        <v>0.132</v>
      </c>
      <c r="D35" t="n">
        <v>0.057</v>
      </c>
      <c r="E35" t="n">
        <v>0.03</v>
      </c>
      <c r="F35" t="n">
        <v>0.0526</v>
      </c>
      <c r="G35" t="n">
        <v>0.118</v>
      </c>
      <c r="H35" t="n">
        <v>-0.078</v>
      </c>
      <c r="I35" t="n">
        <v>0.628</v>
      </c>
      <c r="J35" t="n">
        <v>-3.4</v>
      </c>
      <c r="K35" t="n">
        <v>3354</v>
      </c>
      <c r="L35" t="n">
        <v>50.88</v>
      </c>
    </row>
    <row r="36">
      <c r="A36" t="inlineStr">
        <is>
          <t>Comoros</t>
        </is>
      </c>
      <c r="B36" t="n">
        <v>1</v>
      </c>
      <c r="C36" t="n">
        <v>0.002</v>
      </c>
      <c r="D36" t="n">
        <v/>
      </c>
      <c r="E36" t="n">
        <v>0.009399999999999999</v>
      </c>
      <c r="F36" t="n">
        <v>-0.0246</v>
      </c>
      <c r="G36" t="n">
        <v>0.08400000000000001</v>
      </c>
      <c r="H36" t="n">
        <v>-0.042</v>
      </c>
      <c r="I36" t="n">
        <v>0.268</v>
      </c>
      <c r="J36" t="n">
        <v>-3.3</v>
      </c>
      <c r="K36" t="n">
        <v>417.02</v>
      </c>
      <c r="L36" t="n">
        <v>0.87</v>
      </c>
    </row>
    <row r="37">
      <c r="A37" t="inlineStr">
        <is>
          <t>Congo</t>
        </is>
      </c>
      <c r="B37" t="n">
        <v>50</v>
      </c>
      <c r="C37" t="n">
        <v>-0.024</v>
      </c>
      <c r="D37" t="n">
        <v/>
      </c>
      <c r="E37" t="n">
        <v>0.08500000000000001</v>
      </c>
      <c r="F37" t="n">
        <v>0.0492</v>
      </c>
      <c r="G37" t="n">
        <v>0.461</v>
      </c>
      <c r="H37" t="n">
        <v>-0.012</v>
      </c>
      <c r="I37" t="n">
        <v>0.152</v>
      </c>
      <c r="J37" t="n">
        <v>-5.4</v>
      </c>
      <c r="K37" t="n">
        <v>1666.65</v>
      </c>
      <c r="L37" t="n">
        <v>89.39</v>
      </c>
    </row>
    <row r="38">
      <c r="A38" t="inlineStr">
        <is>
          <t>Costa Rica</t>
        </is>
      </c>
      <c r="B38" t="n">
        <v>62</v>
      </c>
      <c r="C38" t="n">
        <v>0.079</v>
      </c>
      <c r="D38" t="n">
        <v>0.005</v>
      </c>
      <c r="E38" t="n">
        <v>0.0075</v>
      </c>
      <c r="F38" t="n">
        <v>0.0335</v>
      </c>
      <c r="G38" t="n">
        <v>0.153</v>
      </c>
      <c r="H38" t="n">
        <v>-0.07400000000000001</v>
      </c>
      <c r="I38" t="n">
        <v>0.7926000000000001</v>
      </c>
      <c r="J38" t="n">
        <v>-2.4</v>
      </c>
      <c r="K38" t="n">
        <v>566.5700000000001</v>
      </c>
      <c r="L38" t="n">
        <v>5.16</v>
      </c>
    </row>
    <row r="39">
      <c r="A39" t="inlineStr">
        <is>
          <t>Croatia</t>
        </is>
      </c>
      <c r="B39" t="n">
        <v>56</v>
      </c>
      <c r="C39" t="n">
        <v>0.158</v>
      </c>
      <c r="D39" t="n">
        <v>-0.002</v>
      </c>
      <c r="E39" t="n">
        <v>0.025</v>
      </c>
      <c r="F39" t="n">
        <v>0.048</v>
      </c>
      <c r="G39" t="n">
        <v>0.07400000000000001</v>
      </c>
      <c r="H39" t="n">
        <v>-0.07400000000000001</v>
      </c>
      <c r="I39" t="n">
        <v>0.887</v>
      </c>
      <c r="J39" t="n">
        <v>-0.3</v>
      </c>
      <c r="K39" t="n">
        <v>6.68</v>
      </c>
      <c r="L39" t="n">
        <v>4.06</v>
      </c>
    </row>
    <row r="40">
      <c r="A40" t="inlineStr">
        <is>
          <t>Cuba</t>
        </is>
      </c>
      <c r="B40" t="n">
        <v>103</v>
      </c>
      <c r="C40" t="n">
        <v>-0.11</v>
      </c>
      <c r="D40" t="n">
        <v/>
      </c>
      <c r="E40" t="n">
        <v>0.0225</v>
      </c>
      <c r="F40" t="n">
        <v>0.042</v>
      </c>
      <c r="G40" t="n">
        <v>0.0387</v>
      </c>
      <c r="H40" t="n">
        <v>-0.177</v>
      </c>
      <c r="I40" t="n">
        <v>0.184</v>
      </c>
      <c r="J40" t="n">
        <v>0.2</v>
      </c>
      <c r="K40" t="n">
        <v>1</v>
      </c>
      <c r="L40" t="n">
        <v>11.28</v>
      </c>
    </row>
    <row r="41">
      <c r="A41" t="inlineStr">
        <is>
          <t>Cyprus</t>
        </is>
      </c>
      <c r="B41" t="n">
        <v>24</v>
      </c>
      <c r="C41" t="n">
        <v>0.05599999999999999</v>
      </c>
      <c r="D41" t="n">
        <v>0.015</v>
      </c>
      <c r="E41" t="n">
        <v>0</v>
      </c>
      <c r="F41" t="n">
        <v>0.0434</v>
      </c>
      <c r="G41" t="n">
        <v>0.066</v>
      </c>
      <c r="H41" t="n">
        <v>-0.057</v>
      </c>
      <c r="I41" t="n">
        <v>1.182</v>
      </c>
      <c r="J41" t="n">
        <v>-11.9</v>
      </c>
      <c r="K41" t="n">
        <v>1.11</v>
      </c>
      <c r="L41" t="n">
        <v>0.89</v>
      </c>
    </row>
    <row r="42">
      <c r="A42" t="inlineStr">
        <is>
          <t>Czech Republic</t>
        </is>
      </c>
      <c r="B42" t="n">
        <v>245</v>
      </c>
      <c r="C42" t="n">
        <v>0.031</v>
      </c>
      <c r="D42" t="n">
        <v>0.015</v>
      </c>
      <c r="E42" t="n">
        <v>0.0375</v>
      </c>
      <c r="F42" t="n">
        <v>0.06</v>
      </c>
      <c r="G42" t="n">
        <v>0.033</v>
      </c>
      <c r="H42" t="n">
        <v>-0.062</v>
      </c>
      <c r="I42" t="n">
        <v>0.381</v>
      </c>
      <c r="J42" t="n">
        <v>3.6</v>
      </c>
      <c r="K42" t="n">
        <v>21.77</v>
      </c>
      <c r="L42" t="n">
        <v>10.7</v>
      </c>
    </row>
    <row r="43">
      <c r="A43" t="inlineStr">
        <is>
          <t>Denmark</t>
        </is>
      </c>
      <c r="B43" t="n">
        <v>356</v>
      </c>
      <c r="C43" t="n">
        <v>0.036</v>
      </c>
      <c r="D43" t="n">
        <v>0.009000000000000001</v>
      </c>
      <c r="E43" t="n">
        <v>-0.006</v>
      </c>
      <c r="F43" t="n">
        <v>0.034</v>
      </c>
      <c r="G43" t="n">
        <v>0.031</v>
      </c>
      <c r="H43" t="n">
        <v>-0.002</v>
      </c>
      <c r="I43" t="n">
        <v>0.422</v>
      </c>
      <c r="J43" t="n">
        <v>7.8</v>
      </c>
      <c r="K43" t="n">
        <v>6.31</v>
      </c>
      <c r="L43" t="n">
        <v>5.82</v>
      </c>
    </row>
    <row r="44">
      <c r="A44" t="inlineStr">
        <is>
          <t>Djibouti</t>
        </is>
      </c>
      <c r="B44" t="n">
        <v>3</v>
      </c>
      <c r="C44" t="n">
        <v>0.014</v>
      </c>
      <c r="D44" t="n">
        <v/>
      </c>
      <c r="E44" t="n">
        <v>0.112</v>
      </c>
      <c r="F44" t="n">
        <v>0.0255</v>
      </c>
      <c r="G44" t="n">
        <v>0.116</v>
      </c>
      <c r="H44" t="n">
        <v>-0.04</v>
      </c>
      <c r="I44" t="n">
        <v>0.422</v>
      </c>
      <c r="J44" t="n">
        <v>2.9</v>
      </c>
      <c r="K44" t="n">
        <v>177.5</v>
      </c>
      <c r="L44" t="n">
        <v>0.98</v>
      </c>
    </row>
    <row r="45">
      <c r="A45" t="inlineStr">
        <is>
          <t>Dominican Republic</t>
        </is>
      </c>
      <c r="B45" t="n">
        <v>79</v>
      </c>
      <c r="C45" t="n">
        <v>0.254</v>
      </c>
      <c r="D45" t="n">
        <v>0.025</v>
      </c>
      <c r="E45" t="n">
        <v>0.03</v>
      </c>
      <c r="F45" t="n">
        <v>0.0823</v>
      </c>
      <c r="G45" t="n">
        <v>0.076</v>
      </c>
      <c r="H45" t="n">
        <v>-0.0791</v>
      </c>
      <c r="I45" t="n">
        <v>0.6909999999999999</v>
      </c>
      <c r="J45" t="n">
        <v>-2</v>
      </c>
      <c r="K45" t="n">
        <v>52.98</v>
      </c>
      <c r="L45" t="n">
        <v>10.45</v>
      </c>
    </row>
    <row r="46">
      <c r="A46" t="inlineStr">
        <is>
          <t>East Timor</t>
        </is>
      </c>
      <c r="B46" t="n">
        <v>2</v>
      </c>
      <c r="C46" t="n">
        <v>-0.068</v>
      </c>
      <c r="D46" t="n">
        <v/>
      </c>
      <c r="E46" t="n">
        <v/>
      </c>
      <c r="F46" t="n">
        <v>0.053</v>
      </c>
      <c r="G46" t="n">
        <v>0.0506</v>
      </c>
      <c r="H46" t="n">
        <v>-0.048</v>
      </c>
      <c r="I46" t="n">
        <v/>
      </c>
      <c r="J46" t="n">
        <v>-18</v>
      </c>
      <c r="K46" t="n">
        <v/>
      </c>
      <c r="L46" t="n">
        <v>1.32</v>
      </c>
    </row>
    <row r="47">
      <c r="A47" t="inlineStr">
        <is>
          <t>Ecuador</t>
        </is>
      </c>
      <c r="B47" t="n">
        <v>99</v>
      </c>
      <c r="C47" t="n">
        <v>0.08400000000000001</v>
      </c>
      <c r="D47" t="n">
        <v>0.021</v>
      </c>
      <c r="E47" t="n">
        <v>0.09329999999999999</v>
      </c>
      <c r="F47" t="n">
        <v>0.0184</v>
      </c>
      <c r="G47" t="n">
        <v>0.066</v>
      </c>
      <c r="H47" t="n">
        <v>-0.08900000000000001</v>
      </c>
      <c r="I47" t="n">
        <v>0.6890000000000001</v>
      </c>
      <c r="J47" t="n">
        <v>2.6</v>
      </c>
      <c r="K47" t="n">
        <v>98.56</v>
      </c>
      <c r="L47" t="n">
        <v>17.56</v>
      </c>
    </row>
    <row r="48">
      <c r="A48" t="inlineStr">
        <is>
          <t>Egypt</t>
        </is>
      </c>
      <c r="B48" t="n">
        <v>363</v>
      </c>
      <c r="C48" t="n">
        <v>0.07200000000000001</v>
      </c>
      <c r="D48" t="n">
        <v>0.029</v>
      </c>
      <c r="E48" t="n">
        <v>0.0825</v>
      </c>
      <c r="F48" t="n">
        <v>0.05599999999999999</v>
      </c>
      <c r="G48" t="n">
        <v>0.075</v>
      </c>
      <c r="H48" t="n">
        <v>-0.09</v>
      </c>
      <c r="I48" t="n">
        <v>0.88</v>
      </c>
      <c r="J48" t="n">
        <v>-4.6</v>
      </c>
      <c r="K48" t="n">
        <v>15.64</v>
      </c>
      <c r="L48" t="n">
        <v>100.5</v>
      </c>
    </row>
    <row r="49">
      <c r="A49" t="inlineStr">
        <is>
          <t>El Salvador</t>
        </is>
      </c>
      <c r="B49" t="n">
        <v>25</v>
      </c>
      <c r="C49" t="n">
        <v>0.241</v>
      </c>
      <c r="D49" t="n">
        <v>-0.023</v>
      </c>
      <c r="E49" t="n">
        <v>0.0401</v>
      </c>
      <c r="F49" t="n">
        <v>0.062</v>
      </c>
      <c r="G49" t="n">
        <v>0.06900000000000001</v>
      </c>
      <c r="H49" t="n">
        <v>-0.092</v>
      </c>
      <c r="I49" t="n">
        <v>0.9017000000000001</v>
      </c>
      <c r="J49" t="n">
        <v>0.5</v>
      </c>
      <c r="K49" t="n">
        <v>98.56</v>
      </c>
      <c r="L49" t="n">
        <v>6.49</v>
      </c>
    </row>
    <row r="50">
      <c r="A50" t="inlineStr">
        <is>
          <t>Equatorial Guinea</t>
        </is>
      </c>
      <c r="B50" t="n">
        <v>10</v>
      </c>
      <c r="C50" t="n">
        <v>-0.058</v>
      </c>
      <c r="D50" t="n">
        <v/>
      </c>
      <c r="E50" t="n">
        <v>0.0325</v>
      </c>
      <c r="F50" t="n">
        <v>0.03</v>
      </c>
      <c r="G50" t="n">
        <v>0.092</v>
      </c>
      <c r="H50" t="n">
        <v>-0.028</v>
      </c>
      <c r="I50" t="n">
        <v>0.511</v>
      </c>
      <c r="J50" t="n">
        <v>-8.4</v>
      </c>
      <c r="K50" t="n">
        <v>551.3200000000001</v>
      </c>
      <c r="L50" t="n">
        <v>1.4</v>
      </c>
    </row>
    <row r="51">
      <c r="A51" t="inlineStr">
        <is>
          <t>Eritrea</t>
        </is>
      </c>
      <c r="B51" t="n">
        <v>7</v>
      </c>
      <c r="C51" t="n">
        <v>-0.006</v>
      </c>
      <c r="D51" t="n">
        <v/>
      </c>
      <c r="E51" t="n">
        <v/>
      </c>
      <c r="F51" t="n">
        <v>0.047</v>
      </c>
      <c r="G51" t="n">
        <v>0.07400000000000001</v>
      </c>
      <c r="H51" t="n">
        <v>-0.052</v>
      </c>
      <c r="I51" t="n">
        <v>0.64</v>
      </c>
      <c r="J51" t="n">
        <v>10.1</v>
      </c>
      <c r="K51" t="n">
        <v>15</v>
      </c>
      <c r="L51" t="n">
        <v>3.21</v>
      </c>
    </row>
    <row r="52">
      <c r="A52" t="inlineStr">
        <is>
          <t>Estonia</t>
        </is>
      </c>
      <c r="B52" t="n">
        <v>31</v>
      </c>
      <c r="C52" t="n">
        <v>0.08599999999999999</v>
      </c>
      <c r="D52" t="n">
        <v>0.006999999999999999</v>
      </c>
      <c r="E52" t="n">
        <v>0</v>
      </c>
      <c r="F52" t="n">
        <v>0.08800000000000001</v>
      </c>
      <c r="G52" t="n">
        <v>0.057</v>
      </c>
      <c r="H52" t="n">
        <v>-0.049</v>
      </c>
      <c r="I52" t="n">
        <v>0.182</v>
      </c>
      <c r="J52" t="n">
        <v>-0.6</v>
      </c>
      <c r="K52" t="n">
        <v>1.11</v>
      </c>
      <c r="L52" t="n">
        <v>1.33</v>
      </c>
    </row>
    <row r="53">
      <c r="A53" t="inlineStr">
        <is>
          <t>Ethiopia</t>
        </is>
      </c>
      <c r="B53" t="n">
        <v>108</v>
      </c>
      <c r="C53" t="n">
        <v>0.061</v>
      </c>
      <c r="D53" t="n">
        <v/>
      </c>
      <c r="E53" t="n">
        <v>0.07000000000000001</v>
      </c>
      <c r="F53" t="n">
        <v>0.33</v>
      </c>
      <c r="G53" t="n">
        <v>0.191</v>
      </c>
      <c r="H53" t="n">
        <v>-0.04</v>
      </c>
      <c r="I53" t="n">
        <v>0.59</v>
      </c>
      <c r="J53" t="n">
        <v>-4.4</v>
      </c>
      <c r="K53" t="n">
        <v>31.69</v>
      </c>
      <c r="L53" t="n">
        <v>115</v>
      </c>
    </row>
    <row r="54">
      <c r="A54" t="inlineStr">
        <is>
          <t>Euro Area</t>
        </is>
      </c>
      <c r="B54" t="n">
        <v>13011</v>
      </c>
      <c r="C54" t="n">
        <v>0.039</v>
      </c>
      <c r="D54" t="n">
        <v>0.022</v>
      </c>
      <c r="E54" t="n">
        <v>0</v>
      </c>
      <c r="F54" t="n">
        <v>0.049</v>
      </c>
      <c r="G54" t="n">
        <v>0.073</v>
      </c>
      <c r="H54" t="n">
        <v>-0.07200000000000001</v>
      </c>
      <c r="I54" t="n">
        <v>0.98</v>
      </c>
      <c r="J54" t="n">
        <v>3</v>
      </c>
      <c r="K54" t="n">
        <v>1.11</v>
      </c>
      <c r="L54" t="n">
        <v>342.41</v>
      </c>
    </row>
    <row r="55">
      <c r="A55" t="inlineStr">
        <is>
          <t>Fiji</t>
        </is>
      </c>
      <c r="B55" t="n">
        <v>4</v>
      </c>
      <c r="C55" t="n">
        <v>-0.19</v>
      </c>
      <c r="D55" t="n">
        <v/>
      </c>
      <c r="E55" t="n">
        <v>0.0025</v>
      </c>
      <c r="F55" t="n">
        <v>0.008</v>
      </c>
      <c r="G55" t="n">
        <v>0.048</v>
      </c>
      <c r="H55" t="n">
        <v>-0.06</v>
      </c>
      <c r="I55" t="n">
        <v>0.652</v>
      </c>
      <c r="J55" t="n">
        <v>-13.8</v>
      </c>
      <c r="K55" t="n">
        <v>2.17</v>
      </c>
      <c r="L55" t="n">
        <v>0.89</v>
      </c>
    </row>
    <row r="56">
      <c r="A56" t="inlineStr">
        <is>
          <t>Finland</t>
        </is>
      </c>
      <c r="B56" t="n">
        <v>270</v>
      </c>
      <c r="C56" t="n">
        <v>0.042</v>
      </c>
      <c r="D56" t="n">
        <v>0.008</v>
      </c>
      <c r="E56" t="n">
        <v>0</v>
      </c>
      <c r="F56" t="n">
        <v>0.03700000000000001</v>
      </c>
      <c r="G56" t="n">
        <v>0.06</v>
      </c>
      <c r="H56" t="n">
        <v>-0.05400000000000001</v>
      </c>
      <c r="I56" t="n">
        <v>0.6920000000000001</v>
      </c>
      <c r="J56" t="n">
        <v>0.3</v>
      </c>
      <c r="K56" t="n">
        <v>1.11</v>
      </c>
      <c r="L56" t="n">
        <v>5.53</v>
      </c>
    </row>
    <row r="57">
      <c r="A57" t="inlineStr">
        <is>
          <t>France</t>
        </is>
      </c>
      <c r="B57" t="n">
        <v>2630</v>
      </c>
      <c r="C57" t="n">
        <v>0.033</v>
      </c>
      <c r="D57" t="n">
        <v>0.03</v>
      </c>
      <c r="E57" t="n">
        <v>0</v>
      </c>
      <c r="F57" t="n">
        <v>0.028</v>
      </c>
      <c r="G57" t="n">
        <v>0.081</v>
      </c>
      <c r="H57" t="n">
        <v>-0.092</v>
      </c>
      <c r="I57" t="n">
        <v>1.157</v>
      </c>
      <c r="J57" t="n">
        <v>-1.9</v>
      </c>
      <c r="K57" t="n">
        <v>1.11</v>
      </c>
      <c r="L57" t="n">
        <v>67.29000000000001</v>
      </c>
    </row>
    <row r="58">
      <c r="A58" t="inlineStr">
        <is>
          <t>Gabon</t>
        </is>
      </c>
      <c r="B58" t="n">
        <v>16</v>
      </c>
      <c r="C58" t="n">
        <v>-0.018</v>
      </c>
      <c r="D58" t="n">
        <v/>
      </c>
      <c r="E58" t="n">
        <v>0.0325</v>
      </c>
      <c r="F58" t="n">
        <v>0.009000000000000001</v>
      </c>
      <c r="G58" t="n">
        <v>0.205</v>
      </c>
      <c r="H58" t="n">
        <v>-0.05</v>
      </c>
      <c r="I58" t="n">
        <v>0.725</v>
      </c>
      <c r="J58" t="n">
        <v>-9.5</v>
      </c>
      <c r="K58" t="n">
        <v>551.3200000000001</v>
      </c>
      <c r="L58" t="n">
        <v>2.22</v>
      </c>
    </row>
    <row r="59">
      <c r="A59" t="inlineStr">
        <is>
          <t>Gambia</t>
        </is>
      </c>
      <c r="B59" t="n">
        <v>2</v>
      </c>
      <c r="C59" t="n">
        <v>-0.002</v>
      </c>
      <c r="D59" t="n">
        <v/>
      </c>
      <c r="E59" t="n">
        <v>0.1</v>
      </c>
      <c r="F59" t="n">
        <v>0.07339999999999999</v>
      </c>
      <c r="G59" t="n">
        <v>0.096</v>
      </c>
      <c r="H59" t="n">
        <v>-0.03700000000000001</v>
      </c>
      <c r="I59" t="n">
        <v>0.831</v>
      </c>
      <c r="J59" t="n">
        <v>-8.6</v>
      </c>
      <c r="K59" t="n">
        <v>51.35</v>
      </c>
      <c r="L59" t="n">
        <v>2.28</v>
      </c>
    </row>
    <row r="60">
      <c r="A60" t="inlineStr">
        <is>
          <t>Georgia</t>
        </is>
      </c>
      <c r="B60" t="n">
        <v>16</v>
      </c>
      <c r="C60" t="n">
        <v>0.091</v>
      </c>
      <c r="D60" t="n">
        <v/>
      </c>
      <c r="E60" t="n">
        <v>0.105</v>
      </c>
      <c r="F60" t="n">
        <v>0.125</v>
      </c>
      <c r="G60" t="n">
        <v>0.185</v>
      </c>
      <c r="H60" t="n">
        <v>-0.09300000000000001</v>
      </c>
      <c r="I60" t="n">
        <v>0.5710000000000001</v>
      </c>
      <c r="J60" t="n">
        <v>-12.3</v>
      </c>
      <c r="K60" t="n">
        <v>2.89</v>
      </c>
      <c r="L60" t="n">
        <v>3.73</v>
      </c>
    </row>
    <row r="61" ht="16" customHeight="1" s="68" thickBot="1">
      <c r="A61" t="inlineStr">
        <is>
          <t>Germany</t>
        </is>
      </c>
      <c r="B61" t="n">
        <v>3846</v>
      </c>
      <c r="C61" t="n">
        <v>0.025</v>
      </c>
      <c r="D61" t="n">
        <v>0.017</v>
      </c>
      <c r="E61" t="n">
        <v>0</v>
      </c>
      <c r="F61" t="n">
        <v>0.052</v>
      </c>
      <c r="G61" t="n">
        <v>0.053</v>
      </c>
      <c r="H61" t="n">
        <v>-0.042</v>
      </c>
      <c r="I61" t="n">
        <v>0.698</v>
      </c>
      <c r="J61" t="n">
        <v>7</v>
      </c>
      <c r="K61" t="n">
        <v>1.11</v>
      </c>
      <c r="L61" t="n">
        <v>83.17</v>
      </c>
    </row>
    <row r="62">
      <c r="A62" t="inlineStr">
        <is>
          <t>Ghana</t>
        </is>
      </c>
      <c r="B62" t="n">
        <v>72</v>
      </c>
      <c r="C62" t="n">
        <v>0.066</v>
      </c>
      <c r="D62" t="n">
        <v>0.016</v>
      </c>
      <c r="E62" t="n">
        <v>0.145</v>
      </c>
      <c r="F62" t="n">
        <v>0.122</v>
      </c>
      <c r="G62" t="n">
        <v>0.045</v>
      </c>
      <c r="H62" t="n">
        <v>-0.138</v>
      </c>
      <c r="I62" t="n">
        <v>0.78</v>
      </c>
      <c r="J62" t="n">
        <v>-2.5</v>
      </c>
      <c r="K62" t="n">
        <v>5.88</v>
      </c>
      <c r="L62" t="n">
        <v>30.96</v>
      </c>
    </row>
    <row r="63" ht="16" customHeight="1" s="68" thickBot="1">
      <c r="A63" t="inlineStr">
        <is>
          <t>Greece</t>
        </is>
      </c>
      <c r="B63" t="n">
        <v>189</v>
      </c>
      <c r="C63" t="n">
        <v>0.134</v>
      </c>
      <c r="D63" t="n">
        <v>0.027</v>
      </c>
      <c r="E63" t="n">
        <v>0</v>
      </c>
      <c r="F63" t="n">
        <v>0.048</v>
      </c>
      <c r="G63" t="n">
        <v>0.133</v>
      </c>
      <c r="H63" t="n">
        <v>-0.09699999999999999</v>
      </c>
      <c r="I63" t="n">
        <v>2.056</v>
      </c>
      <c r="J63" t="n">
        <v>-6.7</v>
      </c>
      <c r="K63" t="n">
        <v>1.11</v>
      </c>
      <c r="L63" t="n">
        <v>10.72</v>
      </c>
    </row>
    <row r="64">
      <c r="A64" t="inlineStr">
        <is>
          <t>Guatemala</t>
        </is>
      </c>
      <c r="B64" t="n">
        <v>78</v>
      </c>
      <c r="C64" t="n">
        <v>0.1506</v>
      </c>
      <c r="D64" t="n">
        <v/>
      </c>
      <c r="E64" t="n">
        <v>0.0175</v>
      </c>
      <c r="F64" t="n">
        <v>0.0289</v>
      </c>
      <c r="G64" t="n">
        <v>0.02</v>
      </c>
      <c r="H64" t="n">
        <v>-0.049</v>
      </c>
      <c r="I64" t="n">
        <v>0.3126</v>
      </c>
      <c r="J64" t="n">
        <v>5.5</v>
      </c>
      <c r="K64" t="n">
        <v>7.7</v>
      </c>
      <c r="L64" t="n">
        <v>17.92</v>
      </c>
    </row>
    <row r="65" ht="16" customHeight="1" s="68" thickBot="1">
      <c r="A65" t="inlineStr">
        <is>
          <t>Guinea</t>
        </is>
      </c>
      <c r="B65" t="n">
        <v>16</v>
      </c>
      <c r="C65" t="n">
        <v>0.07000000000000001</v>
      </c>
      <c r="D65" t="n">
        <v/>
      </c>
      <c r="E65" t="n">
        <v>0.115</v>
      </c>
      <c r="F65" t="n">
        <v>0.127</v>
      </c>
      <c r="G65" t="n">
        <v>0.044</v>
      </c>
      <c r="H65" t="n">
        <v>-0.031</v>
      </c>
      <c r="I65" t="n">
        <v>0.4</v>
      </c>
      <c r="J65" t="n">
        <v>-13.3</v>
      </c>
      <c r="K65" t="n">
        <v>9537</v>
      </c>
      <c r="L65" t="n">
        <v>12.56</v>
      </c>
    </row>
    <row r="66" ht="16" customHeight="1" s="68" thickBot="1">
      <c r="A66" t="inlineStr">
        <is>
          <t>Guinea Bissau</t>
        </is>
      </c>
      <c r="B66" t="n">
        <v>1</v>
      </c>
      <c r="C66" t="n">
        <v>0.068</v>
      </c>
      <c r="D66" t="n">
        <v/>
      </c>
      <c r="E66" t="n">
        <v>0.04</v>
      </c>
      <c r="F66" t="n">
        <v>0.043</v>
      </c>
      <c r="G66" t="n">
        <v>0.032</v>
      </c>
      <c r="H66" t="n">
        <v>-0.078</v>
      </c>
      <c r="I66" t="n">
        <v>0.365</v>
      </c>
      <c r="J66" t="n">
        <v>-8.6</v>
      </c>
      <c r="K66" t="n">
        <v/>
      </c>
      <c r="L66" t="n">
        <v>1.96</v>
      </c>
    </row>
    <row r="67">
      <c r="A67" t="inlineStr">
        <is>
          <t>Guyana</t>
        </is>
      </c>
      <c r="B67" t="n">
        <v>5</v>
      </c>
      <c r="C67" t="n">
        <v>0.487</v>
      </c>
      <c r="D67" t="n">
        <v/>
      </c>
      <c r="E67" t="n">
        <v>0.05</v>
      </c>
      <c r="F67" t="n">
        <v>0.0599</v>
      </c>
      <c r="G67" t="n">
        <v>0.158</v>
      </c>
      <c r="H67" t="n">
        <v>-0.053</v>
      </c>
      <c r="I67" t="n">
        <v>0.37</v>
      </c>
      <c r="J67" t="n">
        <v>-32.79</v>
      </c>
      <c r="K67" t="n">
        <v>209.34</v>
      </c>
      <c r="L67" t="n">
        <v>0.79</v>
      </c>
    </row>
    <row r="68">
      <c r="A68" t="inlineStr">
        <is>
          <t>Haiti</t>
        </is>
      </c>
      <c r="B68" t="n">
        <v>13</v>
      </c>
      <c r="C68" t="n">
        <v>-0.033</v>
      </c>
      <c r="D68" t="n">
        <v/>
      </c>
      <c r="E68" t="n">
        <v>0.17</v>
      </c>
      <c r="F68" t="n">
        <v>0.1091</v>
      </c>
      <c r="G68" t="n">
        <v>0.145</v>
      </c>
      <c r="H68" t="n">
        <v>-0.059</v>
      </c>
      <c r="I68" t="n">
        <v>0.544</v>
      </c>
      <c r="J68" t="n">
        <v>5.5</v>
      </c>
      <c r="K68" t="n">
        <v>88.70999999999999</v>
      </c>
      <c r="L68" t="n">
        <v>11.4</v>
      </c>
    </row>
    <row r="69">
      <c r="A69" t="inlineStr">
        <is>
          <t>Honduras</t>
        </is>
      </c>
      <c r="B69" t="n">
        <v>24</v>
      </c>
      <c r="C69" t="n">
        <v>0.255</v>
      </c>
      <c r="D69" t="n">
        <v>0.029</v>
      </c>
      <c r="E69" t="n">
        <v>0.03</v>
      </c>
      <c r="F69" t="n">
        <v>0.0495</v>
      </c>
      <c r="G69" t="n">
        <v>0.109</v>
      </c>
      <c r="H69" t="n">
        <v>-0.06900000000000001</v>
      </c>
      <c r="I69" t="n">
        <v>0.5486</v>
      </c>
      <c r="J69" t="n">
        <v>4</v>
      </c>
      <c r="K69" t="n">
        <v>24.6</v>
      </c>
      <c r="L69" t="n">
        <v>9.300000000000001</v>
      </c>
    </row>
    <row r="70" ht="16" customHeight="1" s="68" thickBot="1">
      <c r="A70" t="inlineStr">
        <is>
          <t>Hong Kong</t>
        </is>
      </c>
      <c r="B70" t="n">
        <v>347</v>
      </c>
      <c r="C70" t="n">
        <v>0.05400000000000001</v>
      </c>
      <c r="D70" t="n">
        <v>0.001</v>
      </c>
      <c r="E70" t="n">
        <v>0.0086</v>
      </c>
      <c r="F70" t="n">
        <v>0.018</v>
      </c>
      <c r="G70" t="n">
        <v>0.04099999999999999</v>
      </c>
      <c r="H70" t="n">
        <v>-0.12</v>
      </c>
      <c r="I70" t="n">
        <v>0.384</v>
      </c>
      <c r="J70" t="n">
        <v>6.6</v>
      </c>
      <c r="K70" t="n">
        <v>7.83</v>
      </c>
      <c r="L70" t="n">
        <v>7.47</v>
      </c>
    </row>
    <row r="71">
      <c r="A71" t="inlineStr">
        <is>
          <t>Hungary</t>
        </is>
      </c>
      <c r="B71" t="n">
        <v>155</v>
      </c>
      <c r="C71" t="n">
        <v>0.061</v>
      </c>
      <c r="D71" t="n">
        <v>0.006999999999999999</v>
      </c>
      <c r="E71" t="n">
        <v>0.024</v>
      </c>
      <c r="F71" t="n">
        <v>0.07400000000000001</v>
      </c>
      <c r="G71" t="n">
        <v>0.038</v>
      </c>
      <c r="H71" t="n">
        <v>-0.081</v>
      </c>
      <c r="I71" t="n">
        <v>0.804</v>
      </c>
      <c r="J71" t="n">
        <v>0</v>
      </c>
      <c r="K71" t="n">
        <v>302.98</v>
      </c>
      <c r="L71" t="n">
        <v>9.77</v>
      </c>
    </row>
    <row r="72" ht="16" customHeight="1" s="68" thickBot="1">
      <c r="A72" t="inlineStr">
        <is>
          <t>Iceland</t>
        </is>
      </c>
      <c r="B72" t="n">
        <v>22</v>
      </c>
      <c r="C72" t="n">
        <v>0.06</v>
      </c>
      <c r="D72" t="n">
        <v>-0.023</v>
      </c>
      <c r="E72" t="n">
        <v>0.02</v>
      </c>
      <c r="F72" t="n">
        <v>0.051</v>
      </c>
      <c r="G72" t="n">
        <v>0.042</v>
      </c>
      <c r="H72" t="n">
        <v>-0.073</v>
      </c>
      <c r="I72" t="n">
        <v>0.799</v>
      </c>
      <c r="J72" t="n">
        <v>1</v>
      </c>
      <c r="K72" t="n">
        <v>124.24</v>
      </c>
      <c r="L72" t="n">
        <v>0.36</v>
      </c>
    </row>
    <row r="73" ht="16" customHeight="1" s="68" thickBot="1">
      <c r="A73" t="inlineStr">
        <is>
          <t>India</t>
        </is>
      </c>
      <c r="B73" t="n">
        <v>2623</v>
      </c>
      <c r="C73" t="n">
        <v>0.08400000000000001</v>
      </c>
      <c r="D73" t="n">
        <v>0.127</v>
      </c>
      <c r="E73" t="n">
        <v>0.04</v>
      </c>
      <c r="F73" t="n">
        <v>0.0491</v>
      </c>
      <c r="G73" t="n">
        <v>0.06900000000000001</v>
      </c>
      <c r="H73" t="n">
        <v>-0.094</v>
      </c>
      <c r="I73" t="n">
        <v>0.7395</v>
      </c>
      <c r="J73" t="n">
        <v>0.9</v>
      </c>
      <c r="K73" t="n">
        <v>71.01000000000001</v>
      </c>
      <c r="L73" t="n">
        <v>1347.12</v>
      </c>
    </row>
    <row r="74">
      <c r="A74" t="inlineStr">
        <is>
          <t>Indonesia</t>
        </is>
      </c>
      <c r="B74" t="n">
        <v>1058</v>
      </c>
      <c r="C74" t="n">
        <v>0.0351</v>
      </c>
      <c r="D74" t="n">
        <v>0.0155</v>
      </c>
      <c r="E74" t="n">
        <v>0.035</v>
      </c>
      <c r="F74" t="n">
        <v>0.0175</v>
      </c>
      <c r="G74" t="n">
        <v>0.0649</v>
      </c>
      <c r="H74" t="n">
        <v>-0.065</v>
      </c>
      <c r="I74" t="n">
        <v>0.385</v>
      </c>
      <c r="J74" t="n">
        <v>-0.44</v>
      </c>
      <c r="K74" t="n">
        <v>14462</v>
      </c>
      <c r="L74" t="n">
        <v>270.2</v>
      </c>
    </row>
    <row r="75">
      <c r="A75" t="inlineStr">
        <is>
          <t>Iran</t>
        </is>
      </c>
      <c r="B75" t="n">
        <v>192</v>
      </c>
      <c r="C75" t="n">
        <v>-0.067</v>
      </c>
      <c r="D75" t="n">
        <v/>
      </c>
      <c r="E75" t="n">
        <v>0.18</v>
      </c>
      <c r="F75" t="n">
        <v>0.357</v>
      </c>
      <c r="G75" t="n">
        <v>0.096</v>
      </c>
      <c r="H75" t="n">
        <v>-0.095</v>
      </c>
      <c r="I75" t="n">
        <v>0.454</v>
      </c>
      <c r="J75" t="n">
        <v>-0.5</v>
      </c>
      <c r="K75" t="n">
        <v>42000</v>
      </c>
      <c r="L75" t="n">
        <v>84</v>
      </c>
    </row>
    <row r="76">
      <c r="A76" t="inlineStr">
        <is>
          <t>Iraq</t>
        </is>
      </c>
      <c r="B76" t="n">
        <v>167</v>
      </c>
      <c r="C76" t="n">
        <v>-0.109</v>
      </c>
      <c r="D76" t="n">
        <v/>
      </c>
      <c r="E76" t="n">
        <v>0.04</v>
      </c>
      <c r="F76" t="n">
        <v>0.068</v>
      </c>
      <c r="G76" t="n">
        <v>0.1374</v>
      </c>
      <c r="H76" t="n">
        <v>-0.175</v>
      </c>
      <c r="I76" t="n">
        <v>0.6829999999999999</v>
      </c>
      <c r="J76" t="n">
        <v>-12.6</v>
      </c>
      <c r="K76" t="n">
        <v>1193.81</v>
      </c>
      <c r="L76" t="n">
        <v>40.2</v>
      </c>
    </row>
    <row r="77" ht="16" customHeight="1" s="68" thickBot="1">
      <c r="A77" t="inlineStr">
        <is>
          <t>Ireland</t>
        </is>
      </c>
      <c r="B77" t="n">
        <v>426</v>
      </c>
      <c r="C77" t="n">
        <v>0.114</v>
      </c>
      <c r="D77" t="n">
        <v>0.009000000000000001</v>
      </c>
      <c r="E77" t="n">
        <v>0</v>
      </c>
      <c r="F77" t="n">
        <v>0.053</v>
      </c>
      <c r="G77" t="n">
        <v>0.052</v>
      </c>
      <c r="H77" t="n">
        <v>-0.05</v>
      </c>
      <c r="I77" t="n">
        <v>0.595</v>
      </c>
      <c r="J77" t="n">
        <v>4.6</v>
      </c>
      <c r="K77" t="n">
        <v>1.11</v>
      </c>
      <c r="L77" t="n">
        <v>4.96</v>
      </c>
    </row>
    <row r="78">
      <c r="A78" t="inlineStr">
        <is>
          <t>Israel</t>
        </is>
      </c>
      <c r="B78" t="n">
        <v>402</v>
      </c>
      <c r="C78" t="n">
        <v>0.059</v>
      </c>
      <c r="D78" t="n">
        <v>0.006</v>
      </c>
      <c r="E78" t="n">
        <v>0.001</v>
      </c>
      <c r="F78" t="n">
        <v>0.024</v>
      </c>
      <c r="G78" t="n">
        <v>0.05</v>
      </c>
      <c r="H78" t="n">
        <v>-0.117</v>
      </c>
      <c r="I78" t="n">
        <v>0.711</v>
      </c>
      <c r="J78" t="n">
        <v>4.9</v>
      </c>
      <c r="K78" t="n">
        <v>3.28</v>
      </c>
      <c r="L78" t="n">
        <v>9.289999999999999</v>
      </c>
    </row>
    <row r="79">
      <c r="A79" t="inlineStr">
        <is>
          <t>Italy</t>
        </is>
      </c>
      <c r="B79" t="n">
        <v>1886</v>
      </c>
      <c r="C79" t="n">
        <v>0.039</v>
      </c>
      <c r="D79" t="n">
        <v>0.026</v>
      </c>
      <c r="E79" t="n">
        <v>0</v>
      </c>
      <c r="F79" t="n">
        <v>0.03700000000000001</v>
      </c>
      <c r="G79" t="n">
        <v>0.094</v>
      </c>
      <c r="H79" t="n">
        <v>-0.095</v>
      </c>
      <c r="I79" t="n">
        <v>1.558</v>
      </c>
      <c r="J79" t="n">
        <v>3.6</v>
      </c>
      <c r="K79" t="n">
        <v>1.11</v>
      </c>
      <c r="L79" t="n">
        <v>59.64</v>
      </c>
    </row>
    <row r="80" ht="16" customHeight="1" s="68" thickBot="1">
      <c r="A80" t="inlineStr">
        <is>
          <t>Ivory Coast</t>
        </is>
      </c>
      <c r="B80" t="n">
        <v>61</v>
      </c>
      <c r="C80" t="n">
        <v>0.081</v>
      </c>
      <c r="D80" t="n">
        <v/>
      </c>
      <c r="E80" t="n">
        <v>0.04</v>
      </c>
      <c r="F80" t="n">
        <v>0.045</v>
      </c>
      <c r="G80" t="n">
        <v>0.035</v>
      </c>
      <c r="H80" t="n">
        <v>-0.055</v>
      </c>
      <c r="I80" t="n">
        <v>0.3</v>
      </c>
      <c r="J80" t="n">
        <v>-3.7</v>
      </c>
      <c r="K80" t="n">
        <v>588.96</v>
      </c>
      <c r="L80" t="n">
        <v>26.37</v>
      </c>
    </row>
    <row r="81" ht="16" customHeight="1" s="68" thickBot="1">
      <c r="A81" t="inlineStr">
        <is>
          <t>Jamaica</t>
        </is>
      </c>
      <c r="B81" t="n">
        <v>14</v>
      </c>
      <c r="C81" t="n">
        <v>0.142</v>
      </c>
      <c r="D81" t="n">
        <v>0.024</v>
      </c>
      <c r="E81" t="n">
        <v>0.025</v>
      </c>
      <c r="F81" t="n">
        <v>0.08500000000000001</v>
      </c>
      <c r="G81" t="n">
        <v>0.08500000000000001</v>
      </c>
      <c r="H81" t="n">
        <v>-0.039</v>
      </c>
      <c r="I81" t="n">
        <v>1.101</v>
      </c>
      <c r="J81" t="n">
        <v>0.2</v>
      </c>
      <c r="K81" t="n">
        <v>133.91</v>
      </c>
      <c r="L81" t="n">
        <v>2.96</v>
      </c>
    </row>
    <row r="82" ht="16" customHeight="1" s="68" thickBot="1">
      <c r="A82" t="inlineStr">
        <is>
          <t>Japan</t>
        </is>
      </c>
      <c r="B82" t="n">
        <v>4975</v>
      </c>
      <c r="C82" t="n">
        <v>0.014</v>
      </c>
      <c r="D82" t="n">
        <v>-0.009000000000000001</v>
      </c>
      <c r="E82" t="n">
        <v>-0.001</v>
      </c>
      <c r="F82" t="n">
        <v>0.001</v>
      </c>
      <c r="G82" t="n">
        <v>0.027</v>
      </c>
      <c r="H82" t="n">
        <v>-0.126</v>
      </c>
      <c r="I82" t="n">
        <v>2.662</v>
      </c>
      <c r="J82" t="n">
        <v>3.2</v>
      </c>
      <c r="K82" t="n">
        <v>108.19</v>
      </c>
      <c r="L82" t="n">
        <v>125.67</v>
      </c>
    </row>
    <row r="83">
      <c r="A83" t="inlineStr">
        <is>
          <t>Jordan</t>
        </is>
      </c>
      <c r="B83" t="n">
        <v>44</v>
      </c>
      <c r="C83" t="n">
        <v>0.032</v>
      </c>
      <c r="D83" t="n">
        <v/>
      </c>
      <c r="E83" t="n">
        <v>0.025</v>
      </c>
      <c r="F83" t="n">
        <v>0.017</v>
      </c>
      <c r="G83" t="n">
        <v>0.232</v>
      </c>
      <c r="H83" t="n">
        <v>-0.07000000000000001</v>
      </c>
      <c r="I83" t="n">
        <v>0.924</v>
      </c>
      <c r="J83" t="n">
        <v>-8</v>
      </c>
      <c r="K83" t="n">
        <v>0.71</v>
      </c>
      <c r="L83" t="n">
        <v>10.86</v>
      </c>
    </row>
    <row r="84">
      <c r="A84" t="inlineStr">
        <is>
          <t>Kazakhstan</t>
        </is>
      </c>
      <c r="B84" t="n">
        <v>170</v>
      </c>
      <c r="C84" t="n">
        <v>0.035</v>
      </c>
      <c r="D84" t="n">
        <v>0.0126</v>
      </c>
      <c r="E84" t="n">
        <v>0.0975</v>
      </c>
      <c r="F84" t="n">
        <v>0.08699999999999999</v>
      </c>
      <c r="G84" t="n">
        <v>0.049</v>
      </c>
      <c r="H84" t="n">
        <v>-0.04</v>
      </c>
      <c r="I84" t="n">
        <v>0.234</v>
      </c>
      <c r="J84" t="n">
        <v>-3.7</v>
      </c>
      <c r="K84" t="n">
        <v>427.38</v>
      </c>
      <c r="L84" t="n">
        <v>18.88</v>
      </c>
    </row>
    <row r="85">
      <c r="A85" t="inlineStr">
        <is>
          <t>Kenya</t>
        </is>
      </c>
      <c r="B85" t="n">
        <v>99</v>
      </c>
      <c r="C85" t="n">
        <v>0.101</v>
      </c>
      <c r="D85" t="n">
        <v>0.0201</v>
      </c>
      <c r="E85" t="n">
        <v>0.07000000000000001</v>
      </c>
      <c r="F85" t="n">
        <v>0.058</v>
      </c>
      <c r="G85" t="n">
        <v>0.066</v>
      </c>
      <c r="H85" t="n">
        <v>-0.078</v>
      </c>
      <c r="I85" t="n">
        <v>0.6559999999999999</v>
      </c>
      <c r="J85" t="n">
        <v>-4.8</v>
      </c>
      <c r="K85" t="n">
        <v>107.9</v>
      </c>
      <c r="L85" t="n">
        <v>53.7</v>
      </c>
    </row>
    <row r="86">
      <c r="A86" t="inlineStr">
        <is>
          <t>Kosovo</t>
        </is>
      </c>
      <c r="B86" t="n">
        <v>8</v>
      </c>
      <c r="C86" t="n">
        <v>0.1628</v>
      </c>
      <c r="D86" t="n">
        <v/>
      </c>
      <c r="E86" t="n">
        <v/>
      </c>
      <c r="F86" t="n">
        <v>0.06900000000000001</v>
      </c>
      <c r="G86" t="n">
        <v>0.258</v>
      </c>
      <c r="H86" t="n">
        <v>-0.099</v>
      </c>
      <c r="I86" t="n">
        <v>0.218</v>
      </c>
      <c r="J86" t="n">
        <v>-7.2</v>
      </c>
      <c r="K86" t="n">
        <v>462.8</v>
      </c>
      <c r="L86" t="n">
        <v>1.78</v>
      </c>
    </row>
    <row r="87">
      <c r="A87" t="inlineStr">
        <is>
          <t>Kuwait</t>
        </is>
      </c>
      <c r="B87" t="n">
        <v>136</v>
      </c>
      <c r="C87" t="n">
        <v>-0.112</v>
      </c>
      <c r="D87" t="n">
        <v>0.047</v>
      </c>
      <c r="E87" t="n">
        <v>0.015</v>
      </c>
      <c r="F87" t="n">
        <v>0.0336</v>
      </c>
      <c r="G87" t="n">
        <v>0.023</v>
      </c>
      <c r="H87" t="n">
        <v>-0.094</v>
      </c>
      <c r="I87" t="n">
        <v>0.115</v>
      </c>
      <c r="J87" t="n">
        <v>0.8</v>
      </c>
      <c r="K87" t="n">
        <v>0.3</v>
      </c>
      <c r="L87" t="n">
        <v>4.27</v>
      </c>
    </row>
    <row r="88">
      <c r="A88" t="inlineStr">
        <is>
          <t>Kyrgyzstan</t>
        </is>
      </c>
      <c r="B88" t="n">
        <v>8</v>
      </c>
      <c r="C88" t="n">
        <v>0.001</v>
      </c>
      <c r="D88" t="n">
        <v/>
      </c>
      <c r="E88" t="n">
        <v>0.08</v>
      </c>
      <c r="F88" t="n">
        <v>0.123</v>
      </c>
      <c r="G88" t="n">
        <v>0.031</v>
      </c>
      <c r="H88" t="n">
        <v>0.008</v>
      </c>
      <c r="I88" t="n">
        <v>0.6809999999999999</v>
      </c>
      <c r="J88" t="n">
        <v>4.3</v>
      </c>
      <c r="K88" t="n">
        <v>69.98999999999999</v>
      </c>
      <c r="L88" t="n">
        <v>6.64</v>
      </c>
    </row>
    <row r="89" ht="16" customHeight="1" s="68" thickBot="1">
      <c r="A89" t="inlineStr">
        <is>
          <t>Laos</t>
        </is>
      </c>
      <c r="B89" t="n">
        <v>19</v>
      </c>
      <c r="C89" t="n">
        <v>0.004</v>
      </c>
      <c r="D89" t="n">
        <v/>
      </c>
      <c r="E89" t="n">
        <v>0.03</v>
      </c>
      <c r="F89" t="n">
        <v>0.0472</v>
      </c>
      <c r="G89" t="n">
        <v>0.01</v>
      </c>
      <c r="H89" t="n">
        <v>-0.0522</v>
      </c>
      <c r="I89" t="n">
        <v>0.5566</v>
      </c>
      <c r="J89" t="n">
        <v>-0.6</v>
      </c>
      <c r="K89" t="n">
        <v>9485</v>
      </c>
      <c r="L89" t="n">
        <v>7.3</v>
      </c>
    </row>
    <row r="90">
      <c r="A90" t="inlineStr">
        <is>
          <t>Latvia</t>
        </is>
      </c>
      <c r="B90" t="n">
        <v>34</v>
      </c>
      <c r="C90" t="n">
        <v>0.051</v>
      </c>
      <c r="D90" t="n">
        <v>0.006</v>
      </c>
      <c r="E90" t="n">
        <v>0</v>
      </c>
      <c r="F90" t="n">
        <v>0.075</v>
      </c>
      <c r="G90" t="n">
        <v>0.07200000000000001</v>
      </c>
      <c r="H90" t="n">
        <v>-0.045</v>
      </c>
      <c r="I90" t="n">
        <v>0.435</v>
      </c>
      <c r="J90" t="n">
        <v>3</v>
      </c>
      <c r="K90" t="n">
        <v>1.11</v>
      </c>
      <c r="L90" t="n">
        <v>1.91</v>
      </c>
    </row>
    <row r="91">
      <c r="A91" t="inlineStr">
        <is>
          <t>Lebanon</t>
        </is>
      </c>
      <c r="B91" t="n">
        <v>33</v>
      </c>
      <c r="C91" t="n">
        <v>-0.203</v>
      </c>
      <c r="D91" t="n">
        <v/>
      </c>
      <c r="E91" t="n">
        <v>0.1</v>
      </c>
      <c r="F91" t="n">
        <v>2.0107</v>
      </c>
      <c r="G91" t="n">
        <v>0.066</v>
      </c>
      <c r="H91" t="n">
        <v>-0.165</v>
      </c>
      <c r="I91" t="n">
        <v>1.717</v>
      </c>
      <c r="J91" t="n">
        <v>-22.2</v>
      </c>
      <c r="K91" t="n">
        <v>1512</v>
      </c>
      <c r="L91" t="n">
        <v>6.8</v>
      </c>
    </row>
    <row r="92" ht="16" customHeight="1" s="68" thickBot="1">
      <c r="A92" t="inlineStr">
        <is>
          <t>Lesotho</t>
        </is>
      </c>
      <c r="B92" t="n">
        <v>2</v>
      </c>
      <c r="C92" t="n">
        <v>0.127</v>
      </c>
      <c r="D92" t="n">
        <v>0.0164</v>
      </c>
      <c r="E92" t="n">
        <v>0.035</v>
      </c>
      <c r="F92" t="n">
        <v>0.05400000000000001</v>
      </c>
      <c r="G92" t="n">
        <v>0.247</v>
      </c>
      <c r="H92" t="n">
        <v>-0.028</v>
      </c>
      <c r="I92" t="n">
        <v>0.696</v>
      </c>
      <c r="J92" t="n">
        <v>-2.1</v>
      </c>
      <c r="K92" t="n">
        <v>14.36</v>
      </c>
      <c r="L92" t="n">
        <v>2.14</v>
      </c>
    </row>
    <row r="93" ht="16" customHeight="1" s="68" thickBot="1">
      <c r="A93" t="inlineStr">
        <is>
          <t>Liberia</t>
        </is>
      </c>
      <c r="B93" t="n">
        <v>3</v>
      </c>
      <c r="C93" t="n">
        <v>-0.03</v>
      </c>
      <c r="D93" t="n">
        <v/>
      </c>
      <c r="E93" t="n">
        <v>0.2</v>
      </c>
      <c r="F93" t="n">
        <v>0.07000000000000001</v>
      </c>
      <c r="G93" t="n">
        <v>0.027</v>
      </c>
      <c r="H93" t="n">
        <v>-0.03</v>
      </c>
      <c r="I93" t="n">
        <v>0.521</v>
      </c>
      <c r="J93" t="n">
        <v>-17.8</v>
      </c>
      <c r="K93" t="n">
        <v>186.3</v>
      </c>
      <c r="L93" t="n">
        <v>5.57</v>
      </c>
    </row>
    <row r="94">
      <c r="A94" t="inlineStr">
        <is>
          <t>Libya</t>
        </is>
      </c>
      <c r="B94" t="n">
        <v>25</v>
      </c>
      <c r="C94" t="n">
        <v>-0.603</v>
      </c>
      <c r="D94" t="n">
        <v/>
      </c>
      <c r="E94" t="n">
        <v>0.03</v>
      </c>
      <c r="F94" t="n">
        <v>0.0208</v>
      </c>
      <c r="G94" t="n">
        <v>0.1863</v>
      </c>
      <c r="H94" t="n">
        <v>-1.03</v>
      </c>
      <c r="I94" t="n">
        <v>1.55</v>
      </c>
      <c r="J94" t="n">
        <v>9.300000000000001</v>
      </c>
      <c r="K94" t="n">
        <v>1.39</v>
      </c>
      <c r="L94" t="n">
        <v>6.87</v>
      </c>
    </row>
    <row r="95" ht="16" customHeight="1" s="68" thickBot="1">
      <c r="A95" t="inlineStr">
        <is>
          <t>Liechtenstein</t>
        </is>
      </c>
      <c r="B95" t="n">
        <v>7</v>
      </c>
      <c r="C95" t="n">
        <v>-0.006999999999999999</v>
      </c>
      <c r="D95" t="n">
        <v/>
      </c>
      <c r="E95" t="n">
        <v/>
      </c>
      <c r="F95" t="n">
        <v>0.009000000000000001</v>
      </c>
      <c r="G95" t="n">
        <v>0.019</v>
      </c>
      <c r="H95" t="n">
        <v/>
      </c>
      <c r="I95" t="n">
        <v/>
      </c>
      <c r="J95" t="n">
        <v/>
      </c>
      <c r="K95" t="n">
        <v>0.92</v>
      </c>
      <c r="L95" t="n">
        <v>0.04</v>
      </c>
    </row>
    <row r="96">
      <c r="A96" t="inlineStr">
        <is>
          <t>Lithuania</t>
        </is>
      </c>
      <c r="B96" t="n">
        <v>56</v>
      </c>
      <c r="C96" t="n">
        <v>0.047</v>
      </c>
      <c r="D96" t="n">
        <v>-0.0003</v>
      </c>
      <c r="E96" t="n">
        <v>0</v>
      </c>
      <c r="F96" t="n">
        <v>0.092</v>
      </c>
      <c r="G96" t="n">
        <v>0.109</v>
      </c>
      <c r="H96" t="n">
        <v>-0.07400000000000001</v>
      </c>
      <c r="I96" t="n">
        <v>0.473</v>
      </c>
      <c r="J96" t="n">
        <v>8.300000000000001</v>
      </c>
      <c r="K96" t="n">
        <v>1.11</v>
      </c>
      <c r="L96" t="n">
        <v>2.79</v>
      </c>
    </row>
    <row r="97">
      <c r="A97" t="inlineStr">
        <is>
          <t>Luxembourg</t>
        </is>
      </c>
      <c r="B97" t="n">
        <v>73</v>
      </c>
      <c r="C97" t="n">
        <v>0.053</v>
      </c>
      <c r="D97" t="n">
        <v>0.009000000000000001</v>
      </c>
      <c r="E97" t="n">
        <v>0</v>
      </c>
      <c r="F97" t="n">
        <v>0.045</v>
      </c>
      <c r="G97" t="n">
        <v>0.053</v>
      </c>
      <c r="H97" t="n">
        <v>-0.04099999999999999</v>
      </c>
      <c r="I97" t="n">
        <v>0.249</v>
      </c>
      <c r="J97" t="n">
        <v>4.3</v>
      </c>
      <c r="K97" t="n">
        <v>1.11</v>
      </c>
      <c r="L97" t="n">
        <v>0.63</v>
      </c>
    </row>
    <row r="98">
      <c r="A98" t="inlineStr">
        <is>
          <t>Macau</t>
        </is>
      </c>
      <c r="B98" t="n">
        <v>55</v>
      </c>
      <c r="C98" t="n">
        <v>0.329</v>
      </c>
      <c r="D98" t="n">
        <v/>
      </c>
      <c r="E98" t="n">
        <v>0.005</v>
      </c>
      <c r="F98" t="n">
        <v>0.0121</v>
      </c>
      <c r="G98" t="n">
        <v>0.028</v>
      </c>
      <c r="H98" t="n">
        <v/>
      </c>
      <c r="I98" t="n">
        <v/>
      </c>
      <c r="J98" t="n">
        <v>33.6</v>
      </c>
      <c r="K98" t="n">
        <v>8.029999999999999</v>
      </c>
      <c r="L98" t="n">
        <v>0.68</v>
      </c>
    </row>
    <row r="99">
      <c r="A99" t="inlineStr">
        <is>
          <t>Macedonia</t>
        </is>
      </c>
      <c r="B99" t="n">
        <v>12</v>
      </c>
      <c r="C99" t="n">
        <v>0.03</v>
      </c>
      <c r="D99" t="n">
        <v>0.039</v>
      </c>
      <c r="E99" t="n">
        <v>0.0125</v>
      </c>
      <c r="F99" t="n">
        <v>0.048</v>
      </c>
      <c r="G99" t="n">
        <v>0.157</v>
      </c>
      <c r="H99" t="n">
        <v>-0.081</v>
      </c>
      <c r="I99" t="n">
        <v>0.512</v>
      </c>
      <c r="J99" t="n">
        <v>-3.5</v>
      </c>
      <c r="K99" t="n">
        <v>51.93</v>
      </c>
      <c r="L99" t="n">
        <v>2.08</v>
      </c>
    </row>
    <row r="100">
      <c r="A100" t="inlineStr">
        <is>
          <t>Madagascar</t>
        </is>
      </c>
      <c r="B100" t="n">
        <v>14</v>
      </c>
      <c r="C100" t="n">
        <v>-0.04</v>
      </c>
      <c r="D100" t="n">
        <v/>
      </c>
      <c r="E100" t="n">
        <v>0.095</v>
      </c>
      <c r="F100" t="n">
        <v>0.0629</v>
      </c>
      <c r="G100" t="n">
        <v>0.019</v>
      </c>
      <c r="H100" t="n">
        <v>-0.063</v>
      </c>
      <c r="I100" t="n">
        <v>0.448</v>
      </c>
      <c r="J100" t="n">
        <v>-3.5</v>
      </c>
      <c r="K100" t="n">
        <v>3680.5</v>
      </c>
      <c r="L100" t="n">
        <v>27.69</v>
      </c>
    </row>
    <row r="101" ht="16" customHeight="1" s="68" thickBot="1">
      <c r="A101" t="inlineStr">
        <is>
          <t>Malawi</t>
        </is>
      </c>
      <c r="B101" t="n">
        <v>12</v>
      </c>
      <c r="C101" t="n">
        <v>0.009000000000000001</v>
      </c>
      <c r="D101" t="n">
        <v/>
      </c>
      <c r="E101" t="n">
        <v>0.12</v>
      </c>
      <c r="F101" t="n">
        <v>0.111</v>
      </c>
      <c r="G101" t="n">
        <v>0.06</v>
      </c>
      <c r="H101" t="n">
        <v>-0.057</v>
      </c>
      <c r="I101" t="n">
        <v>0.507</v>
      </c>
      <c r="J101" t="n">
        <v>-12.7</v>
      </c>
      <c r="K101" t="n">
        <v>734.11</v>
      </c>
      <c r="L101" t="n">
        <v>19.13</v>
      </c>
    </row>
    <row r="102">
      <c r="A102" t="inlineStr">
        <is>
          <t>Malaysia</t>
        </is>
      </c>
      <c r="B102" t="n">
        <v>337</v>
      </c>
      <c r="C102" t="n">
        <v>-0.045</v>
      </c>
      <c r="D102" t="n">
        <v>-0.036</v>
      </c>
      <c r="E102" t="n">
        <v>0.0175</v>
      </c>
      <c r="F102" t="n">
        <v>0.033</v>
      </c>
      <c r="G102" t="n">
        <v>0.043</v>
      </c>
      <c r="H102" t="n">
        <v>-0.032</v>
      </c>
      <c r="I102" t="n">
        <v>0.607</v>
      </c>
      <c r="J102" t="n">
        <v>1</v>
      </c>
      <c r="K102" t="n">
        <v>4.19</v>
      </c>
      <c r="L102" t="n">
        <v>32.73</v>
      </c>
    </row>
    <row r="103" ht="16" customHeight="1" s="68" thickBot="1">
      <c r="A103" t="inlineStr">
        <is>
          <t>Maldives</t>
        </is>
      </c>
      <c r="B103" t="n">
        <v>4</v>
      </c>
      <c r="C103" t="n">
        <v>-0.08599999999999999</v>
      </c>
      <c r="D103" t="n">
        <v/>
      </c>
      <c r="E103" t="n">
        <v>0.07000000000000001</v>
      </c>
      <c r="F103" t="n">
        <v>-0.002</v>
      </c>
      <c r="G103" t="n">
        <v>0.064</v>
      </c>
      <c r="H103" t="n">
        <v>-0.275</v>
      </c>
      <c r="I103" t="n">
        <v>0.526</v>
      </c>
      <c r="J103" t="n">
        <v>-29.2</v>
      </c>
      <c r="K103" t="n">
        <v>15.46</v>
      </c>
      <c r="L103" t="n">
        <v>0.5600000000000001</v>
      </c>
    </row>
    <row r="104">
      <c r="A104" t="inlineStr">
        <is>
          <t>Mali</t>
        </is>
      </c>
      <c r="B104" t="n">
        <v>17</v>
      </c>
      <c r="C104" t="n">
        <v>0.063</v>
      </c>
      <c r="D104" t="n">
        <v/>
      </c>
      <c r="E104" t="n">
        <v>0.04</v>
      </c>
      <c r="F104" t="n">
        <v>0.029</v>
      </c>
      <c r="G104" t="n">
        <v>0.075</v>
      </c>
      <c r="H104" t="n">
        <v>-0.061</v>
      </c>
      <c r="I104" t="n">
        <v/>
      </c>
      <c r="J104" t="n">
        <v>-1.7</v>
      </c>
      <c r="K104" t="n">
        <v>588.96</v>
      </c>
      <c r="L104" t="n">
        <v>20.25</v>
      </c>
    </row>
    <row r="105">
      <c r="A105" t="inlineStr">
        <is>
          <t>Malta</t>
        </is>
      </c>
      <c r="B105" t="n">
        <v>15</v>
      </c>
      <c r="C105" t="n">
        <v>0.09699999999999999</v>
      </c>
      <c r="D105" t="n">
        <v>-0.005</v>
      </c>
      <c r="E105" t="n">
        <v>0</v>
      </c>
      <c r="F105" t="n">
        <v>0.024</v>
      </c>
      <c r="G105" t="n">
        <v>0.036</v>
      </c>
      <c r="H105" t="n">
        <v>-0.101</v>
      </c>
      <c r="I105" t="n">
        <v>0.5429999999999999</v>
      </c>
      <c r="J105" t="n">
        <v>-4</v>
      </c>
      <c r="K105" t="n">
        <v>1.11</v>
      </c>
      <c r="L105" t="n">
        <v>0.51</v>
      </c>
    </row>
    <row r="106">
      <c r="A106" t="inlineStr">
        <is>
          <t>Mauritania</t>
        </is>
      </c>
      <c r="B106" t="n">
        <v>8</v>
      </c>
      <c r="C106" t="n">
        <v>-0.036</v>
      </c>
      <c r="D106" t="n">
        <v/>
      </c>
      <c r="E106" t="n">
        <v>0.05</v>
      </c>
      <c r="F106" t="n">
        <v>0.047</v>
      </c>
      <c r="G106" t="n">
        <v>0.107</v>
      </c>
      <c r="H106" t="n">
        <v>0.022</v>
      </c>
      <c r="I106" t="n">
        <v>0.531</v>
      </c>
      <c r="J106" t="n">
        <v>-7</v>
      </c>
      <c r="K106" t="n">
        <v>357.3</v>
      </c>
      <c r="L106" t="n">
        <v>4.65</v>
      </c>
    </row>
    <row r="107">
      <c r="A107" t="inlineStr">
        <is>
          <t>Mauritius</t>
        </is>
      </c>
      <c r="B107" t="n">
        <v>11</v>
      </c>
      <c r="C107" t="n">
        <v>0.188</v>
      </c>
      <c r="D107" t="n">
        <v>-0.09</v>
      </c>
      <c r="E107" t="n">
        <v>0.0185</v>
      </c>
      <c r="F107" t="n">
        <v>0.064</v>
      </c>
      <c r="G107" t="n">
        <v>0.105</v>
      </c>
      <c r="H107" t="n">
        <v>-0.136</v>
      </c>
      <c r="I107" t="n">
        <v>0.7340000000000001</v>
      </c>
      <c r="J107" t="n">
        <v>-10.1</v>
      </c>
      <c r="K107" t="n">
        <v>42.9</v>
      </c>
      <c r="L107" t="n">
        <v>1.27</v>
      </c>
    </row>
    <row r="108" ht="16" customHeight="1" s="68" thickBot="1">
      <c r="A108" t="inlineStr">
        <is>
          <t>Mexico</t>
        </is>
      </c>
      <c r="B108" t="n">
        <v>1076</v>
      </c>
      <c r="C108" t="n">
        <v>0.045</v>
      </c>
      <c r="D108" t="n">
        <v>-0.004</v>
      </c>
      <c r="E108" t="n">
        <v>0.055</v>
      </c>
      <c r="F108" t="n">
        <v>0.0737</v>
      </c>
      <c r="G108" t="n">
        <v>0.039</v>
      </c>
      <c r="H108" t="n">
        <v>-0.046</v>
      </c>
      <c r="I108" t="n">
        <v>0.521</v>
      </c>
      <c r="J108" t="n">
        <v>2.4</v>
      </c>
      <c r="K108" t="n">
        <v>19.36</v>
      </c>
      <c r="L108" t="n">
        <v>126.01</v>
      </c>
    </row>
    <row r="109">
      <c r="A109" t="inlineStr">
        <is>
          <t>Moldova</t>
        </is>
      </c>
      <c r="B109" t="n">
        <v>12</v>
      </c>
      <c r="C109" t="n">
        <v>0.083</v>
      </c>
      <c r="D109" t="n">
        <v>-0.033</v>
      </c>
      <c r="E109" t="n">
        <v>0.065</v>
      </c>
      <c r="F109" t="n">
        <v>0.1244</v>
      </c>
      <c r="G109" t="n">
        <v>0.025</v>
      </c>
      <c r="H109" t="n">
        <v>-0.08</v>
      </c>
      <c r="I109" t="n">
        <v>0.329</v>
      </c>
      <c r="J109" t="n">
        <v>-6.7</v>
      </c>
      <c r="K109" t="n">
        <v>17.97</v>
      </c>
      <c r="L109" t="n">
        <v>2.61</v>
      </c>
    </row>
    <row r="110" ht="16" customHeight="1" s="68" thickBot="1">
      <c r="A110" t="inlineStr">
        <is>
          <t>Monaco</t>
        </is>
      </c>
      <c r="B110" t="n">
        <v>8</v>
      </c>
      <c r="C110" t="n">
        <v>0.075</v>
      </c>
      <c r="D110" t="n">
        <v/>
      </c>
      <c r="E110" t="n">
        <v/>
      </c>
      <c r="F110" t="n">
        <v/>
      </c>
      <c r="G110" t="n">
        <v/>
      </c>
      <c r="H110" t="n">
        <v/>
      </c>
      <c r="I110" t="n">
        <v/>
      </c>
      <c r="J110" t="n">
        <v/>
      </c>
      <c r="K110" t="n">
        <v>1.11</v>
      </c>
      <c r="L110" t="n">
        <v>0.04</v>
      </c>
    </row>
    <row r="111">
      <c r="A111" t="inlineStr">
        <is>
          <t>Mongolia</t>
        </is>
      </c>
      <c r="B111" t="n">
        <v>13</v>
      </c>
      <c r="C111" t="n">
        <v>0.036</v>
      </c>
      <c r="D111" t="n">
        <v>0.061</v>
      </c>
      <c r="E111" t="n">
        <v>0.06</v>
      </c>
      <c r="F111" t="n">
        <v>0.105</v>
      </c>
      <c r="G111" t="n">
        <v>0.08400000000000001</v>
      </c>
      <c r="H111" t="n">
        <v>-0.115</v>
      </c>
      <c r="I111" t="n">
        <v>0.66</v>
      </c>
      <c r="J111" t="n">
        <v>-12.3</v>
      </c>
      <c r="K111" t="n">
        <v>2728</v>
      </c>
      <c r="L111" t="n">
        <v>3.27</v>
      </c>
    </row>
    <row r="112">
      <c r="A112" t="inlineStr">
        <is>
          <t>Montenegro</t>
        </is>
      </c>
      <c r="B112" t="n">
        <v>5</v>
      </c>
      <c r="C112" t="n">
        <v>0.258</v>
      </c>
      <c r="D112" t="n">
        <v/>
      </c>
      <c r="E112" t="n">
        <v/>
      </c>
      <c r="F112" t="n">
        <v>0.044</v>
      </c>
      <c r="G112" t="n">
        <v>0.2381</v>
      </c>
      <c r="H112" t="n">
        <v>-0.101</v>
      </c>
      <c r="I112" t="n">
        <v>1.0328</v>
      </c>
      <c r="J112" t="n">
        <v>-25.9</v>
      </c>
      <c r="K112" t="n">
        <v>1.11</v>
      </c>
      <c r="L112" t="n">
        <v>0.62</v>
      </c>
    </row>
    <row r="113" ht="16" customHeight="1" s="68" thickBot="1">
      <c r="A113" t="inlineStr">
        <is>
          <t>Morocco</t>
        </is>
      </c>
      <c r="B113" t="n">
        <v>113</v>
      </c>
      <c r="C113" t="n">
        <v>0.152</v>
      </c>
      <c r="D113" t="n">
        <v>0.011</v>
      </c>
      <c r="E113" t="n">
        <v>0.015</v>
      </c>
      <c r="F113" t="n">
        <v>0.026</v>
      </c>
      <c r="G113" t="n">
        <v>0.118</v>
      </c>
      <c r="H113" t="n">
        <v>-0.076</v>
      </c>
      <c r="I113" t="n">
        <v>0.764</v>
      </c>
      <c r="J113" t="n">
        <v>-1.5</v>
      </c>
      <c r="K113" t="n">
        <v>8.960000000000001</v>
      </c>
      <c r="L113" t="n">
        <v>35.95</v>
      </c>
    </row>
    <row r="114" ht="16" customHeight="1" s="68" thickBot="1">
      <c r="A114" t="inlineStr">
        <is>
          <t>Mozambique</t>
        </is>
      </c>
      <c r="B114" t="n">
        <v>14</v>
      </c>
      <c r="C114" t="n">
        <v>0.0336</v>
      </c>
      <c r="D114" t="n">
        <v>0.02</v>
      </c>
      <c r="E114" t="n">
        <v>0.1325</v>
      </c>
      <c r="F114" t="n">
        <v>0.0677</v>
      </c>
      <c r="G114" t="n">
        <v>0.2504</v>
      </c>
      <c r="H114" t="n">
        <v>-0.117</v>
      </c>
      <c r="I114" t="n">
        <v>1.22</v>
      </c>
      <c r="J114" t="n">
        <v>-30.8</v>
      </c>
      <c r="K114" t="n">
        <v>63</v>
      </c>
      <c r="L114" t="n">
        <v>30.83</v>
      </c>
    </row>
    <row r="115">
      <c r="A115" t="inlineStr">
        <is>
          <t>Myanmar</t>
        </is>
      </c>
      <c r="B115" t="n">
        <v>76</v>
      </c>
      <c r="C115" t="n">
        <v>-0.1</v>
      </c>
      <c r="D115" t="n">
        <v/>
      </c>
      <c r="E115" t="n">
        <v>0.07000000000000001</v>
      </c>
      <c r="F115" t="n">
        <v>0.06509999999999999</v>
      </c>
      <c r="G115" t="n">
        <v>0.0179</v>
      </c>
      <c r="H115" t="n">
        <v>-0.05599999999999999</v>
      </c>
      <c r="I115" t="n">
        <v>0.424</v>
      </c>
      <c r="J115" t="n">
        <v>-4</v>
      </c>
      <c r="K115" t="n">
        <v>1500</v>
      </c>
      <c r="L115" t="n">
        <v>54.53</v>
      </c>
    </row>
    <row r="116" ht="16" customHeight="1" s="68" thickBot="1">
      <c r="A116" t="inlineStr">
        <is>
          <t>Namibia</t>
        </is>
      </c>
      <c r="B116" t="n">
        <v>11</v>
      </c>
      <c r="C116" t="n">
        <v>0.024</v>
      </c>
      <c r="D116" t="n">
        <v>-0.0139</v>
      </c>
      <c r="E116" t="n">
        <v>0.0375</v>
      </c>
      <c r="F116" t="n">
        <v>0.04099999999999999</v>
      </c>
      <c r="G116" t="n">
        <v>0.334</v>
      </c>
      <c r="H116" t="n">
        <v>-0.095</v>
      </c>
      <c r="I116" t="n">
        <v>0.696</v>
      </c>
      <c r="J116" t="n">
        <v>1.9</v>
      </c>
      <c r="K116" t="n">
        <v>14.72</v>
      </c>
      <c r="L116" t="n">
        <v>2.5</v>
      </c>
    </row>
    <row r="117" ht="16" customHeight="1" s="68" thickBot="1">
      <c r="A117" t="inlineStr">
        <is>
          <t>Nepal</t>
        </is>
      </c>
      <c r="B117" t="n">
        <v>34</v>
      </c>
      <c r="C117" t="n">
        <v>0.04</v>
      </c>
      <c r="D117" t="n">
        <v/>
      </c>
      <c r="E117" t="n">
        <v>0.05</v>
      </c>
      <c r="F117" t="n">
        <v>0.0532</v>
      </c>
      <c r="G117" t="n">
        <v>0.0444</v>
      </c>
      <c r="H117" t="n">
        <v>-0.05400000000000001</v>
      </c>
      <c r="I117" t="n">
        <v>0.377</v>
      </c>
      <c r="J117" t="n">
        <v>-0.9</v>
      </c>
      <c r="K117" t="n">
        <v>113.59</v>
      </c>
      <c r="L117" t="n">
        <v>29.13</v>
      </c>
    </row>
    <row r="118" ht="16" customHeight="1" s="68" thickBot="1">
      <c r="A118" t="inlineStr">
        <is>
          <t>Netherlands</t>
        </is>
      </c>
      <c r="B118" t="n">
        <v>914</v>
      </c>
      <c r="C118" t="n">
        <v>0.05</v>
      </c>
      <c r="D118" t="n">
        <v>0.019</v>
      </c>
      <c r="E118" t="n">
        <v>0</v>
      </c>
      <c r="F118" t="n">
        <v>0.052</v>
      </c>
      <c r="G118" t="n">
        <v>0.027</v>
      </c>
      <c r="H118" t="n">
        <v>-0.043</v>
      </c>
      <c r="I118" t="n">
        <v>0.545</v>
      </c>
      <c r="J118" t="n">
        <v>7.8</v>
      </c>
      <c r="K118" t="n">
        <v>1.11</v>
      </c>
      <c r="L118" t="n">
        <v>17.41</v>
      </c>
    </row>
    <row r="119" ht="16" customHeight="1" s="68" thickBot="1">
      <c r="A119" t="inlineStr">
        <is>
          <t>New Caledonia</t>
        </is>
      </c>
      <c r="B119" t="n">
        <v>10</v>
      </c>
      <c r="C119" t="n">
        <v>-0.012</v>
      </c>
      <c r="D119" t="n">
        <v/>
      </c>
      <c r="E119" t="n">
        <v>0.0025</v>
      </c>
      <c r="F119" t="n">
        <v>0.0063</v>
      </c>
      <c r="G119" t="n">
        <v>0.165</v>
      </c>
      <c r="H119" t="n">
        <v/>
      </c>
      <c r="I119" t="n">
        <v/>
      </c>
      <c r="J119" t="n">
        <v/>
      </c>
      <c r="K119" t="n">
        <v>107</v>
      </c>
      <c r="L119" t="n">
        <v>0.27</v>
      </c>
    </row>
    <row r="120" ht="16" customHeight="1" s="68" thickBot="1">
      <c r="A120" t="inlineStr">
        <is>
          <t>New Zealand</t>
        </is>
      </c>
      <c r="B120" t="n">
        <v>211</v>
      </c>
      <c r="C120" t="n">
        <v>-0.003</v>
      </c>
      <c r="D120" t="n">
        <v>-0.03700000000000001</v>
      </c>
      <c r="E120" t="n">
        <v>0.0075</v>
      </c>
      <c r="F120" t="n">
        <v>0.049</v>
      </c>
      <c r="G120" t="n">
        <v>0.034</v>
      </c>
      <c r="H120" t="n">
        <v>-0.013</v>
      </c>
      <c r="I120" t="n">
        <v>0.301</v>
      </c>
      <c r="J120" t="n">
        <v>-2.7</v>
      </c>
      <c r="K120" t="n">
        <v>0.63</v>
      </c>
      <c r="L120" t="n">
        <v>5.11</v>
      </c>
    </row>
    <row r="121" ht="16" customHeight="1" s="68" thickBot="1">
      <c r="A121" t="inlineStr">
        <is>
          <t>Nicaragua</t>
        </is>
      </c>
      <c r="B121" t="n">
        <v>13</v>
      </c>
      <c r="C121" t="n">
        <v>0.167</v>
      </c>
      <c r="D121" t="n">
        <v/>
      </c>
      <c r="E121" t="n">
        <v>0.0862</v>
      </c>
      <c r="F121" t="n">
        <v>0.0641</v>
      </c>
      <c r="G121" t="n">
        <v>0.049</v>
      </c>
      <c r="H121" t="n">
        <v>-0.01</v>
      </c>
      <c r="I121" t="n">
        <v>0.648</v>
      </c>
      <c r="J121" t="n">
        <v>7.6</v>
      </c>
      <c r="K121" t="n">
        <v>33.47</v>
      </c>
      <c r="L121" t="n">
        <v>6.67</v>
      </c>
    </row>
    <row r="122" ht="16" customHeight="1" s="68" thickBot="1">
      <c r="A122" t="inlineStr">
        <is>
          <t>Niger</t>
        </is>
      </c>
      <c r="B122" t="n">
        <v>14</v>
      </c>
      <c r="C122" t="n">
        <v>0.06900000000000001</v>
      </c>
      <c r="D122" t="n">
        <v/>
      </c>
      <c r="E122" t="n">
        <v>0.04</v>
      </c>
      <c r="F122" t="n">
        <v>0.0361</v>
      </c>
      <c r="G122" t="n">
        <v>0.006999999999999999</v>
      </c>
      <c r="H122" t="n">
        <v>-0.057</v>
      </c>
      <c r="I122" t="n">
        <v>0.398</v>
      </c>
      <c r="J122" t="n">
        <v>-12</v>
      </c>
      <c r="K122" t="n">
        <v>588.96</v>
      </c>
      <c r="L122" t="n">
        <v>24.2</v>
      </c>
    </row>
    <row r="123">
      <c r="A123" t="inlineStr">
        <is>
          <t>Nigeria</t>
        </is>
      </c>
      <c r="B123" t="n">
        <v>432</v>
      </c>
      <c r="C123" t="n">
        <v>0.04</v>
      </c>
      <c r="D123" t="n">
        <v>0.111</v>
      </c>
      <c r="E123" t="n">
        <v>0.115</v>
      </c>
      <c r="F123" t="n">
        <v>0.154</v>
      </c>
      <c r="G123" t="n">
        <v>0.333</v>
      </c>
      <c r="H123" t="n">
        <v>-0.038</v>
      </c>
      <c r="I123" t="n">
        <v>0.3497999999999999</v>
      </c>
      <c r="J123" t="n">
        <v>-4.2</v>
      </c>
      <c r="K123" t="n">
        <v>411</v>
      </c>
      <c r="L123" t="n">
        <v>206.14</v>
      </c>
    </row>
    <row r="124" ht="16" customHeight="1" s="68" thickBot="1">
      <c r="A124" t="inlineStr">
        <is>
          <t>Norway</t>
        </is>
      </c>
      <c r="B124" t="n">
        <v>363</v>
      </c>
      <c r="C124" t="n">
        <v>0.051</v>
      </c>
      <c r="D124" t="n">
        <v>0.038</v>
      </c>
      <c r="E124" t="n">
        <v>0.005</v>
      </c>
      <c r="F124" t="n">
        <v>0.051</v>
      </c>
      <c r="G124" t="n">
        <v>0.042</v>
      </c>
      <c r="H124" t="n">
        <v>-0.034</v>
      </c>
      <c r="I124" t="n">
        <v>0.46</v>
      </c>
      <c r="J124" t="n">
        <v>2</v>
      </c>
      <c r="K124" t="n">
        <v>8.93</v>
      </c>
      <c r="L124" t="n">
        <v>5.37</v>
      </c>
    </row>
    <row r="125" ht="16" customHeight="1" s="68" thickBot="1">
      <c r="A125" t="inlineStr">
        <is>
          <t>Oman</t>
        </is>
      </c>
      <c r="B125" t="n">
        <v>76</v>
      </c>
      <c r="C125" t="n">
        <v>-0.063</v>
      </c>
      <c r="D125" t="n">
        <v/>
      </c>
      <c r="E125" t="n">
        <v>0.005</v>
      </c>
      <c r="F125" t="n">
        <v>0.0356</v>
      </c>
      <c r="G125" t="n">
        <v>0.05</v>
      </c>
      <c r="H125" t="n">
        <v>-0.07000000000000001</v>
      </c>
      <c r="I125" t="n">
        <v>0.5589999999999999</v>
      </c>
      <c r="J125" t="n">
        <v>-5.2</v>
      </c>
      <c r="K125" t="n">
        <v>0.38</v>
      </c>
      <c r="L125" t="n">
        <v>4.5</v>
      </c>
    </row>
    <row r="126" ht="16" customHeight="1" s="68" thickBot="1">
      <c r="A126" t="inlineStr">
        <is>
          <t>Pakistan</t>
        </is>
      </c>
      <c r="B126" t="n">
        <v>264</v>
      </c>
      <c r="C126" t="n">
        <v>0.0394</v>
      </c>
      <c r="D126" t="n">
        <v>0.0579</v>
      </c>
      <c r="E126" t="n">
        <v>0.0975</v>
      </c>
      <c r="F126" t="n">
        <v>0.115</v>
      </c>
      <c r="G126" t="n">
        <v>0.044</v>
      </c>
      <c r="H126" t="n">
        <v>-0.081</v>
      </c>
      <c r="I126" t="n">
        <v>0.87</v>
      </c>
      <c r="J126" t="n">
        <v>-0.6</v>
      </c>
      <c r="K126" t="n">
        <v>159</v>
      </c>
      <c r="L126" t="n">
        <v>221</v>
      </c>
    </row>
    <row r="127">
      <c r="A127" t="inlineStr">
        <is>
          <t>Palestine</t>
        </is>
      </c>
      <c r="B127" t="n">
        <v>16</v>
      </c>
      <c r="C127" t="n">
        <v>0.19</v>
      </c>
      <c r="D127" t="n">
        <v/>
      </c>
      <c r="E127" t="n">
        <v/>
      </c>
      <c r="F127" t="n">
        <v>0.0138</v>
      </c>
      <c r="G127" t="n">
        <v>0.27</v>
      </c>
      <c r="H127" t="n">
        <v>-0.005</v>
      </c>
      <c r="I127" t="n">
        <v>0.164</v>
      </c>
      <c r="J127" t="n">
        <v>-6.9</v>
      </c>
      <c r="K127" t="n">
        <v/>
      </c>
      <c r="L127" t="n">
        <v>5.1</v>
      </c>
    </row>
    <row r="128" ht="16" customHeight="1" s="68" thickBot="1">
      <c r="A128" t="inlineStr">
        <is>
          <t>Panama</t>
        </is>
      </c>
      <c r="B128" t="n">
        <v>53</v>
      </c>
      <c r="C128" t="n">
        <v>0.255</v>
      </c>
      <c r="D128" t="n">
        <v/>
      </c>
      <c r="E128" t="n">
        <v>0.0136</v>
      </c>
      <c r="F128" t="n">
        <v>0.0336</v>
      </c>
      <c r="G128" t="n">
        <v>0.185</v>
      </c>
      <c r="H128" t="n">
        <v>-0.09230000000000001</v>
      </c>
      <c r="I128" t="n">
        <v>0.6981999999999999</v>
      </c>
      <c r="J128" t="n">
        <v>2.3</v>
      </c>
      <c r="K128" t="n">
        <v>1</v>
      </c>
      <c r="L128" t="n">
        <v>4.3</v>
      </c>
    </row>
    <row r="129">
      <c r="A129" t="inlineStr">
        <is>
          <t>Papua New Guinea</t>
        </is>
      </c>
      <c r="B129" t="n">
        <v>24</v>
      </c>
      <c r="C129" t="n">
        <v>-0.038</v>
      </c>
      <c r="D129" t="n">
        <v/>
      </c>
      <c r="E129" t="n">
        <v>0.03</v>
      </c>
      <c r="F129" t="n">
        <v>0.0331</v>
      </c>
      <c r="G129" t="n">
        <v>0.027</v>
      </c>
      <c r="H129" t="n">
        <v>-0.081</v>
      </c>
      <c r="I129" t="n">
        <v>0.489</v>
      </c>
      <c r="J129" t="n">
        <v>16.9</v>
      </c>
      <c r="K129" t="n">
        <v>3.41</v>
      </c>
      <c r="L129" t="n">
        <v>8.949999999999999</v>
      </c>
    </row>
    <row r="130">
      <c r="A130" t="inlineStr">
        <is>
          <t>Paraguay</t>
        </is>
      </c>
      <c r="B130" t="n">
        <v>35</v>
      </c>
      <c r="C130" t="n">
        <v>0.06900000000000001</v>
      </c>
      <c r="D130" t="n">
        <v>0</v>
      </c>
      <c r="E130" t="n">
        <v>0.0525</v>
      </c>
      <c r="F130" t="n">
        <v>0.07400000000000001</v>
      </c>
      <c r="G130" t="n">
        <v>0.08599999999999999</v>
      </c>
      <c r="H130" t="n">
        <v>-0.073</v>
      </c>
      <c r="I130" t="n">
        <v>0.339</v>
      </c>
      <c r="J130" t="n">
        <v>2.2</v>
      </c>
      <c r="K130" t="n">
        <v>6838.31</v>
      </c>
      <c r="L130" t="n">
        <v>7.25</v>
      </c>
    </row>
    <row r="131" ht="16" customHeight="1" s="68" thickBot="1">
      <c r="A131" t="inlineStr">
        <is>
          <t>Peru</t>
        </is>
      </c>
      <c r="B131" t="n">
        <v>202</v>
      </c>
      <c r="C131" t="n">
        <v>0.114</v>
      </c>
      <c r="D131" t="n">
        <v>0.028</v>
      </c>
      <c r="E131" t="n">
        <v>0.025</v>
      </c>
      <c r="F131" t="n">
        <v>0.0566</v>
      </c>
      <c r="G131" t="n">
        <v>0.091</v>
      </c>
      <c r="H131" t="n">
        <v>-0.08900000000000001</v>
      </c>
      <c r="I131" t="n">
        <v>0.354</v>
      </c>
      <c r="J131" t="n">
        <v>0.7</v>
      </c>
      <c r="K131" t="n">
        <v>3.96</v>
      </c>
      <c r="L131" t="n">
        <v>32.63</v>
      </c>
    </row>
    <row r="132">
      <c r="A132" t="inlineStr">
        <is>
          <t>Philippines</t>
        </is>
      </c>
      <c r="B132" t="n">
        <v>361</v>
      </c>
      <c r="C132" t="n">
        <v>0.07099999999999999</v>
      </c>
      <c r="D132" t="n">
        <v>0.038</v>
      </c>
      <c r="E132" t="n">
        <v>0.02</v>
      </c>
      <c r="F132" t="n">
        <v>0.042</v>
      </c>
      <c r="G132" t="n">
        <v>0.07400000000000001</v>
      </c>
      <c r="H132" t="n">
        <v>-0.075</v>
      </c>
      <c r="I132" t="n">
        <v>0.535</v>
      </c>
      <c r="J132" t="n">
        <v>3.6</v>
      </c>
      <c r="K132" t="n">
        <v>50.07</v>
      </c>
      <c r="L132" t="n">
        <v>109.6</v>
      </c>
    </row>
    <row r="133">
      <c r="A133" t="inlineStr">
        <is>
          <t>Poland</t>
        </is>
      </c>
      <c r="B133" t="n">
        <v>594</v>
      </c>
      <c r="C133" t="n">
        <v>0.053</v>
      </c>
      <c r="D133" t="n">
        <v>0.023</v>
      </c>
      <c r="E133" t="n">
        <v>0.0175</v>
      </c>
      <c r="F133" t="n">
        <v>0.078</v>
      </c>
      <c r="G133" t="n">
        <v>0.055</v>
      </c>
      <c r="H133" t="n">
        <v>-0.07000000000000001</v>
      </c>
      <c r="I133" t="n">
        <v>0.575</v>
      </c>
      <c r="J133" t="n">
        <v>3.6</v>
      </c>
      <c r="K133" t="n">
        <v>3.89</v>
      </c>
      <c r="L133" t="n">
        <v>37.96</v>
      </c>
    </row>
    <row r="134">
      <c r="A134" t="inlineStr">
        <is>
          <t>Portugal</t>
        </is>
      </c>
      <c r="B134" t="n">
        <v>231</v>
      </c>
      <c r="C134" t="n">
        <v>0.042</v>
      </c>
      <c r="D134" t="n">
        <v>0.029</v>
      </c>
      <c r="E134" t="n">
        <v>0</v>
      </c>
      <c r="F134" t="n">
        <v>0.026</v>
      </c>
      <c r="G134" t="n">
        <v>0.061</v>
      </c>
      <c r="H134" t="n">
        <v>-0.057</v>
      </c>
      <c r="I134" t="n">
        <v>1.336</v>
      </c>
      <c r="J134" t="n">
        <v>-1.2</v>
      </c>
      <c r="K134" t="n">
        <v>1.11</v>
      </c>
      <c r="L134" t="n">
        <v>10.3</v>
      </c>
    </row>
    <row r="135">
      <c r="A135" t="inlineStr">
        <is>
          <t>Puerto Rico</t>
        </is>
      </c>
      <c r="B135" t="n">
        <v>103</v>
      </c>
      <c r="C135" t="n">
        <v>-0.032</v>
      </c>
      <c r="D135" t="n">
        <v/>
      </c>
      <c r="E135" t="n">
        <v/>
      </c>
      <c r="F135" t="n">
        <v>0.035</v>
      </c>
      <c r="G135" t="n">
        <v>0.07200000000000001</v>
      </c>
      <c r="H135" t="n">
        <v/>
      </c>
      <c r="I135" t="n">
        <v/>
      </c>
      <c r="J135" t="n">
        <v/>
      </c>
      <c r="K135" t="n">
        <v>98.56</v>
      </c>
      <c r="L135" t="n">
        <v>3.19</v>
      </c>
    </row>
    <row r="136" ht="16" customHeight="1" s="68" thickBot="1">
      <c r="A136" t="inlineStr">
        <is>
          <t>Qatar</t>
        </is>
      </c>
      <c r="B136" t="n">
        <v>146</v>
      </c>
      <c r="C136" t="n">
        <v>0.04</v>
      </c>
      <c r="D136" t="n">
        <v>-0.003</v>
      </c>
      <c r="E136" t="n">
        <v>0.025</v>
      </c>
      <c r="F136" t="n">
        <v>0.0609</v>
      </c>
      <c r="G136" t="n">
        <v>0.001</v>
      </c>
      <c r="H136" t="n">
        <v>-0.021</v>
      </c>
      <c r="I136" t="n">
        <v>0.718</v>
      </c>
      <c r="J136" t="n">
        <v>-2.5</v>
      </c>
      <c r="K136" t="n">
        <v>3.7</v>
      </c>
      <c r="L136" t="n">
        <v>2.88</v>
      </c>
    </row>
    <row r="137">
      <c r="A137" t="inlineStr">
        <is>
          <t>Republicofthe Congo</t>
        </is>
      </c>
      <c r="B137" t="n">
        <v>11</v>
      </c>
      <c r="C137" t="n">
        <v>-0.079</v>
      </c>
      <c r="D137" t="n">
        <v/>
      </c>
      <c r="E137" t="n">
        <v>0.0325</v>
      </c>
      <c r="F137" t="n">
        <v>0.011</v>
      </c>
      <c r="G137" t="n">
        <v>0.103</v>
      </c>
      <c r="H137" t="n">
        <v>-0.02</v>
      </c>
      <c r="I137" t="n">
        <v>1.0168</v>
      </c>
      <c r="J137" t="n">
        <v>8.199999999999999</v>
      </c>
      <c r="K137" t="n">
        <v>551.3200000000001</v>
      </c>
      <c r="L137" t="n">
        <v>5.52</v>
      </c>
    </row>
    <row r="138" ht="16" customHeight="1" s="68" thickBot="1">
      <c r="A138" t="inlineStr">
        <is>
          <t>Romania</t>
        </is>
      </c>
      <c r="B138" t="n">
        <v>249</v>
      </c>
      <c r="C138" t="n">
        <v>0.07400000000000001</v>
      </c>
      <c r="D138" t="n">
        <v>0.004</v>
      </c>
      <c r="E138" t="n">
        <v>0.0175</v>
      </c>
      <c r="F138" t="n">
        <v>0.078</v>
      </c>
      <c r="G138" t="n">
        <v>0.053</v>
      </c>
      <c r="H138" t="n">
        <v>-0.092</v>
      </c>
      <c r="I138" t="n">
        <v>0.473</v>
      </c>
      <c r="J138" t="n">
        <v>-5.1</v>
      </c>
      <c r="K138" t="n">
        <v>4.18</v>
      </c>
      <c r="L138" t="n">
        <v>19.33</v>
      </c>
    </row>
    <row r="139" ht="16" customHeight="1" s="68" thickBot="1">
      <c r="A139" t="inlineStr">
        <is>
          <t>Russia</t>
        </is>
      </c>
      <c r="B139" t="n">
        <v>1484</v>
      </c>
      <c r="C139" t="n">
        <v>0.043</v>
      </c>
      <c r="D139" t="n">
        <v>-0.008</v>
      </c>
      <c r="E139" t="n">
        <v>0.08500000000000001</v>
      </c>
      <c r="F139" t="n">
        <v>0.08400000000000001</v>
      </c>
      <c r="G139" t="n">
        <v>0.043</v>
      </c>
      <c r="H139" t="n">
        <v>-0.038</v>
      </c>
      <c r="I139" t="n">
        <v>0.178</v>
      </c>
      <c r="J139" t="n">
        <v>2.4</v>
      </c>
      <c r="K139" t="n">
        <v>64.34999999999999</v>
      </c>
      <c r="L139" t="n">
        <v>146.2</v>
      </c>
    </row>
    <row r="140">
      <c r="A140" t="inlineStr">
        <is>
          <t>Rwanda</t>
        </is>
      </c>
      <c r="B140" t="n">
        <v>10</v>
      </c>
      <c r="C140" t="n">
        <v>0.101</v>
      </c>
      <c r="D140" t="n">
        <v>0.012</v>
      </c>
      <c r="E140" t="n">
        <v>0.045</v>
      </c>
      <c r="F140" t="n">
        <v>-0.034</v>
      </c>
      <c r="G140" t="n">
        <v>0.235</v>
      </c>
      <c r="H140" t="n">
        <v>-0.083</v>
      </c>
      <c r="I140" t="n">
        <v>0.61</v>
      </c>
      <c r="J140" t="n">
        <v>-10</v>
      </c>
      <c r="K140" t="n">
        <v>934.59</v>
      </c>
      <c r="L140" t="n">
        <v>12.66</v>
      </c>
    </row>
    <row r="141">
      <c r="A141" t="inlineStr">
        <is>
          <t>Sao Tomeand Principe</t>
        </is>
      </c>
      <c r="B141" t="n">
        <v>0</v>
      </c>
      <c r="C141" t="n">
        <v>-0.064</v>
      </c>
      <c r="D141" t="n">
        <v/>
      </c>
      <c r="E141" t="n">
        <v>0.09</v>
      </c>
      <c r="F141" t="n">
        <v>0.08400000000000001</v>
      </c>
      <c r="G141" t="n">
        <v>0.139</v>
      </c>
      <c r="H141" t="n">
        <v>-0.05</v>
      </c>
      <c r="I141" t="n">
        <v>1.03</v>
      </c>
      <c r="J141" t="n">
        <v>-9.300000000000001</v>
      </c>
      <c r="K141" t="n">
        <v>20.8</v>
      </c>
      <c r="L141" t="n">
        <v>0.21</v>
      </c>
    </row>
    <row r="142">
      <c r="A142" t="inlineStr">
        <is>
          <t>Saudi Arabia</t>
        </is>
      </c>
      <c r="B142" t="n">
        <v>700</v>
      </c>
      <c r="C142" t="n">
        <v>0.07000000000000001</v>
      </c>
      <c r="D142" t="n">
        <v>0.057</v>
      </c>
      <c r="E142" t="n">
        <v>0.01</v>
      </c>
      <c r="F142" t="n">
        <v>0.011</v>
      </c>
      <c r="G142" t="n">
        <v>0.066</v>
      </c>
      <c r="H142" t="n">
        <v>-0.112</v>
      </c>
      <c r="I142" t="n">
        <v>0.325</v>
      </c>
      <c r="J142" t="n">
        <v>-2.8</v>
      </c>
      <c r="K142" t="n">
        <v>3.75</v>
      </c>
      <c r="L142" t="n">
        <v>35</v>
      </c>
    </row>
    <row r="143">
      <c r="A143" t="inlineStr">
        <is>
          <t>Senegal</t>
        </is>
      </c>
      <c r="B143" t="n">
        <v>25</v>
      </c>
      <c r="C143" t="n">
        <v>0.109</v>
      </c>
      <c r="D143" t="n">
        <v>0.009000000000000001</v>
      </c>
      <c r="E143" t="n">
        <v>0.04</v>
      </c>
      <c r="F143" t="n">
        <v>0.03</v>
      </c>
      <c r="G143" t="n">
        <v>0.226</v>
      </c>
      <c r="H143" t="n">
        <v>-0.06</v>
      </c>
      <c r="I143" t="n">
        <v>0.477</v>
      </c>
      <c r="J143" t="n">
        <v>-10.3</v>
      </c>
      <c r="K143" t="n">
        <v>588.96</v>
      </c>
      <c r="L143" t="n">
        <v>16.7</v>
      </c>
    </row>
    <row r="144">
      <c r="A144" t="inlineStr">
        <is>
          <t>Serbia</t>
        </is>
      </c>
      <c r="B144" t="n">
        <v>53</v>
      </c>
      <c r="C144" t="n">
        <v>0.077</v>
      </c>
      <c r="D144" t="n">
        <v>0.016</v>
      </c>
      <c r="E144" t="n">
        <v>0.01</v>
      </c>
      <c r="F144" t="n">
        <v>0.075</v>
      </c>
      <c r="G144" t="n">
        <v>0.105</v>
      </c>
      <c r="H144" t="n">
        <v>-0.08400000000000001</v>
      </c>
      <c r="I144" t="n">
        <v>0.574</v>
      </c>
      <c r="J144" t="n">
        <v>-4.3</v>
      </c>
      <c r="K144" t="n">
        <v>105.49</v>
      </c>
      <c r="L144" t="n">
        <v>6.93</v>
      </c>
    </row>
    <row r="145" ht="16" customHeight="1" s="68" thickBot="1">
      <c r="A145" t="inlineStr">
        <is>
          <t>Seychelles</t>
        </is>
      </c>
      <c r="B145" t="n">
        <v>1</v>
      </c>
      <c r="C145" t="n">
        <v>0.143</v>
      </c>
      <c r="D145" t="n">
        <v/>
      </c>
      <c r="E145" t="n">
        <v>0.02</v>
      </c>
      <c r="F145" t="n">
        <v>0.09369999999999999</v>
      </c>
      <c r="G145" t="n">
        <v>0.04</v>
      </c>
      <c r="H145" t="n">
        <v>-0.191</v>
      </c>
      <c r="I145" t="n">
        <v>0.9399999999999999</v>
      </c>
      <c r="J145" t="n">
        <v>-27.4</v>
      </c>
      <c r="K145" t="n">
        <v>13.7</v>
      </c>
      <c r="L145" t="n">
        <v>0.1</v>
      </c>
    </row>
    <row r="146" ht="16" customHeight="1" s="68" thickBot="1">
      <c r="A146" t="inlineStr">
        <is>
          <t>Sierra Leone</t>
        </is>
      </c>
      <c r="B146" t="n">
        <v>4</v>
      </c>
      <c r="C146" t="n">
        <v>-0.027</v>
      </c>
      <c r="D146" t="n">
        <v/>
      </c>
      <c r="E146" t="n">
        <v>0.14</v>
      </c>
      <c r="F146" t="n">
        <v>0.1455</v>
      </c>
      <c r="G146" t="n">
        <v>0.046</v>
      </c>
      <c r="H146" t="n">
        <v>-0.057</v>
      </c>
      <c r="I146" t="n">
        <v>0.7190000000000001</v>
      </c>
      <c r="J146" t="n">
        <v>-15.6</v>
      </c>
      <c r="K146" t="n">
        <v>9800</v>
      </c>
      <c r="L146" t="n">
        <v>7.98</v>
      </c>
    </row>
    <row r="147" ht="16" customHeight="1" s="68" thickBot="1">
      <c r="A147" t="inlineStr">
        <is>
          <t>Singapore</t>
        </is>
      </c>
      <c r="B147" t="n">
        <v>340</v>
      </c>
      <c r="C147" t="n">
        <v>0.07099999999999999</v>
      </c>
      <c r="D147" t="n">
        <v>0.013</v>
      </c>
      <c r="E147" t="n">
        <v>0.0022</v>
      </c>
      <c r="F147" t="n">
        <v>0.032</v>
      </c>
      <c r="G147" t="n">
        <v>0.026</v>
      </c>
      <c r="H147" t="n">
        <v>-0.139</v>
      </c>
      <c r="I147" t="n">
        <v>1.31</v>
      </c>
      <c r="J147" t="n">
        <v>17.6</v>
      </c>
      <c r="K147" t="n">
        <v>1.37</v>
      </c>
      <c r="L147" t="n">
        <v>5.7</v>
      </c>
    </row>
    <row r="148" ht="16" customHeight="1" s="68" thickBot="1">
      <c r="A148" t="inlineStr">
        <is>
          <t>Slovakia</t>
        </is>
      </c>
      <c r="B148" t="n">
        <v>105</v>
      </c>
      <c r="C148" t="n">
        <v>0.013</v>
      </c>
      <c r="D148" t="n">
        <v>0.004</v>
      </c>
      <c r="E148" t="n">
        <v>0</v>
      </c>
      <c r="F148" t="n">
        <v>0.05599999999999999</v>
      </c>
      <c r="G148" t="n">
        <v>0.066</v>
      </c>
      <c r="H148" t="n">
        <v>-0.062</v>
      </c>
      <c r="I148" t="n">
        <v>0.606</v>
      </c>
      <c r="J148" t="n">
        <v>-0.4</v>
      </c>
      <c r="K148" t="n">
        <v>1.11</v>
      </c>
      <c r="L148" t="n">
        <v>5.46</v>
      </c>
    </row>
    <row r="149">
      <c r="A149" t="inlineStr">
        <is>
          <t>Slovenia</t>
        </is>
      </c>
      <c r="B149" t="n">
        <v>54</v>
      </c>
      <c r="C149" t="n">
        <v>0.05</v>
      </c>
      <c r="D149" t="n">
        <v>0.013</v>
      </c>
      <c r="E149" t="n">
        <v>0</v>
      </c>
      <c r="F149" t="n">
        <v>0.046</v>
      </c>
      <c r="G149" t="n">
        <v>0.068</v>
      </c>
      <c r="H149" t="n">
        <v>-0.08400000000000001</v>
      </c>
      <c r="I149" t="n">
        <v>0.8079999999999999</v>
      </c>
      <c r="J149" t="n">
        <v>7.1</v>
      </c>
      <c r="K149" t="n">
        <v>1.11</v>
      </c>
      <c r="L149" t="n">
        <v>2.1</v>
      </c>
    </row>
    <row r="150" ht="16" customHeight="1" s="68" thickBot="1">
      <c r="A150" t="inlineStr">
        <is>
          <t>Somalia</t>
        </is>
      </c>
      <c r="B150" t="n">
        <v>5</v>
      </c>
      <c r="C150" t="n">
        <v>-0.015</v>
      </c>
      <c r="D150" t="n">
        <v/>
      </c>
      <c r="E150" t="n">
        <v/>
      </c>
      <c r="F150" t="n">
        <v>0.0503</v>
      </c>
      <c r="G150" t="n">
        <v/>
      </c>
      <c r="H150" t="n">
        <v/>
      </c>
      <c r="I150" t="n">
        <v/>
      </c>
      <c r="J150" t="n">
        <v/>
      </c>
      <c r="K150" t="n">
        <v>578.5</v>
      </c>
      <c r="L150" t="n">
        <v>15.89</v>
      </c>
    </row>
    <row r="151" ht="16" customHeight="1" s="68" thickBot="1">
      <c r="A151" t="inlineStr">
        <is>
          <t>South Africa</t>
        </is>
      </c>
      <c r="B151" t="n">
        <v>302</v>
      </c>
      <c r="C151" t="n">
        <v>0.029</v>
      </c>
      <c r="D151" t="n">
        <v>-0.015</v>
      </c>
      <c r="E151" t="n">
        <v>0.0375</v>
      </c>
      <c r="F151" t="n">
        <v>0.055</v>
      </c>
      <c r="G151" t="n">
        <v>0.349</v>
      </c>
      <c r="H151" t="n">
        <v>-0.1</v>
      </c>
      <c r="I151" t="n">
        <v>0.8029999999999999</v>
      </c>
      <c r="J151" t="n">
        <v>2.2</v>
      </c>
      <c r="K151" t="n">
        <v>14.73</v>
      </c>
      <c r="L151" t="n">
        <v>59.3</v>
      </c>
    </row>
    <row r="152" ht="16" customHeight="1" s="68" thickBot="1">
      <c r="A152" t="inlineStr">
        <is>
          <t>South Korea</t>
        </is>
      </c>
      <c r="B152" t="n">
        <v>1631</v>
      </c>
      <c r="C152" t="n">
        <v>0.04</v>
      </c>
      <c r="D152" t="n">
        <v>0.003</v>
      </c>
      <c r="E152" t="n">
        <v>0.01</v>
      </c>
      <c r="F152" t="n">
        <v>0.03700000000000001</v>
      </c>
      <c r="G152" t="n">
        <v>0.031</v>
      </c>
      <c r="H152" t="n">
        <v>-0.061</v>
      </c>
      <c r="I152" t="n">
        <v>0.426</v>
      </c>
      <c r="J152" t="n">
        <v>3.5</v>
      </c>
      <c r="K152" t="n">
        <v>1145.85</v>
      </c>
      <c r="L152" t="n">
        <v>51.78</v>
      </c>
    </row>
    <row r="153" ht="16" customHeight="1" s="68" thickBot="1">
      <c r="A153" t="inlineStr">
        <is>
          <t>South Sudan</t>
        </is>
      </c>
      <c r="B153" t="n">
        <v>1</v>
      </c>
      <c r="C153" t="n">
        <v>-0.036</v>
      </c>
      <c r="D153" t="n">
        <v/>
      </c>
      <c r="E153" t="n">
        <v>0.15</v>
      </c>
      <c r="F153" t="n">
        <v>0.0581</v>
      </c>
      <c r="G153" t="n">
        <v>0.127</v>
      </c>
      <c r="H153" t="n">
        <v/>
      </c>
      <c r="I153" t="n">
        <v/>
      </c>
      <c r="J153" t="n">
        <v/>
      </c>
      <c r="K153" t="n">
        <v>175.31</v>
      </c>
      <c r="L153" t="n">
        <v>11.19</v>
      </c>
    </row>
    <row r="154" ht="16" customHeight="1" s="68" thickBot="1">
      <c r="A154" t="inlineStr">
        <is>
          <t>Spain</t>
        </is>
      </c>
      <c r="B154" t="n">
        <v>1281</v>
      </c>
      <c r="C154" t="n">
        <v>0.027</v>
      </c>
      <c r="D154" t="n">
        <v>0.02</v>
      </c>
      <c r="E154" t="n">
        <v>0</v>
      </c>
      <c r="F154" t="n">
        <v>0.055</v>
      </c>
      <c r="G154" t="n">
        <v>0.1457</v>
      </c>
      <c r="H154" t="n">
        <v>-0.11</v>
      </c>
      <c r="I154" t="n">
        <v>1.2</v>
      </c>
      <c r="J154" t="n">
        <v>0.7</v>
      </c>
      <c r="K154" t="n">
        <v>1.11</v>
      </c>
      <c r="L154" t="n">
        <v>47.33</v>
      </c>
    </row>
    <row r="155" ht="16" customHeight="1" s="68" thickBot="1">
      <c r="A155" t="inlineStr">
        <is>
          <t>Sri Lanka</t>
        </is>
      </c>
      <c r="B155" t="n">
        <v>81</v>
      </c>
      <c r="C155" t="n">
        <v>-0.015</v>
      </c>
      <c r="D155" t="n">
        <v>0.014</v>
      </c>
      <c r="E155" t="n">
        <v>0.05</v>
      </c>
      <c r="F155" t="n">
        <v>0.099</v>
      </c>
      <c r="G155" t="n">
        <v>0.051</v>
      </c>
      <c r="H155" t="n">
        <v>-0.111</v>
      </c>
      <c r="I155" t="n">
        <v>1.01</v>
      </c>
      <c r="J155" t="n">
        <v>-1.3</v>
      </c>
      <c r="K155" t="n">
        <v>199</v>
      </c>
      <c r="L155" t="n">
        <v>21.92</v>
      </c>
    </row>
    <row r="156" ht="16" customHeight="1" s="68" thickBot="1">
      <c r="A156" t="inlineStr">
        <is>
          <t>Sudan</t>
        </is>
      </c>
      <c r="B156" t="n">
        <v>26</v>
      </c>
      <c r="C156" t="n">
        <v>-0.08400000000000001</v>
      </c>
      <c r="D156" t="n">
        <v/>
      </c>
      <c r="E156" t="n">
        <v>0.171</v>
      </c>
      <c r="F156" t="n">
        <v>3.396</v>
      </c>
      <c r="G156" t="n">
        <v>0.177</v>
      </c>
      <c r="H156" t="n">
        <v>-0.124</v>
      </c>
      <c r="I156" t="n">
        <v>2.594</v>
      </c>
      <c r="J156" t="n">
        <v>-12.6</v>
      </c>
      <c r="K156" t="n">
        <v>45.11</v>
      </c>
      <c r="L156" t="n">
        <v>43.85</v>
      </c>
    </row>
    <row r="157" ht="16" customHeight="1" s="68" thickBot="1">
      <c r="A157" t="inlineStr">
        <is>
          <t>Suriname</t>
        </is>
      </c>
      <c r="B157" t="n">
        <v>4</v>
      </c>
      <c r="C157" t="n">
        <v>-0.134</v>
      </c>
      <c r="D157" t="n">
        <v/>
      </c>
      <c r="E157" t="n">
        <v>0.1</v>
      </c>
      <c r="F157" t="n">
        <v>0.695</v>
      </c>
      <c r="G157" t="n">
        <v>0.112</v>
      </c>
      <c r="H157" t="n">
        <v>-0.129</v>
      </c>
      <c r="I157" t="n">
        <v>1.114</v>
      </c>
      <c r="J157" t="n">
        <v>11.4</v>
      </c>
      <c r="K157" t="n">
        <v>7.46</v>
      </c>
      <c r="L157" t="n">
        <v>0.59</v>
      </c>
    </row>
    <row r="158" ht="16" customHeight="1" s="68" thickBot="1">
      <c r="A158" t="inlineStr">
        <is>
          <t>Swaziland</t>
        </is>
      </c>
      <c r="B158" t="n">
        <v>4</v>
      </c>
      <c r="C158" t="n">
        <v>-0.024</v>
      </c>
      <c r="D158" t="n">
        <v/>
      </c>
      <c r="E158" t="n">
        <v>0.0375</v>
      </c>
      <c r="F158" t="n">
        <v>0.033</v>
      </c>
      <c r="G158" t="n">
        <v>0.234</v>
      </c>
      <c r="H158" t="n">
        <v>-0.046</v>
      </c>
      <c r="I158" t="n">
        <v>0.1549</v>
      </c>
      <c r="J158" t="n">
        <v>7</v>
      </c>
      <c r="K158" t="n">
        <v>14.36</v>
      </c>
      <c r="L158" t="n">
        <v>1.16</v>
      </c>
    </row>
    <row r="159" ht="16" customHeight="1" s="68" thickBot="1">
      <c r="A159" t="inlineStr">
        <is>
          <t>Sweden</t>
        </is>
      </c>
      <c r="B159" t="n">
        <v>541</v>
      </c>
      <c r="C159" t="n">
        <v>0.047</v>
      </c>
      <c r="D159" t="n">
        <v>0.02</v>
      </c>
      <c r="E159" t="n">
        <v>0</v>
      </c>
      <c r="F159" t="n">
        <v>0.033</v>
      </c>
      <c r="G159" t="n">
        <v>0.075</v>
      </c>
      <c r="H159" t="n">
        <v>-0.031</v>
      </c>
      <c r="I159" t="n">
        <v>0.399</v>
      </c>
      <c r="J159" t="n">
        <v>5.2</v>
      </c>
      <c r="K159" t="n">
        <v>8.65</v>
      </c>
      <c r="L159" t="n">
        <v>10.33</v>
      </c>
    </row>
    <row r="160" ht="16" customHeight="1" s="68" thickBot="1">
      <c r="A160" t="inlineStr">
        <is>
          <t>Switzerland</t>
        </is>
      </c>
      <c r="B160" t="n">
        <v>752</v>
      </c>
      <c r="C160" t="n">
        <v>0.04099999999999999</v>
      </c>
      <c r="D160" t="n">
        <v>0.017</v>
      </c>
      <c r="E160" t="n">
        <v>-0.0075</v>
      </c>
      <c r="F160" t="n">
        <v>0.015</v>
      </c>
      <c r="G160" t="n">
        <v>0.025</v>
      </c>
      <c r="H160" t="n">
        <v>-0.026</v>
      </c>
      <c r="I160" t="n">
        <v>0.429</v>
      </c>
      <c r="J160" t="n">
        <v>3.8</v>
      </c>
      <c r="K160" t="n">
        <v>0.92</v>
      </c>
      <c r="L160" t="n">
        <v>8.609999999999999</v>
      </c>
    </row>
    <row r="161" ht="16" customHeight="1" s="68" thickBot="1">
      <c r="A161" t="inlineStr">
        <is>
          <t>Syria</t>
        </is>
      </c>
      <c r="B161" t="n">
        <v>65</v>
      </c>
      <c r="C161" t="n">
        <v>0.048</v>
      </c>
      <c r="D161" t="n">
        <v/>
      </c>
      <c r="E161" t="n">
        <v/>
      </c>
      <c r="F161" t="n">
        <v>1.3946</v>
      </c>
      <c r="G161" t="n">
        <v>0.09</v>
      </c>
      <c r="H161" t="n">
        <v>-0.114</v>
      </c>
      <c r="I161" t="n">
        <v>0.3001</v>
      </c>
      <c r="J161" t="n">
        <v>-0.62</v>
      </c>
      <c r="K161" t="n">
        <v>436.5</v>
      </c>
      <c r="L161" t="n">
        <v>17.5</v>
      </c>
    </row>
    <row r="162" ht="16" customHeight="1" s="68" thickBot="1">
      <c r="A162" t="inlineStr">
        <is>
          <t>Taiwan</t>
        </is>
      </c>
      <c r="B162" t="n">
        <v>669</v>
      </c>
      <c r="C162" t="n">
        <v>0.03700000000000001</v>
      </c>
      <c r="D162" t="n">
        <v>0.0027</v>
      </c>
      <c r="E162" t="n">
        <v>0.0113</v>
      </c>
      <c r="F162" t="n">
        <v>0.0284</v>
      </c>
      <c r="G162" t="n">
        <v>0.0371</v>
      </c>
      <c r="H162" t="n">
        <v>-0.045</v>
      </c>
      <c r="I162" t="n">
        <v>0.282</v>
      </c>
      <c r="J162" t="n">
        <v>9.5</v>
      </c>
      <c r="K162" t="n">
        <v>28.02</v>
      </c>
      <c r="L162" t="n">
        <v>23.55</v>
      </c>
    </row>
    <row r="163" ht="16" customHeight="1" s="68" thickBot="1">
      <c r="A163" t="inlineStr">
        <is>
          <t>Tajikistan</t>
        </is>
      </c>
      <c r="B163" t="n">
        <v>8</v>
      </c>
      <c r="C163" t="n">
        <v>0.08699999999999999</v>
      </c>
      <c r="D163" t="n">
        <v/>
      </c>
      <c r="E163" t="n">
        <v>0.1325</v>
      </c>
      <c r="F163" t="n">
        <v>0.08699999999999999</v>
      </c>
      <c r="G163" t="n">
        <v>0.075</v>
      </c>
      <c r="H163" t="n">
        <v>-0.005</v>
      </c>
      <c r="I163" t="n">
        <v>0.4777</v>
      </c>
      <c r="J163" t="n">
        <v>0</v>
      </c>
      <c r="K163" t="n">
        <v>9.68</v>
      </c>
      <c r="L163" t="n">
        <v>9.300000000000001</v>
      </c>
    </row>
    <row r="164" ht="16" customHeight="1" s="68" thickBot="1">
      <c r="A164" t="inlineStr">
        <is>
          <t>Tanzania</t>
        </is>
      </c>
      <c r="B164" t="n">
        <v>62</v>
      </c>
      <c r="C164" t="n">
        <v>0.043</v>
      </c>
      <c r="D164" t="n">
        <v>0.015</v>
      </c>
      <c r="E164" t="n">
        <v>0.05</v>
      </c>
      <c r="F164" t="n">
        <v>0.04099999999999999</v>
      </c>
      <c r="G164" t="n">
        <v>0.095</v>
      </c>
      <c r="H164" t="n">
        <v>-0.026</v>
      </c>
      <c r="I164" t="n">
        <v>0.3779999999999999</v>
      </c>
      <c r="J164" t="n">
        <v>-1.5</v>
      </c>
      <c r="K164" t="n">
        <v>2314</v>
      </c>
      <c r="L164" t="n">
        <v>59.73</v>
      </c>
    </row>
    <row r="165" ht="16" customHeight="1" s="68" thickBot="1">
      <c r="A165" t="inlineStr">
        <is>
          <t>Thailand</t>
        </is>
      </c>
      <c r="B165" t="n">
        <v>502</v>
      </c>
      <c r="C165" t="n">
        <v>-0.003</v>
      </c>
      <c r="D165" t="n">
        <v>-0.011</v>
      </c>
      <c r="E165" t="n">
        <v>0.005</v>
      </c>
      <c r="F165" t="n">
        <v>0.0271</v>
      </c>
      <c r="G165" t="n">
        <v>0.0225</v>
      </c>
      <c r="H165" t="n">
        <v>-0.061</v>
      </c>
      <c r="I165" t="n">
        <v>0.505</v>
      </c>
      <c r="J165" t="n">
        <v>4.2</v>
      </c>
      <c r="K165" t="n">
        <v>32.64</v>
      </c>
      <c r="L165" t="n">
        <v>66.65000000000001</v>
      </c>
    </row>
    <row r="166" ht="16" customHeight="1" s="68" thickBot="1">
      <c r="A166" t="inlineStr">
        <is>
          <t>Togo</t>
        </is>
      </c>
      <c r="B166" t="n">
        <v>8</v>
      </c>
      <c r="C166" t="n">
        <v>0.078</v>
      </c>
      <c r="D166" t="n">
        <v/>
      </c>
      <c r="E166" t="n">
        <v>0.04</v>
      </c>
      <c r="F166" t="n">
        <v>0.059</v>
      </c>
      <c r="G166" t="n">
        <v>0.04099999999999999</v>
      </c>
      <c r="H166" t="n">
        <v>-0.047</v>
      </c>
      <c r="I166" t="n">
        <v>0.295</v>
      </c>
      <c r="J166" t="n">
        <v>-3.2</v>
      </c>
      <c r="K166" t="n">
        <v>588.96</v>
      </c>
      <c r="L166" t="n">
        <v>8.279999999999999</v>
      </c>
    </row>
    <row r="167" ht="16" customHeight="1" s="68" thickBot="1">
      <c r="A167" t="inlineStr">
        <is>
          <t>Trinidadand Tobago</t>
        </is>
      </c>
      <c r="B167" t="n">
        <v>22</v>
      </c>
      <c r="C167" t="n">
        <v>-0.077</v>
      </c>
      <c r="D167" t="n">
        <v>0.051</v>
      </c>
      <c r="E167" t="n">
        <v>0.035</v>
      </c>
      <c r="F167" t="n">
        <v>0.022</v>
      </c>
      <c r="G167" t="n">
        <v>0.051</v>
      </c>
      <c r="H167" t="n">
        <v>-0.112</v>
      </c>
      <c r="I167" t="n">
        <v>0.8270000000000001</v>
      </c>
      <c r="J167" t="n">
        <v>2.3</v>
      </c>
      <c r="K167" t="n">
        <v>6.74</v>
      </c>
      <c r="L167" t="n">
        <v>1.37</v>
      </c>
    </row>
    <row r="168" ht="16" customHeight="1" s="68" thickBot="1">
      <c r="A168" t="inlineStr">
        <is>
          <t>Tunisia</t>
        </is>
      </c>
      <c r="B168" t="n">
        <v>39</v>
      </c>
      <c r="C168" t="n">
        <v>0.003</v>
      </c>
      <c r="D168" t="n">
        <v>0.006999999999999999</v>
      </c>
      <c r="E168" t="n">
        <v>0.0625</v>
      </c>
      <c r="F168" t="n">
        <v>0.064</v>
      </c>
      <c r="G168" t="n">
        <v>0.178</v>
      </c>
      <c r="H168" t="n">
        <v>-0.114</v>
      </c>
      <c r="I168" t="n">
        <v>0.8759999999999999</v>
      </c>
      <c r="J168" t="n">
        <v>-6.9</v>
      </c>
      <c r="K168" t="n">
        <v>2.8</v>
      </c>
      <c r="L168" t="n">
        <v>11.81</v>
      </c>
    </row>
    <row r="169" ht="16" customHeight="1" s="68" thickBot="1">
      <c r="A169" t="inlineStr">
        <is>
          <t>Turkey</t>
        </is>
      </c>
      <c r="B169" t="n">
        <v>720</v>
      </c>
      <c r="C169" t="n">
        <v>0.07400000000000001</v>
      </c>
      <c r="D169" t="n">
        <v>0.027</v>
      </c>
      <c r="E169" t="n">
        <v>0.14</v>
      </c>
      <c r="F169" t="n">
        <v>0.2131</v>
      </c>
      <c r="G169" t="n">
        <v>0.112</v>
      </c>
      <c r="H169" t="n">
        <v>-0.034</v>
      </c>
      <c r="I169" t="n">
        <v>0.395</v>
      </c>
      <c r="J169" t="n">
        <v>-5.1</v>
      </c>
      <c r="K169" t="n">
        <v>8.619999999999999</v>
      </c>
      <c r="L169" t="n">
        <v>83.61</v>
      </c>
    </row>
    <row r="170" ht="16" customHeight="1" s="68" thickBot="1">
      <c r="A170" t="inlineStr">
        <is>
          <t>Turkmenistan</t>
        </is>
      </c>
      <c r="B170" t="n">
        <v>45</v>
      </c>
      <c r="C170" t="n">
        <v>0.059</v>
      </c>
      <c r="D170" t="n">
        <v/>
      </c>
      <c r="E170" t="n">
        <v/>
      </c>
      <c r="F170" t="n">
        <v>0.1</v>
      </c>
      <c r="G170" t="n">
        <v>0.0438</v>
      </c>
      <c r="H170" t="n">
        <v>0.001</v>
      </c>
      <c r="I170" t="n">
        <v>0.309</v>
      </c>
      <c r="J170" t="n">
        <v>0.5</v>
      </c>
      <c r="K170" t="n">
        <v>3.5</v>
      </c>
      <c r="L170" t="n">
        <v>6</v>
      </c>
    </row>
    <row r="171" ht="16" customHeight="1" s="68" thickBot="1">
      <c r="A171" t="inlineStr">
        <is>
          <t>Uganda</t>
        </is>
      </c>
      <c r="B171" t="n">
        <v>37</v>
      </c>
      <c r="C171" t="n">
        <v>0.137</v>
      </c>
      <c r="D171" t="n">
        <v>-0.002</v>
      </c>
      <c r="E171" t="n">
        <v>0.065</v>
      </c>
      <c r="F171" t="n">
        <v>0.026</v>
      </c>
      <c r="G171" t="n">
        <v>0.0244</v>
      </c>
      <c r="H171" t="n">
        <v>-0.066</v>
      </c>
      <c r="I171" t="n">
        <v>0.498</v>
      </c>
      <c r="J171" t="n">
        <v>-9.800000000000001</v>
      </c>
      <c r="K171" t="n">
        <v>3665</v>
      </c>
      <c r="L171" t="n">
        <v>45.74</v>
      </c>
    </row>
    <row r="172" ht="16" customHeight="1" s="68" thickBot="1">
      <c r="A172" t="inlineStr">
        <is>
          <t>Ukraine</t>
        </is>
      </c>
      <c r="B172" t="n">
        <v>156</v>
      </c>
      <c r="C172" t="n">
        <v>0.027</v>
      </c>
      <c r="D172" t="n">
        <v>0.015</v>
      </c>
      <c r="E172" t="n">
        <v>0.09</v>
      </c>
      <c r="F172" t="n">
        <v>0.103</v>
      </c>
      <c r="G172" t="n">
        <v>0.09300000000000001</v>
      </c>
      <c r="H172" t="n">
        <v>-0.061</v>
      </c>
      <c r="I172" t="n">
        <v>0.608</v>
      </c>
      <c r="J172" t="n">
        <v>4.3</v>
      </c>
      <c r="K172" t="n">
        <v>27.25</v>
      </c>
      <c r="L172" t="n">
        <v>44.13</v>
      </c>
    </row>
    <row r="173" ht="16" customHeight="1" s="68" thickBot="1">
      <c r="A173" t="inlineStr">
        <is>
          <t>United Arab Emirates</t>
        </is>
      </c>
      <c r="B173" t="n">
        <v>421</v>
      </c>
      <c r="C173" t="n">
        <v>-0.061</v>
      </c>
      <c r="D173" t="n">
        <v>0.02</v>
      </c>
      <c r="E173" t="n">
        <v>0.015</v>
      </c>
      <c r="F173" t="n">
        <v>0.012</v>
      </c>
      <c r="G173" t="n">
        <v>0.05</v>
      </c>
      <c r="H173" t="n">
        <v>-0.008</v>
      </c>
      <c r="I173" t="n">
        <v>0.369</v>
      </c>
      <c r="J173" t="n">
        <v>5.9</v>
      </c>
      <c r="K173" t="n">
        <v>3.67</v>
      </c>
      <c r="L173" t="n">
        <v>9.9</v>
      </c>
    </row>
    <row r="174" ht="16" customHeight="1" s="68" thickBot="1">
      <c r="A174" t="inlineStr">
        <is>
          <t>United Kingdom</t>
        </is>
      </c>
      <c r="B174" t="n">
        <v>2708</v>
      </c>
      <c r="C174" t="n">
        <v>0.068</v>
      </c>
      <c r="D174" t="n">
        <v>0.011</v>
      </c>
      <c r="E174" t="n">
        <v>0.0025</v>
      </c>
      <c r="F174" t="n">
        <v>0.051</v>
      </c>
      <c r="G174" t="n">
        <v>0.042</v>
      </c>
      <c r="H174" t="n">
        <v>-0.149</v>
      </c>
      <c r="I174" t="n">
        <v>0.9490000000000001</v>
      </c>
      <c r="J174" t="n">
        <v>-3.5</v>
      </c>
      <c r="K174" t="n">
        <v>1.25</v>
      </c>
      <c r="L174" t="n">
        <v>67.2</v>
      </c>
    </row>
    <row r="175" ht="16" customHeight="1" s="68" thickBot="1">
      <c r="A175" t="inlineStr">
        <is>
          <t>United States</t>
        </is>
      </c>
      <c r="B175" t="n">
        <v>20937</v>
      </c>
      <c r="C175" t="n">
        <v>0.049</v>
      </c>
      <c r="D175" t="n">
        <v>0.023</v>
      </c>
      <c r="E175" t="n">
        <v>0.0025</v>
      </c>
      <c r="F175" t="n">
        <v>0.068</v>
      </c>
      <c r="G175" t="n">
        <v>0.042</v>
      </c>
      <c r="H175" t="n">
        <v>-0.149</v>
      </c>
      <c r="I175" t="n">
        <v>1.281</v>
      </c>
      <c r="J175" t="n">
        <v>-3.1</v>
      </c>
      <c r="K175" t="n">
        <v>98.56</v>
      </c>
      <c r="L175" t="n">
        <v>329.48</v>
      </c>
    </row>
    <row r="176" ht="16" customHeight="1" s="68" thickBot="1">
      <c r="A176" t="inlineStr">
        <is>
          <t>Uruguay</t>
        </is>
      </c>
      <c r="B176" t="n">
        <v>54</v>
      </c>
      <c r="C176" t="n">
        <v>0.113</v>
      </c>
      <c r="D176" t="n">
        <v>0.078</v>
      </c>
      <c r="E176" t="n">
        <v>0.0525</v>
      </c>
      <c r="F176" t="n">
        <v>0.08070000000000001</v>
      </c>
      <c r="G176" t="n">
        <v>0.08</v>
      </c>
      <c r="H176" t="n">
        <v>-0.051</v>
      </c>
      <c r="I176" t="n">
        <v>0.73</v>
      </c>
      <c r="J176" t="n">
        <v>-0.6</v>
      </c>
      <c r="K176" t="n">
        <v>37.81</v>
      </c>
      <c r="L176" t="n">
        <v>3.53</v>
      </c>
    </row>
    <row r="177" ht="16" customHeight="1" s="68" thickBot="1">
      <c r="A177" t="inlineStr">
        <is>
          <t>Uzbekistan</t>
        </is>
      </c>
      <c r="B177" t="n">
        <v>58</v>
      </c>
      <c r="C177" t="n">
        <v>0.062</v>
      </c>
      <c r="D177" t="n">
        <v/>
      </c>
      <c r="E177" t="n">
        <v>0.14</v>
      </c>
      <c r="F177" t="n">
        <v>0.103</v>
      </c>
      <c r="G177" t="n">
        <v>0.098</v>
      </c>
      <c r="H177" t="n">
        <v>-0.044</v>
      </c>
      <c r="I177" t="n">
        <v>0.404</v>
      </c>
      <c r="J177" t="n">
        <v>-5.4</v>
      </c>
      <c r="K177" t="n">
        <v>9527.299999999999</v>
      </c>
      <c r="L177" t="n">
        <v>34.55</v>
      </c>
    </row>
    <row r="178" ht="16" customHeight="1" s="68" thickBot="1">
      <c r="A178" t="inlineStr">
        <is>
          <t>Venezuela</t>
        </is>
      </c>
      <c r="B178" t="n">
        <v>482</v>
      </c>
      <c r="C178" t="n">
        <v>-0.268</v>
      </c>
      <c r="D178" t="n">
        <v>-0.237</v>
      </c>
      <c r="E178" t="n">
        <v>0.5686</v>
      </c>
      <c r="F178" t="n">
        <v>11.975</v>
      </c>
      <c r="G178" t="n">
        <v>0.064</v>
      </c>
      <c r="H178" t="n">
        <v>-0.299</v>
      </c>
      <c r="I178" t="n">
        <v>3.5</v>
      </c>
      <c r="J178" t="n">
        <v>-3.5</v>
      </c>
      <c r="K178" t="n">
        <v>971748.8</v>
      </c>
      <c r="L178" t="n">
        <v>32.6</v>
      </c>
    </row>
    <row r="179">
      <c r="A179" t="inlineStr">
        <is>
          <t>Vietnam</t>
        </is>
      </c>
      <c r="B179" t="n">
        <v>271</v>
      </c>
      <c r="C179" t="n">
        <v>-0.0617</v>
      </c>
      <c r="D179" t="n">
        <v>0.0688</v>
      </c>
      <c r="E179" t="n">
        <v>0.04</v>
      </c>
      <c r="F179" t="n">
        <v>0.021</v>
      </c>
      <c r="G179" t="n">
        <v>0.0372</v>
      </c>
      <c r="H179" t="n">
        <v>-0.058</v>
      </c>
      <c r="I179" t="n">
        <v>0.467</v>
      </c>
      <c r="J179" t="n">
        <v>5</v>
      </c>
      <c r="K179" t="n">
        <v>23170</v>
      </c>
      <c r="L179" t="n">
        <v>97.58</v>
      </c>
    </row>
    <row r="180" ht="16" customHeight="1" s="68" thickBot="1">
      <c r="A180" t="inlineStr">
        <is>
          <t>Yemen</t>
        </is>
      </c>
      <c r="B180" t="n">
        <v>23</v>
      </c>
      <c r="C180" t="n">
        <v>-0.005</v>
      </c>
      <c r="D180" t="n">
        <v/>
      </c>
      <c r="E180" t="n">
        <v>0.27</v>
      </c>
      <c r="F180" t="n">
        <v>0.0077</v>
      </c>
      <c r="G180" t="n">
        <v>0.1342</v>
      </c>
      <c r="H180" t="n">
        <v>-0.044</v>
      </c>
      <c r="I180" t="n">
        <v>0.8170000000000001</v>
      </c>
      <c r="J180" t="n">
        <v>-0.01</v>
      </c>
      <c r="K180" t="n">
        <v>246.5</v>
      </c>
      <c r="L180" t="n">
        <v>29.82</v>
      </c>
    </row>
    <row r="181" ht="16" customHeight="1" s="68" thickBot="1">
      <c r="A181" t="inlineStr">
        <is>
          <t>Zambia</t>
        </is>
      </c>
      <c r="B181" t="n">
        <v>19</v>
      </c>
      <c r="C181" t="n">
        <v>0.006999999999999999</v>
      </c>
      <c r="D181" t="n">
        <v/>
      </c>
      <c r="E181" t="n">
        <v>0.09</v>
      </c>
      <c r="F181" t="n">
        <v>0.193</v>
      </c>
      <c r="G181" t="n">
        <v>0.122</v>
      </c>
      <c r="H181" t="n">
        <v>-0.11</v>
      </c>
      <c r="I181" t="n">
        <v>0.96</v>
      </c>
      <c r="J181" t="n">
        <v>12.2</v>
      </c>
      <c r="K181" t="n">
        <v>22.64</v>
      </c>
      <c r="L181" t="n">
        <v>17.88</v>
      </c>
    </row>
    <row r="182">
      <c r="A182" t="inlineStr">
        <is>
          <t>Zimbabwe</t>
        </is>
      </c>
      <c r="B182" t="n">
        <v>17</v>
      </c>
      <c r="C182" t="n">
        <v>-0.04099999999999999</v>
      </c>
      <c r="D182" t="n">
        <v/>
      </c>
      <c r="E182" t="n">
        <v>0.6</v>
      </c>
      <c r="F182" t="n">
        <v>0.584</v>
      </c>
      <c r="G182" t="n">
        <v>0.057</v>
      </c>
      <c r="H182" t="n">
        <v>-0.015</v>
      </c>
      <c r="I182" t="n">
        <v>0.772</v>
      </c>
      <c r="J182" t="n">
        <v>-1.9</v>
      </c>
      <c r="K182" t="n">
        <v>16.36</v>
      </c>
      <c r="L182" t="n">
        <v>14.86</v>
      </c>
    </row>
  </sheetData>
  <pageMargins left="0.7" right="0.7" top="0.75" bottom="0.75" header="0.3" footer="0.3"/>
</worksheet>
</file>

<file path=xl/worksheets/sheet5.xml><?xml version="1.0" encoding="utf-8"?>
<worksheet xmlns="http://schemas.openxmlformats.org/spreadsheetml/2006/main">
  <sheetPr codeName="Sheet5">
    <tabColor rgb="FF0070C0"/>
    <outlinePr summaryBelow="1" summaryRight="1"/>
    <pageSetUpPr/>
  </sheetPr>
  <dimension ref="B1:AH98"/>
  <sheetViews>
    <sheetView zoomScale="130" zoomScaleNormal="130" workbookViewId="0">
      <pane xSplit="2" ySplit="9" topLeftCell="C10" activePane="bottomRight" state="frozen"/>
      <selection activeCell="S51" sqref="S51"/>
      <selection pane="topRight" activeCell="S51" sqref="S51"/>
      <selection pane="bottomLeft" activeCell="S51" sqref="S51"/>
      <selection pane="bottomRight" activeCell="C75" sqref="C75"/>
    </sheetView>
  </sheetViews>
  <sheetFormatPr baseColWidth="10" defaultColWidth="8.83203125" defaultRowHeight="15"/>
  <cols>
    <col width="9.1640625" customWidth="1" style="74" min="1" max="1"/>
    <col width="13" bestFit="1" customWidth="1" style="68" min="2" max="2"/>
    <col width="9" bestFit="1" customWidth="1" style="68" min="3" max="26"/>
    <col width="9" customWidth="1" style="68" min="27" max="27"/>
    <col width="6.1640625" customWidth="1" style="68" min="28" max="28"/>
    <col width="8" bestFit="1" customWidth="1" style="74" min="29" max="29"/>
    <col width="16.33203125" bestFit="1" customWidth="1" style="74" min="30" max="30"/>
    <col width="8" bestFit="1" customWidth="1" style="74" min="31" max="31"/>
    <col width="5.33203125" bestFit="1" customWidth="1" style="74" min="32" max="32"/>
    <col width="37" bestFit="1" customWidth="1" style="74" min="33" max="33"/>
    <col width="41"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c r="AH1" s="67" t="inlineStr">
        <is>
          <t>To do List</t>
        </is>
      </c>
    </row>
    <row r="2" customFormat="1" s="74">
      <c r="AD2" s="74" t="inlineStr">
        <is>
          <t>Last quarter</t>
        </is>
      </c>
      <c r="AE2" s="64" t="inlineStr">
        <is>
          <t>2021-Q2</t>
        </is>
      </c>
      <c r="AH2" s="67" t="inlineStr">
        <is>
          <t>Modify max/min/avg + Modify AE1, AE2, AE3</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B3" s="74" t="n"/>
      <c r="AD3" s="11" t="inlineStr">
        <is>
          <t>Previous Quarter</t>
        </is>
      </c>
      <c r="AE3" s="65" t="inlineStr">
        <is>
          <t>2020-Q2</t>
        </is>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B4" s="74" t="n"/>
      <c r="AD4" s="14" t="inlineStr">
        <is>
          <t>12 months</t>
        </is>
      </c>
      <c r="AE4" s="66" t="inlineStr">
        <is>
          <t>2019-Q3</t>
        </is>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B5" s="74" t="n"/>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B6" s="74" t="n"/>
      <c r="AC6" s="18" t="n"/>
      <c r="AD6" s="74" t="inlineStr">
        <is>
          <t>Country 1</t>
        </is>
      </c>
      <c r="AE6" s="17" t="inlineStr">
        <is>
          <t>GBR</t>
        </is>
      </c>
      <c r="AG6" s="74">
        <f>AE6&amp;" Growth yoy% vs "&amp;AE7&amp;" Growth yoy %"</f>
        <v/>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IF((VLOOKUP($AE$2,$B:$Y,MATCH(Z3,$B$3:$Y$3,),))&gt;Z6,"above","below")</f>
        <v/>
      </c>
      <c r="AA7" s="13">
        <f>IF((VLOOKUP($AE$2,$B:$Y,MATCH(AA3,$B$3:$Y$3,),))&gt;AA6,"above","below")</f>
        <v/>
      </c>
      <c r="AB7" s="74" t="n"/>
      <c r="AC7" s="19" t="n"/>
      <c r="AD7" s="20" t="inlineStr">
        <is>
          <t>Country 2</t>
        </is>
      </c>
      <c r="AE7" s="21" t="inlineStr">
        <is>
          <t>EA19</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VLOOKUP($AE$2,$B:$Y,MATCH(Z3,$B$3:$Y$3,),)-VLOOKUP($AE$4,$B:$Y,MATCH(Z3,$B$3:$Y$3,),)</f>
        <v/>
      </c>
      <c r="AA8" s="13">
        <f>VLOOKUP($AE$2,$B:$Y,MATCH(AA3,$B$3:$Y$3,),)-VLOOKUP($AE$4,$B:$Y,MATCH(AA3,$B$3:$Y$3,),)</f>
        <v/>
      </c>
      <c r="AB8" s="74" t="n"/>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VLOOKUP($AE$2,$B:$Y,MATCH(Z3,$B$3:$Y$3,),)-VLOOKUP($AE$3,$B:$Y,MATCH(Z3,$B$3:$Y$3,),)</f>
        <v/>
      </c>
      <c r="AA9" s="13">
        <f>VLOOKUP($AE$2,$B:$Y,MATCH(AA3,$B$3:$Y$3,),)-VLOOKUP($AE$3,$B:$Y,MATCH(AA3,$B$3:$Y$3,),)</f>
        <v/>
      </c>
      <c r="AB9" s="74" t="n"/>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c r="AB10" s="74" t="n"/>
    </row>
    <row r="11" hidden="1" s="68">
      <c r="B11" s="24" t="inlineStr">
        <is>
          <t>2000-Q1</t>
        </is>
      </c>
      <c r="C11" s="25">
        <f>VLOOKUP(B11,'Data yoy'!#REF!,MATCH($C$1,'Data yoy'!#REF!,),)</f>
        <v/>
      </c>
      <c r="D11" s="25">
        <f>VLOOKUP(B11,'Data yoy'!#REF!,MATCH($D$1,'Data yoy'!#REF!,),)</f>
        <v/>
      </c>
      <c r="E11" s="25">
        <f>VLOOKUP(B11,'Data yoy'!#REF!,MATCH($E$1,'Data yoy'!#REF!,),)</f>
        <v/>
      </c>
      <c r="F11" s="25">
        <f>VLOOKUP(B11,'Data yoy'!#REF!,MATCH($F$1,'Data yoy'!#REF!,),)</f>
        <v/>
      </c>
      <c r="G11" s="25">
        <f>VLOOKUP(B11,'Data yoy'!#REF!,MATCH($G$1,'Data yoy'!#REF!,),)</f>
        <v/>
      </c>
      <c r="H11" s="25">
        <f>VLOOKUP(B11,'Data yoy'!#REF!,MATCH($H$1,'Data yoy'!#REF!,),)</f>
        <v/>
      </c>
      <c r="I11" s="25">
        <f>VLOOKUP(B11,'Data yoy'!#REF!,MATCH($I$1,'Data yoy'!#REF!,),)</f>
        <v/>
      </c>
      <c r="J11" s="25">
        <f>VLOOKUP(B11,'Data yoy'!#REF!,MATCH($J$1,'Data yoy'!#REF!,),)</f>
        <v/>
      </c>
      <c r="K11" s="25">
        <f>VLOOKUP(B11,'Data yoy'!#REF!,MATCH($K$1,'Data yoy'!#REF!,),)</f>
        <v/>
      </c>
      <c r="L11" s="25">
        <f>VLOOKUP(B11,'Data yoy'!#REF!,MATCH($L$1,'Data yoy'!#REF!,),)</f>
        <v/>
      </c>
      <c r="M11" s="25">
        <f>VLOOKUP(B11,'Data yoy'!#REF!,MATCH($M$1,'Data yoy'!#REF!,),)</f>
        <v/>
      </c>
      <c r="N11" s="25">
        <f>VLOOKUP(B11,'Data yoy'!#REF!,MATCH($N$1,'Data yoy'!#REF!,),)</f>
        <v/>
      </c>
      <c r="O11" s="25">
        <f>VLOOKUP(B11,'Data yoy'!#REF!,MATCH($C$1,'Data yoy'!#REF!,),)</f>
        <v/>
      </c>
      <c r="P11" s="25">
        <f>VLOOKUP(B11,'Data yoy'!#REF!,MATCH($P$1,'Data yoy'!#REF!,),)</f>
        <v/>
      </c>
      <c r="Q11" s="25">
        <f>VLOOKUP(B11,'Data yoy'!#REF!,MATCH($Q$1,'Data yoy'!#REF!,),)</f>
        <v/>
      </c>
      <c r="R11" s="25">
        <f>VLOOKUP(B11,'Data yoy'!#REF!,MATCH($E$1,'Data yoy'!#REF!,),)</f>
        <v/>
      </c>
      <c r="S11" s="25">
        <f>VLOOKUP(B11,'Data yoy'!#REF!,MATCH($S$1,'Data yoy'!#REF!,),)</f>
        <v/>
      </c>
      <c r="T11" s="25">
        <f>VLOOKUP(B11,'Data yoy'!#REF!,MATCH($T$1,'Data yoy'!#REF!,),)</f>
        <v/>
      </c>
      <c r="U11" s="25">
        <f>VLOOKUP(B11,'Data yoy'!#REF!,MATCH($U$1,'Data yoy'!#REF!,),)</f>
        <v/>
      </c>
      <c r="V11" s="25">
        <f>VLOOKUP(B11,'Data yoy'!#REF!,MATCH($V$1,'Data yoy'!#REF!,),)</f>
        <v/>
      </c>
      <c r="W11" s="25">
        <f>VLOOKUP(B11,'Data yoy'!#REF!,MATCH($W$1,'Data yoy'!#REF!,),)</f>
        <v/>
      </c>
      <c r="X11" s="25">
        <f>VLOOKUP(B11,'Data yoy'!#REF!,MATCH($X$1,'Data yoy'!#REF!,),)</f>
        <v/>
      </c>
      <c r="Y11" s="25">
        <f>VLOOKUP(B11,'Data yoy'!#REF!,MATCH($Y$1,'Data yoy'!#REF!,),)</f>
        <v/>
      </c>
      <c r="Z11" s="25">
        <f>VLOOKUP(B11,'Data yoy'!#REF!,MATCH($Z$1,'Data yoy'!#REF!,),)</f>
        <v/>
      </c>
      <c r="AA11" s="25">
        <f>VLOOKUP(C11,'Data yoy'!#REF!,MATCH($Z$1,'Data yoy'!#REF!,),)</f>
        <v/>
      </c>
      <c r="AB11" s="74" t="n"/>
      <c r="AC11" s="26">
        <f>B11</f>
        <v/>
      </c>
      <c r="AD11" s="27">
        <f>(VLOOKUP(AC11,B:Y,MATCH($AE$6,$B$1:$Y$1,),))</f>
        <v/>
      </c>
      <c r="AE11" s="27">
        <f>(VLOOKUP(AC11,B:Y,MATCH($AE$7,$B$1:$Y$1,),))</f>
        <v/>
      </c>
    </row>
    <row r="12" hidden="1" s="68">
      <c r="B12" s="24" t="inlineStr">
        <is>
          <t>2000-Q2</t>
        </is>
      </c>
      <c r="C12" s="25">
        <f>VLOOKUP(B12,'Data yoy'!#REF!,MATCH($C$1,'Data yoy'!#REF!,),)</f>
        <v/>
      </c>
      <c r="D12" s="25">
        <f>VLOOKUP(B12,'Data yoy'!#REF!,MATCH($D$1,'Data yoy'!#REF!,),)</f>
        <v/>
      </c>
      <c r="E12" s="25">
        <f>VLOOKUP(B12,'Data yoy'!#REF!,MATCH($E$1,'Data yoy'!#REF!,),)</f>
        <v/>
      </c>
      <c r="F12" s="25">
        <f>VLOOKUP(B12,'Data yoy'!#REF!,MATCH($F$1,'Data yoy'!#REF!,),)</f>
        <v/>
      </c>
      <c r="G12" s="25">
        <f>VLOOKUP(B12,'Data yoy'!#REF!,MATCH($G$1,'Data yoy'!#REF!,),)</f>
        <v/>
      </c>
      <c r="H12" s="25">
        <f>VLOOKUP(B12,'Data yoy'!#REF!,MATCH($H$1,'Data yoy'!#REF!,),)</f>
        <v/>
      </c>
      <c r="I12" s="25">
        <f>VLOOKUP(B12,'Data yoy'!#REF!,MATCH($I$1,'Data yoy'!#REF!,),)</f>
        <v/>
      </c>
      <c r="J12" s="25">
        <f>VLOOKUP(B12,'Data yoy'!#REF!,MATCH($J$1,'Data yoy'!#REF!,),)</f>
        <v/>
      </c>
      <c r="K12" s="25">
        <f>VLOOKUP(B12,'Data yoy'!#REF!,MATCH($K$1,'Data yoy'!#REF!,),)</f>
        <v/>
      </c>
      <c r="L12" s="25">
        <f>VLOOKUP(B12,'Data yoy'!#REF!,MATCH($L$1,'Data yoy'!#REF!,),)</f>
        <v/>
      </c>
      <c r="M12" s="25">
        <f>VLOOKUP(B12,'Data yoy'!#REF!,MATCH($M$1,'Data yoy'!#REF!,),)</f>
        <v/>
      </c>
      <c r="N12" s="25">
        <f>VLOOKUP(B12,'Data yoy'!#REF!,MATCH($N$1,'Data yoy'!#REF!,),)</f>
        <v/>
      </c>
      <c r="O12" s="25">
        <f>VLOOKUP(B12,'Data yoy'!#REF!,MATCH($C$1,'Data yoy'!#REF!,),)</f>
        <v/>
      </c>
      <c r="P12" s="25">
        <f>VLOOKUP(B12,'Data yoy'!#REF!,MATCH($P$1,'Data yoy'!#REF!,),)</f>
        <v/>
      </c>
      <c r="Q12" s="25">
        <f>VLOOKUP(B12,'Data yoy'!#REF!,MATCH($Q$1,'Data yoy'!#REF!,),)</f>
        <v/>
      </c>
      <c r="R12" s="25">
        <f>VLOOKUP(B12,'Data yoy'!#REF!,MATCH($E$1,'Data yoy'!#REF!,),)</f>
        <v/>
      </c>
      <c r="S12" s="25">
        <f>VLOOKUP(B12,'Data yoy'!#REF!,MATCH($S$1,'Data yoy'!#REF!,),)</f>
        <v/>
      </c>
      <c r="T12" s="25">
        <f>VLOOKUP(B12,'Data yoy'!#REF!,MATCH($T$1,'Data yoy'!#REF!,),)</f>
        <v/>
      </c>
      <c r="U12" s="25">
        <f>VLOOKUP(B12,'Data yoy'!#REF!,MATCH($U$1,'Data yoy'!#REF!,),)</f>
        <v/>
      </c>
      <c r="V12" s="25">
        <f>VLOOKUP(B12,'Data yoy'!#REF!,MATCH($V$1,'Data yoy'!#REF!,),)</f>
        <v/>
      </c>
      <c r="W12" s="25">
        <f>VLOOKUP(B12,'Data yoy'!#REF!,MATCH($W$1,'Data yoy'!#REF!,),)</f>
        <v/>
      </c>
      <c r="X12" s="25">
        <f>VLOOKUP(B12,'Data yoy'!#REF!,MATCH($X$1,'Data yoy'!#REF!,),)</f>
        <v/>
      </c>
      <c r="Y12" s="25">
        <f>VLOOKUP(B12,'Data yoy'!#REF!,MATCH($Y$1,'Data yoy'!#REF!,),)</f>
        <v/>
      </c>
      <c r="Z12" s="25">
        <f>VLOOKUP(B12,'Data yoy'!#REF!,MATCH($Z$1,'Data yoy'!#REF!,),)</f>
        <v/>
      </c>
      <c r="AA12" s="25">
        <f>VLOOKUP(C12,'Data yoy'!#REF!,MATCH($Z$1,'Data yoy'!#REF!,),)</f>
        <v/>
      </c>
      <c r="AB12" s="74" t="n"/>
      <c r="AC12" s="26">
        <f>B12</f>
        <v/>
      </c>
      <c r="AD12" s="27">
        <f>(VLOOKUP(AC12,B:Y,MATCH($AE$6,$B$1:$Y$1,),))</f>
        <v/>
      </c>
      <c r="AE12" s="27">
        <f>(VLOOKUP(AC12,B:Y,MATCH($AE$7,$B$1:$Y$1,),))</f>
        <v/>
      </c>
    </row>
    <row r="13" hidden="1" s="68">
      <c r="B13" s="24" t="inlineStr">
        <is>
          <t>2000-Q3</t>
        </is>
      </c>
      <c r="C13" s="25">
        <f>VLOOKUP(B13,'Data yoy'!#REF!,MATCH($C$1,'Data yoy'!#REF!,),)</f>
        <v/>
      </c>
      <c r="D13" s="25">
        <f>VLOOKUP(B13,'Data yoy'!#REF!,MATCH($D$1,'Data yoy'!#REF!,),)</f>
        <v/>
      </c>
      <c r="E13" s="25">
        <f>VLOOKUP(B13,'Data yoy'!#REF!,MATCH($E$1,'Data yoy'!#REF!,),)</f>
        <v/>
      </c>
      <c r="F13" s="25">
        <f>VLOOKUP(B13,'Data yoy'!#REF!,MATCH($F$1,'Data yoy'!#REF!,),)</f>
        <v/>
      </c>
      <c r="G13" s="25">
        <f>VLOOKUP(B13,'Data yoy'!#REF!,MATCH($G$1,'Data yoy'!#REF!,),)</f>
        <v/>
      </c>
      <c r="H13" s="25">
        <f>VLOOKUP(B13,'Data yoy'!#REF!,MATCH($H$1,'Data yoy'!#REF!,),)</f>
        <v/>
      </c>
      <c r="I13" s="25">
        <f>VLOOKUP(B13,'Data yoy'!#REF!,MATCH($I$1,'Data yoy'!#REF!,),)</f>
        <v/>
      </c>
      <c r="J13" s="25">
        <f>VLOOKUP(B13,'Data yoy'!#REF!,MATCH($J$1,'Data yoy'!#REF!,),)</f>
        <v/>
      </c>
      <c r="K13" s="25">
        <f>VLOOKUP(B13,'Data yoy'!#REF!,MATCH($K$1,'Data yoy'!#REF!,),)</f>
        <v/>
      </c>
      <c r="L13" s="25">
        <f>VLOOKUP(B13,'Data yoy'!#REF!,MATCH($L$1,'Data yoy'!#REF!,),)</f>
        <v/>
      </c>
      <c r="M13" s="25">
        <f>VLOOKUP(B13,'Data yoy'!#REF!,MATCH($M$1,'Data yoy'!#REF!,),)</f>
        <v/>
      </c>
      <c r="N13" s="25">
        <f>VLOOKUP(B13,'Data yoy'!#REF!,MATCH($N$1,'Data yoy'!#REF!,),)</f>
        <v/>
      </c>
      <c r="O13" s="25">
        <f>VLOOKUP(B13,'Data yoy'!#REF!,MATCH($C$1,'Data yoy'!#REF!,),)</f>
        <v/>
      </c>
      <c r="P13" s="25">
        <f>VLOOKUP(B13,'Data yoy'!#REF!,MATCH($P$1,'Data yoy'!#REF!,),)</f>
        <v/>
      </c>
      <c r="Q13" s="25">
        <f>VLOOKUP(B13,'Data yoy'!#REF!,MATCH($Q$1,'Data yoy'!#REF!,),)</f>
        <v/>
      </c>
      <c r="R13" s="25">
        <f>VLOOKUP(B13,'Data yoy'!#REF!,MATCH($E$1,'Data yoy'!#REF!,),)</f>
        <v/>
      </c>
      <c r="S13" s="25">
        <f>VLOOKUP(B13,'Data yoy'!#REF!,MATCH($S$1,'Data yoy'!#REF!,),)</f>
        <v/>
      </c>
      <c r="T13" s="25">
        <f>VLOOKUP(B13,'Data yoy'!#REF!,MATCH($T$1,'Data yoy'!#REF!,),)</f>
        <v/>
      </c>
      <c r="U13" s="25">
        <f>VLOOKUP(B13,'Data yoy'!#REF!,MATCH($U$1,'Data yoy'!#REF!,),)</f>
        <v/>
      </c>
      <c r="V13" s="25">
        <f>VLOOKUP(B13,'Data yoy'!#REF!,MATCH($V$1,'Data yoy'!#REF!,),)</f>
        <v/>
      </c>
      <c r="W13" s="25">
        <f>VLOOKUP(B13,'Data yoy'!#REF!,MATCH($W$1,'Data yoy'!#REF!,),)</f>
        <v/>
      </c>
      <c r="X13" s="25">
        <f>VLOOKUP(B13,'Data yoy'!#REF!,MATCH($X$1,'Data yoy'!#REF!,),)</f>
        <v/>
      </c>
      <c r="Y13" s="25">
        <f>VLOOKUP(B13,'Data yoy'!#REF!,MATCH($Y$1,'Data yoy'!#REF!,),)</f>
        <v/>
      </c>
      <c r="Z13" s="25">
        <f>VLOOKUP(B13,'Data yoy'!#REF!,MATCH($Z$1,'Data yoy'!#REF!,),)</f>
        <v/>
      </c>
      <c r="AA13" s="25">
        <f>VLOOKUP(C13,'Data yoy'!#REF!,MATCH($Z$1,'Data yoy'!#REF!,),)</f>
        <v/>
      </c>
      <c r="AB13" s="74" t="n"/>
      <c r="AC13" s="26">
        <f>B13</f>
        <v/>
      </c>
      <c r="AD13" s="27">
        <f>(VLOOKUP(AC13,B:Y,MATCH($AE$6,$B$1:$Y$1,),))</f>
        <v/>
      </c>
      <c r="AE13" s="27">
        <f>(VLOOKUP(AC13,B:Y,MATCH($AE$7,$B$1:$Y$1,),))</f>
        <v/>
      </c>
    </row>
    <row r="14" hidden="1" s="68">
      <c r="B14" s="24" t="inlineStr">
        <is>
          <t>2000-Q4</t>
        </is>
      </c>
      <c r="C14" s="25">
        <f>VLOOKUP(B14,'Data yoy'!#REF!,MATCH($C$1,'Data yoy'!#REF!,),)</f>
        <v/>
      </c>
      <c r="D14" s="25">
        <f>VLOOKUP(B14,'Data yoy'!#REF!,MATCH($D$1,'Data yoy'!#REF!,),)</f>
        <v/>
      </c>
      <c r="E14" s="25">
        <f>VLOOKUP(B14,'Data yoy'!#REF!,MATCH($E$1,'Data yoy'!#REF!,),)</f>
        <v/>
      </c>
      <c r="F14" s="25">
        <f>VLOOKUP(B14,'Data yoy'!#REF!,MATCH($F$1,'Data yoy'!#REF!,),)</f>
        <v/>
      </c>
      <c r="G14" s="25">
        <f>VLOOKUP(B14,'Data yoy'!#REF!,MATCH($G$1,'Data yoy'!#REF!,),)</f>
        <v/>
      </c>
      <c r="H14" s="25">
        <f>VLOOKUP(B14,'Data yoy'!#REF!,MATCH($H$1,'Data yoy'!#REF!,),)</f>
        <v/>
      </c>
      <c r="I14" s="25">
        <f>VLOOKUP(B14,'Data yoy'!#REF!,MATCH($I$1,'Data yoy'!#REF!,),)</f>
        <v/>
      </c>
      <c r="J14" s="25">
        <f>VLOOKUP(B14,'Data yoy'!#REF!,MATCH($J$1,'Data yoy'!#REF!,),)</f>
        <v/>
      </c>
      <c r="K14" s="25">
        <f>VLOOKUP(B14,'Data yoy'!#REF!,MATCH($K$1,'Data yoy'!#REF!,),)</f>
        <v/>
      </c>
      <c r="L14" s="25">
        <f>VLOOKUP(B14,'Data yoy'!#REF!,MATCH($L$1,'Data yoy'!#REF!,),)</f>
        <v/>
      </c>
      <c r="M14" s="25">
        <f>VLOOKUP(B14,'Data yoy'!#REF!,MATCH($M$1,'Data yoy'!#REF!,),)</f>
        <v/>
      </c>
      <c r="N14" s="25">
        <f>VLOOKUP(B14,'Data yoy'!#REF!,MATCH($N$1,'Data yoy'!#REF!,),)</f>
        <v/>
      </c>
      <c r="O14" s="25">
        <f>VLOOKUP(B14,'Data yoy'!#REF!,MATCH($C$1,'Data yoy'!#REF!,),)</f>
        <v/>
      </c>
      <c r="P14" s="25">
        <f>VLOOKUP(B14,'Data yoy'!#REF!,MATCH($P$1,'Data yoy'!#REF!,),)</f>
        <v/>
      </c>
      <c r="Q14" s="25">
        <f>VLOOKUP(B14,'Data yoy'!#REF!,MATCH($Q$1,'Data yoy'!#REF!,),)</f>
        <v/>
      </c>
      <c r="R14" s="25">
        <f>VLOOKUP(B14,'Data yoy'!#REF!,MATCH($E$1,'Data yoy'!#REF!,),)</f>
        <v/>
      </c>
      <c r="S14" s="25">
        <f>VLOOKUP(B14,'Data yoy'!#REF!,MATCH($S$1,'Data yoy'!#REF!,),)</f>
        <v/>
      </c>
      <c r="T14" s="25">
        <f>VLOOKUP(B14,'Data yoy'!#REF!,MATCH($T$1,'Data yoy'!#REF!,),)</f>
        <v/>
      </c>
      <c r="U14" s="25">
        <f>VLOOKUP(B14,'Data yoy'!#REF!,MATCH($U$1,'Data yoy'!#REF!,),)</f>
        <v/>
      </c>
      <c r="V14" s="25">
        <f>VLOOKUP(B14,'Data yoy'!#REF!,MATCH($V$1,'Data yoy'!#REF!,),)</f>
        <v/>
      </c>
      <c r="W14" s="25">
        <f>VLOOKUP(B14,'Data yoy'!#REF!,MATCH($W$1,'Data yoy'!#REF!,),)</f>
        <v/>
      </c>
      <c r="X14" s="25">
        <f>VLOOKUP(B14,'Data yoy'!#REF!,MATCH($X$1,'Data yoy'!#REF!,),)</f>
        <v/>
      </c>
      <c r="Y14" s="25">
        <f>VLOOKUP(B14,'Data yoy'!#REF!,MATCH($Y$1,'Data yoy'!#REF!,),)</f>
        <v/>
      </c>
      <c r="Z14" s="25">
        <f>VLOOKUP(B14,'Data yoy'!#REF!,MATCH($Z$1,'Data yoy'!#REF!,),)</f>
        <v/>
      </c>
      <c r="AA14" s="25">
        <f>VLOOKUP(C14,'Data yoy'!#REF!,MATCH($Z$1,'Data yoy'!#REF!,),)</f>
        <v/>
      </c>
      <c r="AB14" s="74" t="n"/>
      <c r="AC14" s="26">
        <f>B14</f>
        <v/>
      </c>
      <c r="AD14" s="27">
        <f>(VLOOKUP(AC14,B:Y,MATCH($AE$6,$B$1:$Y$1,),))</f>
        <v/>
      </c>
      <c r="AE14" s="27">
        <f>(VLOOKUP(AC14,B:Y,MATCH($AE$7,$B$1:$Y$1,),))</f>
        <v/>
      </c>
    </row>
    <row r="15" hidden="1" s="68">
      <c r="B15" s="24" t="inlineStr">
        <is>
          <t>2001-Q1</t>
        </is>
      </c>
      <c r="C15" s="25">
        <f>VLOOKUP(B15,'Data yoy'!#REF!,MATCH($C$1,'Data yoy'!#REF!,),)</f>
        <v/>
      </c>
      <c r="D15" s="25">
        <f>VLOOKUP(B15,'Data yoy'!#REF!,MATCH($D$1,'Data yoy'!#REF!,),)</f>
        <v/>
      </c>
      <c r="E15" s="25">
        <f>VLOOKUP(B15,'Data yoy'!#REF!,MATCH($E$1,'Data yoy'!#REF!,),)</f>
        <v/>
      </c>
      <c r="F15" s="25">
        <f>VLOOKUP(B15,'Data yoy'!#REF!,MATCH($F$1,'Data yoy'!#REF!,),)</f>
        <v/>
      </c>
      <c r="G15" s="25">
        <f>VLOOKUP(B15,'Data yoy'!#REF!,MATCH($G$1,'Data yoy'!#REF!,),)</f>
        <v/>
      </c>
      <c r="H15" s="25">
        <f>VLOOKUP(B15,'Data yoy'!#REF!,MATCH($H$1,'Data yoy'!#REF!,),)</f>
        <v/>
      </c>
      <c r="I15" s="25">
        <f>VLOOKUP(B15,'Data yoy'!#REF!,MATCH($I$1,'Data yoy'!#REF!,),)</f>
        <v/>
      </c>
      <c r="J15" s="25">
        <f>VLOOKUP(B15,'Data yoy'!#REF!,MATCH($J$1,'Data yoy'!#REF!,),)</f>
        <v/>
      </c>
      <c r="K15" s="25">
        <f>VLOOKUP(B15,'Data yoy'!#REF!,MATCH($K$1,'Data yoy'!#REF!,),)</f>
        <v/>
      </c>
      <c r="L15" s="25">
        <f>VLOOKUP(B15,'Data yoy'!#REF!,MATCH($L$1,'Data yoy'!#REF!,),)</f>
        <v/>
      </c>
      <c r="M15" s="25">
        <f>VLOOKUP(B15,'Data yoy'!#REF!,MATCH($M$1,'Data yoy'!#REF!,),)</f>
        <v/>
      </c>
      <c r="N15" s="25">
        <f>VLOOKUP(B15,'Data yoy'!#REF!,MATCH($N$1,'Data yoy'!#REF!,),)</f>
        <v/>
      </c>
      <c r="O15" s="25">
        <f>VLOOKUP(B15,'Data yoy'!#REF!,MATCH($C$1,'Data yoy'!#REF!,),)</f>
        <v/>
      </c>
      <c r="P15" s="25">
        <f>VLOOKUP(B15,'Data yoy'!#REF!,MATCH($P$1,'Data yoy'!#REF!,),)</f>
        <v/>
      </c>
      <c r="Q15" s="25">
        <f>VLOOKUP(B15,'Data yoy'!#REF!,MATCH($Q$1,'Data yoy'!#REF!,),)</f>
        <v/>
      </c>
      <c r="R15" s="25">
        <f>VLOOKUP(B15,'Data yoy'!#REF!,MATCH($E$1,'Data yoy'!#REF!,),)</f>
        <v/>
      </c>
      <c r="S15" s="25">
        <f>VLOOKUP(B15,'Data yoy'!#REF!,MATCH($S$1,'Data yoy'!#REF!,),)</f>
        <v/>
      </c>
      <c r="T15" s="25">
        <f>VLOOKUP(B15,'Data yoy'!#REF!,MATCH($T$1,'Data yoy'!#REF!,),)</f>
        <v/>
      </c>
      <c r="U15" s="25">
        <f>VLOOKUP(B15,'Data yoy'!#REF!,MATCH($U$1,'Data yoy'!#REF!,),)</f>
        <v/>
      </c>
      <c r="V15" s="25">
        <f>VLOOKUP(B15,'Data yoy'!#REF!,MATCH($V$1,'Data yoy'!#REF!,),)</f>
        <v/>
      </c>
      <c r="W15" s="25">
        <f>VLOOKUP(B15,'Data yoy'!#REF!,MATCH($W$1,'Data yoy'!#REF!,),)</f>
        <v/>
      </c>
      <c r="X15" s="25">
        <f>VLOOKUP(B15,'Data yoy'!#REF!,MATCH($X$1,'Data yoy'!#REF!,),)</f>
        <v/>
      </c>
      <c r="Y15" s="25">
        <f>VLOOKUP(B15,'Data yoy'!#REF!,MATCH($Y$1,'Data yoy'!#REF!,),)</f>
        <v/>
      </c>
      <c r="Z15" s="25">
        <f>VLOOKUP(B15,'Data yoy'!#REF!,MATCH($Z$1,'Data yoy'!#REF!,),)</f>
        <v/>
      </c>
      <c r="AA15" s="25">
        <f>VLOOKUP(C15,'Data yoy'!#REF!,MATCH($Z$1,'Data yoy'!#REF!,),)</f>
        <v/>
      </c>
      <c r="AB15" s="74" t="n"/>
      <c r="AC15" s="26">
        <f>B15</f>
        <v/>
      </c>
      <c r="AD15" s="27">
        <f>(VLOOKUP(AC15,B:Y,MATCH($AE$6,$B$1:$Y$1,),))</f>
        <v/>
      </c>
      <c r="AE15" s="27">
        <f>(VLOOKUP(AC15,B:Y,MATCH($AE$7,$B$1:$Y$1,),))</f>
        <v/>
      </c>
    </row>
    <row r="16" hidden="1" s="68">
      <c r="B16" s="24" t="inlineStr">
        <is>
          <t>2001-Q2</t>
        </is>
      </c>
      <c r="C16" s="25">
        <f>VLOOKUP(B16,'Data yoy'!#REF!,MATCH($C$1,'Data yoy'!#REF!,),)</f>
        <v/>
      </c>
      <c r="D16" s="25">
        <f>VLOOKUP(B16,'Data yoy'!#REF!,MATCH($D$1,'Data yoy'!#REF!,),)</f>
        <v/>
      </c>
      <c r="E16" s="25">
        <f>VLOOKUP(B16,'Data yoy'!#REF!,MATCH($E$1,'Data yoy'!#REF!,),)</f>
        <v/>
      </c>
      <c r="F16" s="25">
        <f>VLOOKUP(B16,'Data yoy'!#REF!,MATCH($F$1,'Data yoy'!#REF!,),)</f>
        <v/>
      </c>
      <c r="G16" s="25">
        <f>VLOOKUP(B16,'Data yoy'!#REF!,MATCH($G$1,'Data yoy'!#REF!,),)</f>
        <v/>
      </c>
      <c r="H16" s="25">
        <f>VLOOKUP(B16,'Data yoy'!#REF!,MATCH($H$1,'Data yoy'!#REF!,),)</f>
        <v/>
      </c>
      <c r="I16" s="25">
        <f>VLOOKUP(B16,'Data yoy'!#REF!,MATCH($I$1,'Data yoy'!#REF!,),)</f>
        <v/>
      </c>
      <c r="J16" s="25">
        <f>VLOOKUP(B16,'Data yoy'!#REF!,MATCH($J$1,'Data yoy'!#REF!,),)</f>
        <v/>
      </c>
      <c r="K16" s="25">
        <f>VLOOKUP(B16,'Data yoy'!#REF!,MATCH($K$1,'Data yoy'!#REF!,),)</f>
        <v/>
      </c>
      <c r="L16" s="25">
        <f>VLOOKUP(B16,'Data yoy'!#REF!,MATCH($L$1,'Data yoy'!#REF!,),)</f>
        <v/>
      </c>
      <c r="M16" s="25">
        <f>VLOOKUP(B16,'Data yoy'!#REF!,MATCH($M$1,'Data yoy'!#REF!,),)</f>
        <v/>
      </c>
      <c r="N16" s="25">
        <f>VLOOKUP(B16,'Data yoy'!#REF!,MATCH($N$1,'Data yoy'!#REF!,),)</f>
        <v/>
      </c>
      <c r="O16" s="25">
        <f>VLOOKUP(B16,'Data yoy'!#REF!,MATCH($C$1,'Data yoy'!#REF!,),)</f>
        <v/>
      </c>
      <c r="P16" s="25">
        <f>VLOOKUP(B16,'Data yoy'!#REF!,MATCH($P$1,'Data yoy'!#REF!,),)</f>
        <v/>
      </c>
      <c r="Q16" s="25">
        <f>VLOOKUP(B16,'Data yoy'!#REF!,MATCH($Q$1,'Data yoy'!#REF!,),)</f>
        <v/>
      </c>
      <c r="R16" s="25">
        <f>VLOOKUP(B16,'Data yoy'!#REF!,MATCH($E$1,'Data yoy'!#REF!,),)</f>
        <v/>
      </c>
      <c r="S16" s="25">
        <f>VLOOKUP(B16,'Data yoy'!#REF!,MATCH($S$1,'Data yoy'!#REF!,),)</f>
        <v/>
      </c>
      <c r="T16" s="25">
        <f>VLOOKUP(B16,'Data yoy'!#REF!,MATCH($T$1,'Data yoy'!#REF!,),)</f>
        <v/>
      </c>
      <c r="U16" s="25">
        <f>VLOOKUP(B16,'Data yoy'!#REF!,MATCH($U$1,'Data yoy'!#REF!,),)</f>
        <v/>
      </c>
      <c r="V16" s="25">
        <f>VLOOKUP(B16,'Data yoy'!#REF!,MATCH($V$1,'Data yoy'!#REF!,),)</f>
        <v/>
      </c>
      <c r="W16" s="25">
        <f>VLOOKUP(B16,'Data yoy'!#REF!,MATCH($W$1,'Data yoy'!#REF!,),)</f>
        <v/>
      </c>
      <c r="X16" s="25">
        <f>VLOOKUP(B16,'Data yoy'!#REF!,MATCH($X$1,'Data yoy'!#REF!,),)</f>
        <v/>
      </c>
      <c r="Y16" s="25">
        <f>VLOOKUP(B16,'Data yoy'!#REF!,MATCH($Y$1,'Data yoy'!#REF!,),)</f>
        <v/>
      </c>
      <c r="Z16" s="25">
        <f>VLOOKUP(B16,'Data yoy'!#REF!,MATCH($Z$1,'Data yoy'!#REF!,),)</f>
        <v/>
      </c>
      <c r="AA16" s="25">
        <f>VLOOKUP(C16,'Data yoy'!#REF!,MATCH($Z$1,'Data yoy'!#REF!,),)</f>
        <v/>
      </c>
      <c r="AB16" s="74" t="n"/>
      <c r="AC16" s="26">
        <f>B16</f>
        <v/>
      </c>
      <c r="AD16" s="27">
        <f>(VLOOKUP(AC16,B:Y,MATCH($AE$6,$B$1:$Y$1,),))</f>
        <v/>
      </c>
      <c r="AE16" s="27">
        <f>(VLOOKUP(AC16,B:Y,MATCH($AE$7,$B$1:$Y$1,),))</f>
        <v/>
      </c>
    </row>
    <row r="17" hidden="1" s="68">
      <c r="B17" s="24" t="inlineStr">
        <is>
          <t>2001-Q3</t>
        </is>
      </c>
      <c r="C17" s="25">
        <f>VLOOKUP(B17,'Data yoy'!#REF!,MATCH($C$1,'Data yoy'!#REF!,),)</f>
        <v/>
      </c>
      <c r="D17" s="25">
        <f>VLOOKUP(B17,'Data yoy'!#REF!,MATCH($D$1,'Data yoy'!#REF!,),)</f>
        <v/>
      </c>
      <c r="E17" s="25">
        <f>VLOOKUP(B17,'Data yoy'!#REF!,MATCH($E$1,'Data yoy'!#REF!,),)</f>
        <v/>
      </c>
      <c r="F17" s="25">
        <f>VLOOKUP(B17,'Data yoy'!#REF!,MATCH($F$1,'Data yoy'!#REF!,),)</f>
        <v/>
      </c>
      <c r="G17" s="25">
        <f>VLOOKUP(B17,'Data yoy'!#REF!,MATCH($G$1,'Data yoy'!#REF!,),)</f>
        <v/>
      </c>
      <c r="H17" s="25">
        <f>VLOOKUP(B17,'Data yoy'!#REF!,MATCH($H$1,'Data yoy'!#REF!,),)</f>
        <v/>
      </c>
      <c r="I17" s="25">
        <f>VLOOKUP(B17,'Data yoy'!#REF!,MATCH($I$1,'Data yoy'!#REF!,),)</f>
        <v/>
      </c>
      <c r="J17" s="25">
        <f>VLOOKUP(B17,'Data yoy'!#REF!,MATCH($J$1,'Data yoy'!#REF!,),)</f>
        <v/>
      </c>
      <c r="K17" s="25">
        <f>VLOOKUP(B17,'Data yoy'!#REF!,MATCH($K$1,'Data yoy'!#REF!,),)</f>
        <v/>
      </c>
      <c r="L17" s="25">
        <f>VLOOKUP(B17,'Data yoy'!#REF!,MATCH($L$1,'Data yoy'!#REF!,),)</f>
        <v/>
      </c>
      <c r="M17" s="25">
        <f>VLOOKUP(B17,'Data yoy'!#REF!,MATCH($M$1,'Data yoy'!#REF!,),)</f>
        <v/>
      </c>
      <c r="N17" s="25">
        <f>VLOOKUP(B17,'Data yoy'!#REF!,MATCH($N$1,'Data yoy'!#REF!,),)</f>
        <v/>
      </c>
      <c r="O17" s="25">
        <f>VLOOKUP(B17,'Data yoy'!#REF!,MATCH($C$1,'Data yoy'!#REF!,),)</f>
        <v/>
      </c>
      <c r="P17" s="25">
        <f>VLOOKUP(B17,'Data yoy'!#REF!,MATCH($P$1,'Data yoy'!#REF!,),)</f>
        <v/>
      </c>
      <c r="Q17" s="25">
        <f>VLOOKUP(B17,'Data yoy'!#REF!,MATCH($Q$1,'Data yoy'!#REF!,),)</f>
        <v/>
      </c>
      <c r="R17" s="25">
        <f>VLOOKUP(B17,'Data yoy'!#REF!,MATCH($E$1,'Data yoy'!#REF!,),)</f>
        <v/>
      </c>
      <c r="S17" s="25">
        <f>VLOOKUP(B17,'Data yoy'!#REF!,MATCH($S$1,'Data yoy'!#REF!,),)</f>
        <v/>
      </c>
      <c r="T17" s="25">
        <f>VLOOKUP(B17,'Data yoy'!#REF!,MATCH($T$1,'Data yoy'!#REF!,),)</f>
        <v/>
      </c>
      <c r="U17" s="25">
        <f>VLOOKUP(B17,'Data yoy'!#REF!,MATCH($U$1,'Data yoy'!#REF!,),)</f>
        <v/>
      </c>
      <c r="V17" s="25">
        <f>VLOOKUP(B17,'Data yoy'!#REF!,MATCH($V$1,'Data yoy'!#REF!,),)</f>
        <v/>
      </c>
      <c r="W17" s="25">
        <f>VLOOKUP(B17,'Data yoy'!#REF!,MATCH($W$1,'Data yoy'!#REF!,),)</f>
        <v/>
      </c>
      <c r="X17" s="25">
        <f>VLOOKUP(B17,'Data yoy'!#REF!,MATCH($X$1,'Data yoy'!#REF!,),)</f>
        <v/>
      </c>
      <c r="Y17" s="25">
        <f>VLOOKUP(B17,'Data yoy'!#REF!,MATCH($Y$1,'Data yoy'!#REF!,),)</f>
        <v/>
      </c>
      <c r="Z17" s="25">
        <f>VLOOKUP(B17,'Data yoy'!#REF!,MATCH($Z$1,'Data yoy'!#REF!,),)</f>
        <v/>
      </c>
      <c r="AA17" s="25">
        <f>VLOOKUP(C17,'Data yoy'!#REF!,MATCH($Z$1,'Data yoy'!#REF!,),)</f>
        <v/>
      </c>
      <c r="AB17" s="74" t="n"/>
      <c r="AC17" s="26">
        <f>B17</f>
        <v/>
      </c>
      <c r="AD17" s="27">
        <f>(VLOOKUP(AC17,B:Y,MATCH($AE$6,$B$1:$Y$1,),))</f>
        <v/>
      </c>
      <c r="AE17" s="27">
        <f>(VLOOKUP(AC17,B:Y,MATCH($AE$7,$B$1:$Y$1,),))</f>
        <v/>
      </c>
    </row>
    <row r="18" hidden="1" s="68">
      <c r="B18" s="24" t="inlineStr">
        <is>
          <t>2001-Q4</t>
        </is>
      </c>
      <c r="C18" s="25">
        <f>VLOOKUP(B18,'Data yoy'!#REF!,MATCH($C$1,'Data yoy'!#REF!,),)</f>
        <v/>
      </c>
      <c r="D18" s="25">
        <f>VLOOKUP(B18,'Data yoy'!#REF!,MATCH($D$1,'Data yoy'!#REF!,),)</f>
        <v/>
      </c>
      <c r="E18" s="25">
        <f>VLOOKUP(B18,'Data yoy'!#REF!,MATCH($E$1,'Data yoy'!#REF!,),)</f>
        <v/>
      </c>
      <c r="F18" s="25">
        <f>VLOOKUP(B18,'Data yoy'!#REF!,MATCH($F$1,'Data yoy'!#REF!,),)</f>
        <v/>
      </c>
      <c r="G18" s="25">
        <f>VLOOKUP(B18,'Data yoy'!#REF!,MATCH($G$1,'Data yoy'!#REF!,),)</f>
        <v/>
      </c>
      <c r="H18" s="25">
        <f>VLOOKUP(B18,'Data yoy'!#REF!,MATCH($H$1,'Data yoy'!#REF!,),)</f>
        <v/>
      </c>
      <c r="I18" s="25">
        <f>VLOOKUP(B18,'Data yoy'!#REF!,MATCH($I$1,'Data yoy'!#REF!,),)</f>
        <v/>
      </c>
      <c r="J18" s="25">
        <f>VLOOKUP(B18,'Data yoy'!#REF!,MATCH($J$1,'Data yoy'!#REF!,),)</f>
        <v/>
      </c>
      <c r="K18" s="25">
        <f>VLOOKUP(B18,'Data yoy'!#REF!,MATCH($K$1,'Data yoy'!#REF!,),)</f>
        <v/>
      </c>
      <c r="L18" s="25">
        <f>VLOOKUP(B18,'Data yoy'!#REF!,MATCH($L$1,'Data yoy'!#REF!,),)</f>
        <v/>
      </c>
      <c r="M18" s="25">
        <f>VLOOKUP(B18,'Data yoy'!#REF!,MATCH($M$1,'Data yoy'!#REF!,),)</f>
        <v/>
      </c>
      <c r="N18" s="25">
        <f>VLOOKUP(B18,'Data yoy'!#REF!,MATCH($N$1,'Data yoy'!#REF!,),)</f>
        <v/>
      </c>
      <c r="O18" s="25">
        <f>VLOOKUP(B18,'Data yoy'!#REF!,MATCH($C$1,'Data yoy'!#REF!,),)</f>
        <v/>
      </c>
      <c r="P18" s="25">
        <f>VLOOKUP(B18,'Data yoy'!#REF!,MATCH($P$1,'Data yoy'!#REF!,),)</f>
        <v/>
      </c>
      <c r="Q18" s="25">
        <f>VLOOKUP(B18,'Data yoy'!#REF!,MATCH($Q$1,'Data yoy'!#REF!,),)</f>
        <v/>
      </c>
      <c r="R18" s="25">
        <f>VLOOKUP(B18,'Data yoy'!#REF!,MATCH($E$1,'Data yoy'!#REF!,),)</f>
        <v/>
      </c>
      <c r="S18" s="25">
        <f>VLOOKUP(B18,'Data yoy'!#REF!,MATCH($S$1,'Data yoy'!#REF!,),)</f>
        <v/>
      </c>
      <c r="T18" s="25">
        <f>VLOOKUP(B18,'Data yoy'!#REF!,MATCH($T$1,'Data yoy'!#REF!,),)</f>
        <v/>
      </c>
      <c r="U18" s="25">
        <f>VLOOKUP(B18,'Data yoy'!#REF!,MATCH($U$1,'Data yoy'!#REF!,),)</f>
        <v/>
      </c>
      <c r="V18" s="25">
        <f>VLOOKUP(B18,'Data yoy'!#REF!,MATCH($V$1,'Data yoy'!#REF!,),)</f>
        <v/>
      </c>
      <c r="W18" s="25">
        <f>VLOOKUP(B18,'Data yoy'!#REF!,MATCH($W$1,'Data yoy'!#REF!,),)</f>
        <v/>
      </c>
      <c r="X18" s="25">
        <f>VLOOKUP(B18,'Data yoy'!#REF!,MATCH($X$1,'Data yoy'!#REF!,),)</f>
        <v/>
      </c>
      <c r="Y18" s="25">
        <f>VLOOKUP(B18,'Data yoy'!#REF!,MATCH($Y$1,'Data yoy'!#REF!,),)</f>
        <v/>
      </c>
      <c r="Z18" s="25">
        <f>VLOOKUP(B18,'Data yoy'!#REF!,MATCH($Z$1,'Data yoy'!#REF!,),)</f>
        <v/>
      </c>
      <c r="AA18" s="25">
        <f>VLOOKUP(C18,'Data yoy'!#REF!,MATCH($Z$1,'Data yoy'!#REF!,),)</f>
        <v/>
      </c>
      <c r="AB18" s="74" t="n"/>
      <c r="AC18" s="26">
        <f>B18</f>
        <v/>
      </c>
      <c r="AD18" s="27">
        <f>(VLOOKUP(AC18,B:Y,MATCH($AE$6,$B$1:$Y$1,),))</f>
        <v/>
      </c>
      <c r="AE18" s="27">
        <f>(VLOOKUP(AC18,B:Y,MATCH($AE$7,$B$1:$Y$1,),))</f>
        <v/>
      </c>
    </row>
    <row r="19" hidden="1" s="68">
      <c r="B19" s="24" t="inlineStr">
        <is>
          <t>2002-Q1</t>
        </is>
      </c>
      <c r="C19" s="25">
        <f>VLOOKUP(B19,'Data yoy'!#REF!,MATCH($C$1,'Data yoy'!#REF!,),)</f>
        <v/>
      </c>
      <c r="D19" s="25">
        <f>VLOOKUP(B19,'Data yoy'!#REF!,MATCH($D$1,'Data yoy'!#REF!,),)</f>
        <v/>
      </c>
      <c r="E19" s="25">
        <f>VLOOKUP(B19,'Data yoy'!#REF!,MATCH($E$1,'Data yoy'!#REF!,),)</f>
        <v/>
      </c>
      <c r="F19" s="25">
        <f>VLOOKUP(B19,'Data yoy'!#REF!,MATCH($F$1,'Data yoy'!#REF!,),)</f>
        <v/>
      </c>
      <c r="G19" s="25">
        <f>VLOOKUP(B19,'Data yoy'!#REF!,MATCH($G$1,'Data yoy'!#REF!,),)</f>
        <v/>
      </c>
      <c r="H19" s="25">
        <f>VLOOKUP(B19,'Data yoy'!#REF!,MATCH($H$1,'Data yoy'!#REF!,),)</f>
        <v/>
      </c>
      <c r="I19" s="25">
        <f>VLOOKUP(B19,'Data yoy'!#REF!,MATCH($I$1,'Data yoy'!#REF!,),)</f>
        <v/>
      </c>
      <c r="J19" s="25">
        <f>VLOOKUP(B19,'Data yoy'!#REF!,MATCH($J$1,'Data yoy'!#REF!,),)</f>
        <v/>
      </c>
      <c r="K19" s="25">
        <f>VLOOKUP(B19,'Data yoy'!#REF!,MATCH($K$1,'Data yoy'!#REF!,),)</f>
        <v/>
      </c>
      <c r="L19" s="25">
        <f>VLOOKUP(B19,'Data yoy'!#REF!,MATCH($L$1,'Data yoy'!#REF!,),)</f>
        <v/>
      </c>
      <c r="M19" s="25">
        <f>VLOOKUP(B19,'Data yoy'!#REF!,MATCH($M$1,'Data yoy'!#REF!,),)</f>
        <v/>
      </c>
      <c r="N19" s="25">
        <f>VLOOKUP(B19,'Data yoy'!#REF!,MATCH($N$1,'Data yoy'!#REF!,),)</f>
        <v/>
      </c>
      <c r="O19" s="25">
        <f>VLOOKUP(B19,'Data yoy'!#REF!,MATCH($C$1,'Data yoy'!#REF!,),)</f>
        <v/>
      </c>
      <c r="P19" s="25">
        <f>VLOOKUP(B19,'Data yoy'!#REF!,MATCH($P$1,'Data yoy'!#REF!,),)</f>
        <v/>
      </c>
      <c r="Q19" s="25">
        <f>VLOOKUP(B19,'Data yoy'!#REF!,MATCH($Q$1,'Data yoy'!#REF!,),)</f>
        <v/>
      </c>
      <c r="R19" s="25">
        <f>VLOOKUP(B19,'Data yoy'!#REF!,MATCH($E$1,'Data yoy'!#REF!,),)</f>
        <v/>
      </c>
      <c r="S19" s="25">
        <f>VLOOKUP(B19,'Data yoy'!#REF!,MATCH($S$1,'Data yoy'!#REF!,),)</f>
        <v/>
      </c>
      <c r="T19" s="25">
        <f>VLOOKUP(B19,'Data yoy'!#REF!,MATCH($T$1,'Data yoy'!#REF!,),)</f>
        <v/>
      </c>
      <c r="U19" s="25">
        <f>VLOOKUP(B19,'Data yoy'!#REF!,MATCH($U$1,'Data yoy'!#REF!,),)</f>
        <v/>
      </c>
      <c r="V19" s="25">
        <f>VLOOKUP(B19,'Data yoy'!#REF!,MATCH($V$1,'Data yoy'!#REF!,),)</f>
        <v/>
      </c>
      <c r="W19" s="25">
        <f>VLOOKUP(B19,'Data yoy'!#REF!,MATCH($W$1,'Data yoy'!#REF!,),)</f>
        <v/>
      </c>
      <c r="X19" s="25">
        <f>VLOOKUP(B19,'Data yoy'!#REF!,MATCH($X$1,'Data yoy'!#REF!,),)</f>
        <v/>
      </c>
      <c r="Y19" s="25">
        <f>VLOOKUP(B19,'Data yoy'!#REF!,MATCH($Y$1,'Data yoy'!#REF!,),)</f>
        <v/>
      </c>
      <c r="Z19" s="25">
        <f>VLOOKUP(B19,'Data yoy'!#REF!,MATCH($Z$1,'Data yoy'!#REF!,),)</f>
        <v/>
      </c>
      <c r="AA19" s="25">
        <f>VLOOKUP(C19,'Data yoy'!#REF!,MATCH($Z$1,'Data yoy'!#REF!,),)</f>
        <v/>
      </c>
      <c r="AB19" s="74" t="n"/>
      <c r="AC19" s="26">
        <f>B19</f>
        <v/>
      </c>
      <c r="AD19" s="27">
        <f>(VLOOKUP(AC19,B:Y,MATCH($AE$6,$B$1:$Y$1,),))</f>
        <v/>
      </c>
      <c r="AE19" s="27">
        <f>(VLOOKUP(AC19,B:Y,MATCH($AE$7,$B$1:$Y$1,),))</f>
        <v/>
      </c>
    </row>
    <row r="20" hidden="1" s="68">
      <c r="B20" s="24" t="inlineStr">
        <is>
          <t>2002-Q2</t>
        </is>
      </c>
      <c r="C20" s="25">
        <f>VLOOKUP(B20,'Data yoy'!#REF!,MATCH($C$1,'Data yoy'!#REF!,),)</f>
        <v/>
      </c>
      <c r="D20" s="25">
        <f>VLOOKUP(B20,'Data yoy'!#REF!,MATCH($D$1,'Data yoy'!#REF!,),)</f>
        <v/>
      </c>
      <c r="E20" s="25">
        <f>VLOOKUP(B20,'Data yoy'!#REF!,MATCH($E$1,'Data yoy'!#REF!,),)</f>
        <v/>
      </c>
      <c r="F20" s="25">
        <f>VLOOKUP(B20,'Data yoy'!#REF!,MATCH($F$1,'Data yoy'!#REF!,),)</f>
        <v/>
      </c>
      <c r="G20" s="25">
        <f>VLOOKUP(B20,'Data yoy'!#REF!,MATCH($G$1,'Data yoy'!#REF!,),)</f>
        <v/>
      </c>
      <c r="H20" s="25">
        <f>VLOOKUP(B20,'Data yoy'!#REF!,MATCH($H$1,'Data yoy'!#REF!,),)</f>
        <v/>
      </c>
      <c r="I20" s="25">
        <f>VLOOKUP(B20,'Data yoy'!#REF!,MATCH($I$1,'Data yoy'!#REF!,),)</f>
        <v/>
      </c>
      <c r="J20" s="25">
        <f>VLOOKUP(B20,'Data yoy'!#REF!,MATCH($J$1,'Data yoy'!#REF!,),)</f>
        <v/>
      </c>
      <c r="K20" s="25">
        <f>VLOOKUP(B20,'Data yoy'!#REF!,MATCH($K$1,'Data yoy'!#REF!,),)</f>
        <v/>
      </c>
      <c r="L20" s="25">
        <f>VLOOKUP(B20,'Data yoy'!#REF!,MATCH($L$1,'Data yoy'!#REF!,),)</f>
        <v/>
      </c>
      <c r="M20" s="25">
        <f>VLOOKUP(B20,'Data yoy'!#REF!,MATCH($M$1,'Data yoy'!#REF!,),)</f>
        <v/>
      </c>
      <c r="N20" s="25">
        <f>VLOOKUP(B20,'Data yoy'!#REF!,MATCH($N$1,'Data yoy'!#REF!,),)</f>
        <v/>
      </c>
      <c r="O20" s="25">
        <f>VLOOKUP(B20,'Data yoy'!#REF!,MATCH($C$1,'Data yoy'!#REF!,),)</f>
        <v/>
      </c>
      <c r="P20" s="25">
        <f>VLOOKUP(B20,'Data yoy'!#REF!,MATCH($P$1,'Data yoy'!#REF!,),)</f>
        <v/>
      </c>
      <c r="Q20" s="25">
        <f>VLOOKUP(B20,'Data yoy'!#REF!,MATCH($Q$1,'Data yoy'!#REF!,),)</f>
        <v/>
      </c>
      <c r="R20" s="25">
        <f>VLOOKUP(B20,'Data yoy'!#REF!,MATCH($E$1,'Data yoy'!#REF!,),)</f>
        <v/>
      </c>
      <c r="S20" s="25">
        <f>VLOOKUP(B20,'Data yoy'!#REF!,MATCH($S$1,'Data yoy'!#REF!,),)</f>
        <v/>
      </c>
      <c r="T20" s="25">
        <f>VLOOKUP(B20,'Data yoy'!#REF!,MATCH($T$1,'Data yoy'!#REF!,),)</f>
        <v/>
      </c>
      <c r="U20" s="25">
        <f>VLOOKUP(B20,'Data yoy'!#REF!,MATCH($U$1,'Data yoy'!#REF!,),)</f>
        <v/>
      </c>
      <c r="V20" s="25">
        <f>VLOOKUP(B20,'Data yoy'!#REF!,MATCH($V$1,'Data yoy'!#REF!,),)</f>
        <v/>
      </c>
      <c r="W20" s="25">
        <f>VLOOKUP(B20,'Data yoy'!#REF!,MATCH($W$1,'Data yoy'!#REF!,),)</f>
        <v/>
      </c>
      <c r="X20" s="25">
        <f>VLOOKUP(B20,'Data yoy'!#REF!,MATCH($X$1,'Data yoy'!#REF!,),)</f>
        <v/>
      </c>
      <c r="Y20" s="25">
        <f>VLOOKUP(B20,'Data yoy'!#REF!,MATCH($Y$1,'Data yoy'!#REF!,),)</f>
        <v/>
      </c>
      <c r="Z20" s="25">
        <f>VLOOKUP(B20,'Data yoy'!#REF!,MATCH($Z$1,'Data yoy'!#REF!,),)</f>
        <v/>
      </c>
      <c r="AA20" s="25">
        <f>VLOOKUP(C20,'Data yoy'!#REF!,MATCH($Z$1,'Data yoy'!#REF!,),)</f>
        <v/>
      </c>
      <c r="AB20" s="74" t="n"/>
      <c r="AC20" s="26">
        <f>B20</f>
        <v/>
      </c>
      <c r="AD20" s="27">
        <f>(VLOOKUP(AC20,B:Y,MATCH($AE$6,$B$1:$Y$1,),))</f>
        <v/>
      </c>
      <c r="AE20" s="27">
        <f>(VLOOKUP(AC20,B:Y,MATCH($AE$7,$B$1:$Y$1,),))</f>
        <v/>
      </c>
    </row>
    <row r="21" hidden="1" s="68">
      <c r="B21" s="24" t="inlineStr">
        <is>
          <t>2002-Q3</t>
        </is>
      </c>
      <c r="C21" s="25">
        <f>VLOOKUP(B21,'Data yoy'!#REF!,MATCH($C$1,'Data yoy'!#REF!,),)</f>
        <v/>
      </c>
      <c r="D21" s="25">
        <f>VLOOKUP(B21,'Data yoy'!#REF!,MATCH($D$1,'Data yoy'!#REF!,),)</f>
        <v/>
      </c>
      <c r="E21" s="25">
        <f>VLOOKUP(B21,'Data yoy'!#REF!,MATCH($E$1,'Data yoy'!#REF!,),)</f>
        <v/>
      </c>
      <c r="F21" s="25">
        <f>VLOOKUP(B21,'Data yoy'!#REF!,MATCH($F$1,'Data yoy'!#REF!,),)</f>
        <v/>
      </c>
      <c r="G21" s="25">
        <f>VLOOKUP(B21,'Data yoy'!#REF!,MATCH($G$1,'Data yoy'!#REF!,),)</f>
        <v/>
      </c>
      <c r="H21" s="25">
        <f>VLOOKUP(B21,'Data yoy'!#REF!,MATCH($H$1,'Data yoy'!#REF!,),)</f>
        <v/>
      </c>
      <c r="I21" s="25">
        <f>VLOOKUP(B21,'Data yoy'!#REF!,MATCH($I$1,'Data yoy'!#REF!,),)</f>
        <v/>
      </c>
      <c r="J21" s="25">
        <f>VLOOKUP(B21,'Data yoy'!#REF!,MATCH($J$1,'Data yoy'!#REF!,),)</f>
        <v/>
      </c>
      <c r="K21" s="25">
        <f>VLOOKUP(B21,'Data yoy'!#REF!,MATCH($K$1,'Data yoy'!#REF!,),)</f>
        <v/>
      </c>
      <c r="L21" s="25">
        <f>VLOOKUP(B21,'Data yoy'!#REF!,MATCH($L$1,'Data yoy'!#REF!,),)</f>
        <v/>
      </c>
      <c r="M21" s="25">
        <f>VLOOKUP(B21,'Data yoy'!#REF!,MATCH($M$1,'Data yoy'!#REF!,),)</f>
        <v/>
      </c>
      <c r="N21" s="25">
        <f>VLOOKUP(B21,'Data yoy'!#REF!,MATCH($N$1,'Data yoy'!#REF!,),)</f>
        <v/>
      </c>
      <c r="O21" s="25">
        <f>VLOOKUP(B21,'Data yoy'!#REF!,MATCH($C$1,'Data yoy'!#REF!,),)</f>
        <v/>
      </c>
      <c r="P21" s="25">
        <f>VLOOKUP(B21,'Data yoy'!#REF!,MATCH($P$1,'Data yoy'!#REF!,),)</f>
        <v/>
      </c>
      <c r="Q21" s="25">
        <f>VLOOKUP(B21,'Data yoy'!#REF!,MATCH($Q$1,'Data yoy'!#REF!,),)</f>
        <v/>
      </c>
      <c r="R21" s="25">
        <f>VLOOKUP(B21,'Data yoy'!#REF!,MATCH($E$1,'Data yoy'!#REF!,),)</f>
        <v/>
      </c>
      <c r="S21" s="25">
        <f>VLOOKUP(B21,'Data yoy'!#REF!,MATCH($S$1,'Data yoy'!#REF!,),)</f>
        <v/>
      </c>
      <c r="T21" s="25">
        <f>VLOOKUP(B21,'Data yoy'!#REF!,MATCH($T$1,'Data yoy'!#REF!,),)</f>
        <v/>
      </c>
      <c r="U21" s="25">
        <f>VLOOKUP(B21,'Data yoy'!#REF!,MATCH($U$1,'Data yoy'!#REF!,),)</f>
        <v/>
      </c>
      <c r="V21" s="25">
        <f>VLOOKUP(B21,'Data yoy'!#REF!,MATCH($V$1,'Data yoy'!#REF!,),)</f>
        <v/>
      </c>
      <c r="W21" s="25">
        <f>VLOOKUP(B21,'Data yoy'!#REF!,MATCH($W$1,'Data yoy'!#REF!,),)</f>
        <v/>
      </c>
      <c r="X21" s="25">
        <f>VLOOKUP(B21,'Data yoy'!#REF!,MATCH($X$1,'Data yoy'!#REF!,),)</f>
        <v/>
      </c>
      <c r="Y21" s="25">
        <f>VLOOKUP(B21,'Data yoy'!#REF!,MATCH($Y$1,'Data yoy'!#REF!,),)</f>
        <v/>
      </c>
      <c r="Z21" s="25">
        <f>VLOOKUP(B21,'Data yoy'!#REF!,MATCH($Z$1,'Data yoy'!#REF!,),)</f>
        <v/>
      </c>
      <c r="AA21" s="25">
        <f>VLOOKUP(C21,'Data yoy'!#REF!,MATCH($Z$1,'Data yoy'!#REF!,),)</f>
        <v/>
      </c>
      <c r="AB21" s="74" t="n"/>
      <c r="AC21" s="26">
        <f>B21</f>
        <v/>
      </c>
      <c r="AD21" s="27">
        <f>(VLOOKUP(AC21,B:Y,MATCH($AE$6,$B$1:$Y$1,),))</f>
        <v/>
      </c>
      <c r="AE21" s="27">
        <f>(VLOOKUP(AC21,B:Y,MATCH($AE$7,$B$1:$Y$1,),))</f>
        <v/>
      </c>
    </row>
    <row r="22" hidden="1" s="68">
      <c r="B22" s="24" t="inlineStr">
        <is>
          <t>2002-Q4</t>
        </is>
      </c>
      <c r="C22" s="25">
        <f>VLOOKUP(B22,'Data yoy'!#REF!,MATCH($C$1,'Data yoy'!#REF!,),)</f>
        <v/>
      </c>
      <c r="D22" s="25">
        <f>VLOOKUP(B22,'Data yoy'!#REF!,MATCH($D$1,'Data yoy'!#REF!,),)</f>
        <v/>
      </c>
      <c r="E22" s="25">
        <f>VLOOKUP(B22,'Data yoy'!#REF!,MATCH($E$1,'Data yoy'!#REF!,),)</f>
        <v/>
      </c>
      <c r="F22" s="25">
        <f>VLOOKUP(B22,'Data yoy'!#REF!,MATCH($F$1,'Data yoy'!#REF!,),)</f>
        <v/>
      </c>
      <c r="G22" s="25">
        <f>VLOOKUP(B22,'Data yoy'!#REF!,MATCH($G$1,'Data yoy'!#REF!,),)</f>
        <v/>
      </c>
      <c r="H22" s="25">
        <f>VLOOKUP(B22,'Data yoy'!#REF!,MATCH($H$1,'Data yoy'!#REF!,),)</f>
        <v/>
      </c>
      <c r="I22" s="25">
        <f>VLOOKUP(B22,'Data yoy'!#REF!,MATCH($I$1,'Data yoy'!#REF!,),)</f>
        <v/>
      </c>
      <c r="J22" s="25">
        <f>VLOOKUP(B22,'Data yoy'!#REF!,MATCH($J$1,'Data yoy'!#REF!,),)</f>
        <v/>
      </c>
      <c r="K22" s="25">
        <f>VLOOKUP(B22,'Data yoy'!#REF!,MATCH($K$1,'Data yoy'!#REF!,),)</f>
        <v/>
      </c>
      <c r="L22" s="25">
        <f>VLOOKUP(B22,'Data yoy'!#REF!,MATCH($L$1,'Data yoy'!#REF!,),)</f>
        <v/>
      </c>
      <c r="M22" s="25">
        <f>VLOOKUP(B22,'Data yoy'!#REF!,MATCH($M$1,'Data yoy'!#REF!,),)</f>
        <v/>
      </c>
      <c r="N22" s="25">
        <f>VLOOKUP(B22,'Data yoy'!#REF!,MATCH($N$1,'Data yoy'!#REF!,),)</f>
        <v/>
      </c>
      <c r="O22" s="25">
        <f>VLOOKUP(B22,'Data yoy'!#REF!,MATCH($C$1,'Data yoy'!#REF!,),)</f>
        <v/>
      </c>
      <c r="P22" s="25">
        <f>VLOOKUP(B22,'Data yoy'!#REF!,MATCH($P$1,'Data yoy'!#REF!,),)</f>
        <v/>
      </c>
      <c r="Q22" s="25">
        <f>VLOOKUP(B22,'Data yoy'!#REF!,MATCH($Q$1,'Data yoy'!#REF!,),)</f>
        <v/>
      </c>
      <c r="R22" s="25">
        <f>VLOOKUP(B22,'Data yoy'!#REF!,MATCH($E$1,'Data yoy'!#REF!,),)</f>
        <v/>
      </c>
      <c r="S22" s="25">
        <f>VLOOKUP(B22,'Data yoy'!#REF!,MATCH($S$1,'Data yoy'!#REF!,),)</f>
        <v/>
      </c>
      <c r="T22" s="25">
        <f>VLOOKUP(B22,'Data yoy'!#REF!,MATCH($T$1,'Data yoy'!#REF!,),)</f>
        <v/>
      </c>
      <c r="U22" s="25">
        <f>VLOOKUP(B22,'Data yoy'!#REF!,MATCH($U$1,'Data yoy'!#REF!,),)</f>
        <v/>
      </c>
      <c r="V22" s="25">
        <f>VLOOKUP(B22,'Data yoy'!#REF!,MATCH($V$1,'Data yoy'!#REF!,),)</f>
        <v/>
      </c>
      <c r="W22" s="25">
        <f>VLOOKUP(B22,'Data yoy'!#REF!,MATCH($W$1,'Data yoy'!#REF!,),)</f>
        <v/>
      </c>
      <c r="X22" s="25">
        <f>VLOOKUP(B22,'Data yoy'!#REF!,MATCH($X$1,'Data yoy'!#REF!,),)</f>
        <v/>
      </c>
      <c r="Y22" s="25">
        <f>VLOOKUP(B22,'Data yoy'!#REF!,MATCH($Y$1,'Data yoy'!#REF!,),)</f>
        <v/>
      </c>
      <c r="Z22" s="25">
        <f>VLOOKUP(B22,'Data yoy'!#REF!,MATCH($Z$1,'Data yoy'!#REF!,),)</f>
        <v/>
      </c>
      <c r="AA22" s="25">
        <f>VLOOKUP(C22,'Data yoy'!#REF!,MATCH($Z$1,'Data yoy'!#REF!,),)</f>
        <v/>
      </c>
      <c r="AB22" s="74" t="n"/>
      <c r="AC22" s="26">
        <f>B22</f>
        <v/>
      </c>
      <c r="AD22" s="27">
        <f>(VLOOKUP(AC22,B:Y,MATCH($AE$6,$B$1:$Y$1,),))</f>
        <v/>
      </c>
      <c r="AE22" s="27">
        <f>(VLOOKUP(AC22,B:Y,MATCH($AE$7,$B$1:$Y$1,),))</f>
        <v/>
      </c>
    </row>
    <row r="23" hidden="1" s="68">
      <c r="B23" s="24" t="inlineStr">
        <is>
          <t>2003-Q1</t>
        </is>
      </c>
      <c r="C23" s="25">
        <f>VLOOKUP(B23,'Data yoy'!#REF!,MATCH($C$1,'Data yoy'!#REF!,),)</f>
        <v/>
      </c>
      <c r="D23" s="25">
        <f>VLOOKUP(B23,'Data yoy'!#REF!,MATCH($D$1,'Data yoy'!#REF!,),)</f>
        <v/>
      </c>
      <c r="E23" s="25">
        <f>VLOOKUP(B23,'Data yoy'!#REF!,MATCH($E$1,'Data yoy'!#REF!,),)</f>
        <v/>
      </c>
      <c r="F23" s="25">
        <f>VLOOKUP(B23,'Data yoy'!#REF!,MATCH($F$1,'Data yoy'!#REF!,),)</f>
        <v/>
      </c>
      <c r="G23" s="25">
        <f>VLOOKUP(B23,'Data yoy'!#REF!,MATCH($G$1,'Data yoy'!#REF!,),)</f>
        <v/>
      </c>
      <c r="H23" s="25">
        <f>VLOOKUP(B23,'Data yoy'!#REF!,MATCH($H$1,'Data yoy'!#REF!,),)</f>
        <v/>
      </c>
      <c r="I23" s="25">
        <f>VLOOKUP(B23,'Data yoy'!#REF!,MATCH($I$1,'Data yoy'!#REF!,),)</f>
        <v/>
      </c>
      <c r="J23" s="25">
        <f>VLOOKUP(B23,'Data yoy'!#REF!,MATCH($J$1,'Data yoy'!#REF!,),)</f>
        <v/>
      </c>
      <c r="K23" s="25">
        <f>VLOOKUP(B23,'Data yoy'!#REF!,MATCH($K$1,'Data yoy'!#REF!,),)</f>
        <v/>
      </c>
      <c r="L23" s="25">
        <f>VLOOKUP(B23,'Data yoy'!#REF!,MATCH($L$1,'Data yoy'!#REF!,),)</f>
        <v/>
      </c>
      <c r="M23" s="25">
        <f>VLOOKUP(B23,'Data yoy'!#REF!,MATCH($M$1,'Data yoy'!#REF!,),)</f>
        <v/>
      </c>
      <c r="N23" s="25">
        <f>VLOOKUP(B23,'Data yoy'!#REF!,MATCH($N$1,'Data yoy'!#REF!,),)</f>
        <v/>
      </c>
      <c r="O23" s="25">
        <f>VLOOKUP(B23,'Data yoy'!#REF!,MATCH($C$1,'Data yoy'!#REF!,),)</f>
        <v/>
      </c>
      <c r="P23" s="25">
        <f>VLOOKUP(B23,'Data yoy'!#REF!,MATCH($P$1,'Data yoy'!#REF!,),)</f>
        <v/>
      </c>
      <c r="Q23" s="25">
        <f>VLOOKUP(B23,'Data yoy'!#REF!,MATCH($Q$1,'Data yoy'!#REF!,),)</f>
        <v/>
      </c>
      <c r="R23" s="25">
        <f>VLOOKUP(B23,'Data yoy'!#REF!,MATCH($E$1,'Data yoy'!#REF!,),)</f>
        <v/>
      </c>
      <c r="S23" s="25">
        <f>VLOOKUP(B23,'Data yoy'!#REF!,MATCH($S$1,'Data yoy'!#REF!,),)</f>
        <v/>
      </c>
      <c r="T23" s="25">
        <f>VLOOKUP(B23,'Data yoy'!#REF!,MATCH($T$1,'Data yoy'!#REF!,),)</f>
        <v/>
      </c>
      <c r="U23" s="25">
        <f>VLOOKUP(B23,'Data yoy'!#REF!,MATCH($U$1,'Data yoy'!#REF!,),)</f>
        <v/>
      </c>
      <c r="V23" s="25">
        <f>VLOOKUP(B23,'Data yoy'!#REF!,MATCH($V$1,'Data yoy'!#REF!,),)</f>
        <v/>
      </c>
      <c r="W23" s="25">
        <f>VLOOKUP(B23,'Data yoy'!#REF!,MATCH($W$1,'Data yoy'!#REF!,),)</f>
        <v/>
      </c>
      <c r="X23" s="25">
        <f>VLOOKUP(B23,'Data yoy'!#REF!,MATCH($X$1,'Data yoy'!#REF!,),)</f>
        <v/>
      </c>
      <c r="Y23" s="25">
        <f>VLOOKUP(B23,'Data yoy'!#REF!,MATCH($Y$1,'Data yoy'!#REF!,),)</f>
        <v/>
      </c>
      <c r="Z23" s="25">
        <f>VLOOKUP(B23,'Data yoy'!#REF!,MATCH($Z$1,'Data yoy'!#REF!,),)</f>
        <v/>
      </c>
      <c r="AA23" s="25">
        <f>VLOOKUP(C23,'Data yoy'!#REF!,MATCH($Z$1,'Data yoy'!#REF!,),)</f>
        <v/>
      </c>
      <c r="AB23" s="74" t="n"/>
      <c r="AC23" s="26">
        <f>B23</f>
        <v/>
      </c>
      <c r="AD23" s="27">
        <f>(VLOOKUP(AC23,B:Y,MATCH($AE$6,$B$1:$Y$1,),))</f>
        <v/>
      </c>
      <c r="AE23" s="27">
        <f>(VLOOKUP(AC23,B:Y,MATCH($AE$7,$B$1:$Y$1,),))</f>
        <v/>
      </c>
    </row>
    <row r="24" hidden="1" s="68">
      <c r="B24" s="24" t="inlineStr">
        <is>
          <t>2003-Q2</t>
        </is>
      </c>
      <c r="C24" s="25">
        <f>VLOOKUP(B24,'Data yoy'!#REF!,MATCH($C$1,'Data yoy'!#REF!,),)</f>
        <v/>
      </c>
      <c r="D24" s="25">
        <f>VLOOKUP(B24,'Data yoy'!#REF!,MATCH($D$1,'Data yoy'!#REF!,),)</f>
        <v/>
      </c>
      <c r="E24" s="25">
        <f>VLOOKUP(B24,'Data yoy'!#REF!,MATCH($E$1,'Data yoy'!#REF!,),)</f>
        <v/>
      </c>
      <c r="F24" s="25">
        <f>VLOOKUP(B24,'Data yoy'!#REF!,MATCH($F$1,'Data yoy'!#REF!,),)</f>
        <v/>
      </c>
      <c r="G24" s="25">
        <f>VLOOKUP(B24,'Data yoy'!#REF!,MATCH($G$1,'Data yoy'!#REF!,),)</f>
        <v/>
      </c>
      <c r="H24" s="25">
        <f>VLOOKUP(B24,'Data yoy'!#REF!,MATCH($H$1,'Data yoy'!#REF!,),)</f>
        <v/>
      </c>
      <c r="I24" s="25">
        <f>VLOOKUP(B24,'Data yoy'!#REF!,MATCH($I$1,'Data yoy'!#REF!,),)</f>
        <v/>
      </c>
      <c r="J24" s="25">
        <f>VLOOKUP(B24,'Data yoy'!#REF!,MATCH($J$1,'Data yoy'!#REF!,),)</f>
        <v/>
      </c>
      <c r="K24" s="25">
        <f>VLOOKUP(B24,'Data yoy'!#REF!,MATCH($K$1,'Data yoy'!#REF!,),)</f>
        <v/>
      </c>
      <c r="L24" s="25">
        <f>VLOOKUP(B24,'Data yoy'!#REF!,MATCH($L$1,'Data yoy'!#REF!,),)</f>
        <v/>
      </c>
      <c r="M24" s="25">
        <f>VLOOKUP(B24,'Data yoy'!#REF!,MATCH($M$1,'Data yoy'!#REF!,),)</f>
        <v/>
      </c>
      <c r="N24" s="25">
        <f>VLOOKUP(B24,'Data yoy'!#REF!,MATCH($N$1,'Data yoy'!#REF!,),)</f>
        <v/>
      </c>
      <c r="O24" s="25">
        <f>VLOOKUP(B24,'Data yoy'!#REF!,MATCH($C$1,'Data yoy'!#REF!,),)</f>
        <v/>
      </c>
      <c r="P24" s="25">
        <f>VLOOKUP(B24,'Data yoy'!#REF!,MATCH($P$1,'Data yoy'!#REF!,),)</f>
        <v/>
      </c>
      <c r="Q24" s="25">
        <f>VLOOKUP(B24,'Data yoy'!#REF!,MATCH($Q$1,'Data yoy'!#REF!,),)</f>
        <v/>
      </c>
      <c r="R24" s="25">
        <f>VLOOKUP(B24,'Data yoy'!#REF!,MATCH($E$1,'Data yoy'!#REF!,),)</f>
        <v/>
      </c>
      <c r="S24" s="25">
        <f>VLOOKUP(B24,'Data yoy'!#REF!,MATCH($S$1,'Data yoy'!#REF!,),)</f>
        <v/>
      </c>
      <c r="T24" s="25">
        <f>VLOOKUP(B24,'Data yoy'!#REF!,MATCH($T$1,'Data yoy'!#REF!,),)</f>
        <v/>
      </c>
      <c r="U24" s="25">
        <f>VLOOKUP(B24,'Data yoy'!#REF!,MATCH($U$1,'Data yoy'!#REF!,),)</f>
        <v/>
      </c>
      <c r="V24" s="25">
        <f>VLOOKUP(B24,'Data yoy'!#REF!,MATCH($V$1,'Data yoy'!#REF!,),)</f>
        <v/>
      </c>
      <c r="W24" s="25">
        <f>VLOOKUP(B24,'Data yoy'!#REF!,MATCH($W$1,'Data yoy'!#REF!,),)</f>
        <v/>
      </c>
      <c r="X24" s="25">
        <f>VLOOKUP(B24,'Data yoy'!#REF!,MATCH($X$1,'Data yoy'!#REF!,),)</f>
        <v/>
      </c>
      <c r="Y24" s="25">
        <f>VLOOKUP(B24,'Data yoy'!#REF!,MATCH($Y$1,'Data yoy'!#REF!,),)</f>
        <v/>
      </c>
      <c r="Z24" s="25">
        <f>VLOOKUP(B24,'Data yoy'!#REF!,MATCH($Z$1,'Data yoy'!#REF!,),)</f>
        <v/>
      </c>
      <c r="AA24" s="25">
        <f>VLOOKUP(C24,'Data yoy'!#REF!,MATCH($Z$1,'Data yoy'!#REF!,),)</f>
        <v/>
      </c>
      <c r="AB24" s="74" t="n"/>
      <c r="AC24" s="26">
        <f>B24</f>
        <v/>
      </c>
      <c r="AD24" s="27">
        <f>(VLOOKUP(AC24,B:Y,MATCH($AE$6,$B$1:$Y$1,),))</f>
        <v/>
      </c>
      <c r="AE24" s="27">
        <f>(VLOOKUP(AC24,B:Y,MATCH($AE$7,$B$1:$Y$1,),))</f>
        <v/>
      </c>
    </row>
    <row r="25" hidden="1" s="68">
      <c r="B25" s="24" t="inlineStr">
        <is>
          <t>2003-Q3</t>
        </is>
      </c>
      <c r="C25" s="25">
        <f>VLOOKUP(B25,'Data yoy'!#REF!,MATCH($C$1,'Data yoy'!#REF!,),)</f>
        <v/>
      </c>
      <c r="D25" s="25">
        <f>VLOOKUP(B25,'Data yoy'!#REF!,MATCH($D$1,'Data yoy'!#REF!,),)</f>
        <v/>
      </c>
      <c r="E25" s="25">
        <f>VLOOKUP(B25,'Data yoy'!#REF!,MATCH($E$1,'Data yoy'!#REF!,),)</f>
        <v/>
      </c>
      <c r="F25" s="25">
        <f>VLOOKUP(B25,'Data yoy'!#REF!,MATCH($F$1,'Data yoy'!#REF!,),)</f>
        <v/>
      </c>
      <c r="G25" s="25">
        <f>VLOOKUP(B25,'Data yoy'!#REF!,MATCH($G$1,'Data yoy'!#REF!,),)</f>
        <v/>
      </c>
      <c r="H25" s="25">
        <f>VLOOKUP(B25,'Data yoy'!#REF!,MATCH($H$1,'Data yoy'!#REF!,),)</f>
        <v/>
      </c>
      <c r="I25" s="25">
        <f>VLOOKUP(B25,'Data yoy'!#REF!,MATCH($I$1,'Data yoy'!#REF!,),)</f>
        <v/>
      </c>
      <c r="J25" s="25">
        <f>VLOOKUP(B25,'Data yoy'!#REF!,MATCH($J$1,'Data yoy'!#REF!,),)</f>
        <v/>
      </c>
      <c r="K25" s="25">
        <f>VLOOKUP(B25,'Data yoy'!#REF!,MATCH($K$1,'Data yoy'!#REF!,),)</f>
        <v/>
      </c>
      <c r="L25" s="25">
        <f>VLOOKUP(B25,'Data yoy'!#REF!,MATCH($L$1,'Data yoy'!#REF!,),)</f>
        <v/>
      </c>
      <c r="M25" s="25">
        <f>VLOOKUP(B25,'Data yoy'!#REF!,MATCH($M$1,'Data yoy'!#REF!,),)</f>
        <v/>
      </c>
      <c r="N25" s="25">
        <f>VLOOKUP(B25,'Data yoy'!#REF!,MATCH($N$1,'Data yoy'!#REF!,),)</f>
        <v/>
      </c>
      <c r="O25" s="25">
        <f>VLOOKUP(B25,'Data yoy'!#REF!,MATCH($C$1,'Data yoy'!#REF!,),)</f>
        <v/>
      </c>
      <c r="P25" s="25">
        <f>VLOOKUP(B25,'Data yoy'!#REF!,MATCH($P$1,'Data yoy'!#REF!,),)</f>
        <v/>
      </c>
      <c r="Q25" s="25">
        <f>VLOOKUP(B25,'Data yoy'!#REF!,MATCH($Q$1,'Data yoy'!#REF!,),)</f>
        <v/>
      </c>
      <c r="R25" s="25">
        <f>VLOOKUP(B25,'Data yoy'!#REF!,MATCH($E$1,'Data yoy'!#REF!,),)</f>
        <v/>
      </c>
      <c r="S25" s="25">
        <f>VLOOKUP(B25,'Data yoy'!#REF!,MATCH($S$1,'Data yoy'!#REF!,),)</f>
        <v/>
      </c>
      <c r="T25" s="25">
        <f>VLOOKUP(B25,'Data yoy'!#REF!,MATCH($T$1,'Data yoy'!#REF!,),)</f>
        <v/>
      </c>
      <c r="U25" s="25">
        <f>VLOOKUP(B25,'Data yoy'!#REF!,MATCH($U$1,'Data yoy'!#REF!,),)</f>
        <v/>
      </c>
      <c r="V25" s="25">
        <f>VLOOKUP(B25,'Data yoy'!#REF!,MATCH($V$1,'Data yoy'!#REF!,),)</f>
        <v/>
      </c>
      <c r="W25" s="25">
        <f>VLOOKUP(B25,'Data yoy'!#REF!,MATCH($W$1,'Data yoy'!#REF!,),)</f>
        <v/>
      </c>
      <c r="X25" s="25">
        <f>VLOOKUP(B25,'Data yoy'!#REF!,MATCH($X$1,'Data yoy'!#REF!,),)</f>
        <v/>
      </c>
      <c r="Y25" s="25">
        <f>VLOOKUP(B25,'Data yoy'!#REF!,MATCH($Y$1,'Data yoy'!#REF!,),)</f>
        <v/>
      </c>
      <c r="Z25" s="25">
        <f>VLOOKUP(B25,'Data yoy'!#REF!,MATCH($Z$1,'Data yoy'!#REF!,),)</f>
        <v/>
      </c>
      <c r="AA25" s="25">
        <f>VLOOKUP(C25,'Data yoy'!#REF!,MATCH($Z$1,'Data yoy'!#REF!,),)</f>
        <v/>
      </c>
      <c r="AB25" s="74" t="n"/>
      <c r="AC25" s="26">
        <f>B25</f>
        <v/>
      </c>
      <c r="AD25" s="27">
        <f>(VLOOKUP(AC25,B:Y,MATCH($AE$6,$B$1:$Y$1,),))</f>
        <v/>
      </c>
      <c r="AE25" s="27">
        <f>(VLOOKUP(AC25,B:Y,MATCH($AE$7,$B$1:$Y$1,),))</f>
        <v/>
      </c>
    </row>
    <row r="26" hidden="1" s="68">
      <c r="B26" s="24" t="inlineStr">
        <is>
          <t>2003-Q4</t>
        </is>
      </c>
      <c r="C26" s="25">
        <f>VLOOKUP(B26,'Data yoy'!#REF!,MATCH($C$1,'Data yoy'!#REF!,),)</f>
        <v/>
      </c>
      <c r="D26" s="25">
        <f>VLOOKUP(B26,'Data yoy'!#REF!,MATCH($D$1,'Data yoy'!#REF!,),)</f>
        <v/>
      </c>
      <c r="E26" s="25">
        <f>VLOOKUP(B26,'Data yoy'!#REF!,MATCH($E$1,'Data yoy'!#REF!,),)</f>
        <v/>
      </c>
      <c r="F26" s="25">
        <f>VLOOKUP(B26,'Data yoy'!#REF!,MATCH($F$1,'Data yoy'!#REF!,),)</f>
        <v/>
      </c>
      <c r="G26" s="25">
        <f>VLOOKUP(B26,'Data yoy'!#REF!,MATCH($G$1,'Data yoy'!#REF!,),)</f>
        <v/>
      </c>
      <c r="H26" s="25">
        <f>VLOOKUP(B26,'Data yoy'!#REF!,MATCH($H$1,'Data yoy'!#REF!,),)</f>
        <v/>
      </c>
      <c r="I26" s="25">
        <f>VLOOKUP(B26,'Data yoy'!#REF!,MATCH($I$1,'Data yoy'!#REF!,),)</f>
        <v/>
      </c>
      <c r="J26" s="25">
        <f>VLOOKUP(B26,'Data yoy'!#REF!,MATCH($J$1,'Data yoy'!#REF!,),)</f>
        <v/>
      </c>
      <c r="K26" s="25">
        <f>VLOOKUP(B26,'Data yoy'!#REF!,MATCH($K$1,'Data yoy'!#REF!,),)</f>
        <v/>
      </c>
      <c r="L26" s="25">
        <f>VLOOKUP(B26,'Data yoy'!#REF!,MATCH($L$1,'Data yoy'!#REF!,),)</f>
        <v/>
      </c>
      <c r="M26" s="25">
        <f>VLOOKUP(B26,'Data yoy'!#REF!,MATCH($M$1,'Data yoy'!#REF!,),)</f>
        <v/>
      </c>
      <c r="N26" s="25">
        <f>VLOOKUP(B26,'Data yoy'!#REF!,MATCH($N$1,'Data yoy'!#REF!,),)</f>
        <v/>
      </c>
      <c r="O26" s="25">
        <f>VLOOKUP(B26,'Data yoy'!#REF!,MATCH($C$1,'Data yoy'!#REF!,),)</f>
        <v/>
      </c>
      <c r="P26" s="25">
        <f>VLOOKUP(B26,'Data yoy'!#REF!,MATCH($P$1,'Data yoy'!#REF!,),)</f>
        <v/>
      </c>
      <c r="Q26" s="25">
        <f>VLOOKUP(B26,'Data yoy'!#REF!,MATCH($Q$1,'Data yoy'!#REF!,),)</f>
        <v/>
      </c>
      <c r="R26" s="25">
        <f>VLOOKUP(B26,'Data yoy'!#REF!,MATCH($E$1,'Data yoy'!#REF!,),)</f>
        <v/>
      </c>
      <c r="S26" s="25">
        <f>VLOOKUP(B26,'Data yoy'!#REF!,MATCH($S$1,'Data yoy'!#REF!,),)</f>
        <v/>
      </c>
      <c r="T26" s="25">
        <f>VLOOKUP(B26,'Data yoy'!#REF!,MATCH($T$1,'Data yoy'!#REF!,),)</f>
        <v/>
      </c>
      <c r="U26" s="25">
        <f>VLOOKUP(B26,'Data yoy'!#REF!,MATCH($U$1,'Data yoy'!#REF!,),)</f>
        <v/>
      </c>
      <c r="V26" s="25">
        <f>VLOOKUP(B26,'Data yoy'!#REF!,MATCH($V$1,'Data yoy'!#REF!,),)</f>
        <v/>
      </c>
      <c r="W26" s="25">
        <f>VLOOKUP(B26,'Data yoy'!#REF!,MATCH($W$1,'Data yoy'!#REF!,),)</f>
        <v/>
      </c>
      <c r="X26" s="25">
        <f>VLOOKUP(B26,'Data yoy'!#REF!,MATCH($X$1,'Data yoy'!#REF!,),)</f>
        <v/>
      </c>
      <c r="Y26" s="25">
        <f>VLOOKUP(B26,'Data yoy'!#REF!,MATCH($Y$1,'Data yoy'!#REF!,),)</f>
        <v/>
      </c>
      <c r="Z26" s="25">
        <f>VLOOKUP(B26,'Data yoy'!#REF!,MATCH($Z$1,'Data yoy'!#REF!,),)</f>
        <v/>
      </c>
      <c r="AA26" s="25">
        <f>VLOOKUP(C26,'Data yoy'!#REF!,MATCH($Z$1,'Data yoy'!#REF!,),)</f>
        <v/>
      </c>
      <c r="AB26" s="74" t="n"/>
      <c r="AC26" s="26">
        <f>B26</f>
        <v/>
      </c>
      <c r="AD26" s="27">
        <f>(VLOOKUP(AC26,B:Y,MATCH($AE$6,$B$1:$Y$1,),))</f>
        <v/>
      </c>
      <c r="AE26" s="27">
        <f>(VLOOKUP(AC26,B:Y,MATCH($AE$7,$B$1:$Y$1,),))</f>
        <v/>
      </c>
    </row>
    <row r="27" hidden="1" s="68">
      <c r="B27" s="24" t="inlineStr">
        <is>
          <t>2004-Q1</t>
        </is>
      </c>
      <c r="C27" s="25">
        <f>VLOOKUP(B27,'Data yoy'!#REF!,MATCH($C$1,'Data yoy'!#REF!,),)</f>
        <v/>
      </c>
      <c r="D27" s="25">
        <f>VLOOKUP(B27,'Data yoy'!#REF!,MATCH($D$1,'Data yoy'!#REF!,),)</f>
        <v/>
      </c>
      <c r="E27" s="25">
        <f>VLOOKUP(B27,'Data yoy'!#REF!,MATCH($E$1,'Data yoy'!#REF!,),)</f>
        <v/>
      </c>
      <c r="F27" s="25">
        <f>VLOOKUP(B27,'Data yoy'!#REF!,MATCH($F$1,'Data yoy'!#REF!,),)</f>
        <v/>
      </c>
      <c r="G27" s="25">
        <f>VLOOKUP(B27,'Data yoy'!#REF!,MATCH($G$1,'Data yoy'!#REF!,),)</f>
        <v/>
      </c>
      <c r="H27" s="25">
        <f>VLOOKUP(B27,'Data yoy'!#REF!,MATCH($H$1,'Data yoy'!#REF!,),)</f>
        <v/>
      </c>
      <c r="I27" s="25">
        <f>VLOOKUP(B27,'Data yoy'!#REF!,MATCH($I$1,'Data yoy'!#REF!,),)</f>
        <v/>
      </c>
      <c r="J27" s="25">
        <f>VLOOKUP(B27,'Data yoy'!#REF!,MATCH($J$1,'Data yoy'!#REF!,),)</f>
        <v/>
      </c>
      <c r="K27" s="25">
        <f>VLOOKUP(B27,'Data yoy'!#REF!,MATCH($K$1,'Data yoy'!#REF!,),)</f>
        <v/>
      </c>
      <c r="L27" s="25">
        <f>VLOOKUP(B27,'Data yoy'!#REF!,MATCH($L$1,'Data yoy'!#REF!,),)</f>
        <v/>
      </c>
      <c r="M27" s="25">
        <f>VLOOKUP(B27,'Data yoy'!#REF!,MATCH($M$1,'Data yoy'!#REF!,),)</f>
        <v/>
      </c>
      <c r="N27" s="25">
        <f>VLOOKUP(B27,'Data yoy'!#REF!,MATCH($N$1,'Data yoy'!#REF!,),)</f>
        <v/>
      </c>
      <c r="O27" s="25">
        <f>VLOOKUP(B27,'Data yoy'!#REF!,MATCH($C$1,'Data yoy'!#REF!,),)</f>
        <v/>
      </c>
      <c r="P27" s="25">
        <f>VLOOKUP(B27,'Data yoy'!#REF!,MATCH($P$1,'Data yoy'!#REF!,),)</f>
        <v/>
      </c>
      <c r="Q27" s="25">
        <f>VLOOKUP(B27,'Data yoy'!#REF!,MATCH($Q$1,'Data yoy'!#REF!,),)</f>
        <v/>
      </c>
      <c r="R27" s="25">
        <f>VLOOKUP(B27,'Data yoy'!#REF!,MATCH($E$1,'Data yoy'!#REF!,),)</f>
        <v/>
      </c>
      <c r="S27" s="25">
        <f>VLOOKUP(B27,'Data yoy'!#REF!,MATCH($S$1,'Data yoy'!#REF!,),)</f>
        <v/>
      </c>
      <c r="T27" s="25">
        <f>VLOOKUP(B27,'Data yoy'!#REF!,MATCH($T$1,'Data yoy'!#REF!,),)</f>
        <v/>
      </c>
      <c r="U27" s="25">
        <f>VLOOKUP(B27,'Data yoy'!#REF!,MATCH($U$1,'Data yoy'!#REF!,),)</f>
        <v/>
      </c>
      <c r="V27" s="25">
        <f>VLOOKUP(B27,'Data yoy'!#REF!,MATCH($V$1,'Data yoy'!#REF!,),)</f>
        <v/>
      </c>
      <c r="W27" s="25">
        <f>VLOOKUP(B27,'Data yoy'!#REF!,MATCH($W$1,'Data yoy'!#REF!,),)</f>
        <v/>
      </c>
      <c r="X27" s="25">
        <f>VLOOKUP(B27,'Data yoy'!#REF!,MATCH($X$1,'Data yoy'!#REF!,),)</f>
        <v/>
      </c>
      <c r="Y27" s="25">
        <f>VLOOKUP(B27,'Data yoy'!#REF!,MATCH($Y$1,'Data yoy'!#REF!,),)</f>
        <v/>
      </c>
      <c r="Z27" s="25">
        <f>VLOOKUP(B27,'Data yoy'!#REF!,MATCH($Z$1,'Data yoy'!#REF!,),)</f>
        <v/>
      </c>
      <c r="AA27" s="25">
        <f>VLOOKUP(C27,'Data yoy'!#REF!,MATCH($Z$1,'Data yoy'!#REF!,),)</f>
        <v/>
      </c>
      <c r="AB27" s="74" t="n"/>
      <c r="AC27" s="26">
        <f>B27</f>
        <v/>
      </c>
      <c r="AD27" s="27">
        <f>(VLOOKUP(AC27,B:Y,MATCH($AE$6,$B$1:$Y$1,),))</f>
        <v/>
      </c>
      <c r="AE27" s="27">
        <f>(VLOOKUP(AC27,B:Y,MATCH($AE$7,$B$1:$Y$1,),))</f>
        <v/>
      </c>
    </row>
    <row r="28" hidden="1" s="68">
      <c r="B28" s="24" t="inlineStr">
        <is>
          <t>2004-Q2</t>
        </is>
      </c>
      <c r="C28" s="25">
        <f>VLOOKUP(B28,'Data yoy'!#REF!,MATCH($C$1,'Data yoy'!#REF!,),)</f>
        <v/>
      </c>
      <c r="D28" s="25">
        <f>VLOOKUP(B28,'Data yoy'!#REF!,MATCH($D$1,'Data yoy'!#REF!,),)</f>
        <v/>
      </c>
      <c r="E28" s="25">
        <f>VLOOKUP(B28,'Data yoy'!#REF!,MATCH($E$1,'Data yoy'!#REF!,),)</f>
        <v/>
      </c>
      <c r="F28" s="25">
        <f>VLOOKUP(B28,'Data yoy'!#REF!,MATCH($F$1,'Data yoy'!#REF!,),)</f>
        <v/>
      </c>
      <c r="G28" s="25">
        <f>VLOOKUP(B28,'Data yoy'!#REF!,MATCH($G$1,'Data yoy'!#REF!,),)</f>
        <v/>
      </c>
      <c r="H28" s="25">
        <f>VLOOKUP(B28,'Data yoy'!#REF!,MATCH($H$1,'Data yoy'!#REF!,),)</f>
        <v/>
      </c>
      <c r="I28" s="25">
        <f>VLOOKUP(B28,'Data yoy'!#REF!,MATCH($I$1,'Data yoy'!#REF!,),)</f>
        <v/>
      </c>
      <c r="J28" s="25">
        <f>VLOOKUP(B28,'Data yoy'!#REF!,MATCH($J$1,'Data yoy'!#REF!,),)</f>
        <v/>
      </c>
      <c r="K28" s="25">
        <f>VLOOKUP(B28,'Data yoy'!#REF!,MATCH($K$1,'Data yoy'!#REF!,),)</f>
        <v/>
      </c>
      <c r="L28" s="25">
        <f>VLOOKUP(B28,'Data yoy'!#REF!,MATCH($L$1,'Data yoy'!#REF!,),)</f>
        <v/>
      </c>
      <c r="M28" s="25">
        <f>VLOOKUP(B28,'Data yoy'!#REF!,MATCH($M$1,'Data yoy'!#REF!,),)</f>
        <v/>
      </c>
      <c r="N28" s="25">
        <f>VLOOKUP(B28,'Data yoy'!#REF!,MATCH($N$1,'Data yoy'!#REF!,),)</f>
        <v/>
      </c>
      <c r="O28" s="25">
        <f>VLOOKUP(B28,'Data yoy'!#REF!,MATCH($C$1,'Data yoy'!#REF!,),)</f>
        <v/>
      </c>
      <c r="P28" s="25">
        <f>VLOOKUP(B28,'Data yoy'!#REF!,MATCH($P$1,'Data yoy'!#REF!,),)</f>
        <v/>
      </c>
      <c r="Q28" s="25">
        <f>VLOOKUP(B28,'Data yoy'!#REF!,MATCH($Q$1,'Data yoy'!#REF!,),)</f>
        <v/>
      </c>
      <c r="R28" s="25">
        <f>VLOOKUP(B28,'Data yoy'!#REF!,MATCH($E$1,'Data yoy'!#REF!,),)</f>
        <v/>
      </c>
      <c r="S28" s="25">
        <f>VLOOKUP(B28,'Data yoy'!#REF!,MATCH($S$1,'Data yoy'!#REF!,),)</f>
        <v/>
      </c>
      <c r="T28" s="25">
        <f>VLOOKUP(B28,'Data yoy'!#REF!,MATCH($T$1,'Data yoy'!#REF!,),)</f>
        <v/>
      </c>
      <c r="U28" s="25">
        <f>VLOOKUP(B28,'Data yoy'!#REF!,MATCH($U$1,'Data yoy'!#REF!,),)</f>
        <v/>
      </c>
      <c r="V28" s="25">
        <f>VLOOKUP(B28,'Data yoy'!#REF!,MATCH($V$1,'Data yoy'!#REF!,),)</f>
        <v/>
      </c>
      <c r="W28" s="25">
        <f>VLOOKUP(B28,'Data yoy'!#REF!,MATCH($W$1,'Data yoy'!#REF!,),)</f>
        <v/>
      </c>
      <c r="X28" s="25">
        <f>VLOOKUP(B28,'Data yoy'!#REF!,MATCH($X$1,'Data yoy'!#REF!,),)</f>
        <v/>
      </c>
      <c r="Y28" s="25">
        <f>VLOOKUP(B28,'Data yoy'!#REF!,MATCH($Y$1,'Data yoy'!#REF!,),)</f>
        <v/>
      </c>
      <c r="Z28" s="25">
        <f>VLOOKUP(B28,'Data yoy'!#REF!,MATCH($Z$1,'Data yoy'!#REF!,),)</f>
        <v/>
      </c>
      <c r="AA28" s="25">
        <f>VLOOKUP(C28,'Data yoy'!#REF!,MATCH($Z$1,'Data yoy'!#REF!,),)</f>
        <v/>
      </c>
      <c r="AB28" s="74" t="n"/>
      <c r="AC28" s="26">
        <f>B28</f>
        <v/>
      </c>
      <c r="AD28" s="27">
        <f>(VLOOKUP(AC28,B:Y,MATCH($AE$6,$B$1:$Y$1,),))</f>
        <v/>
      </c>
      <c r="AE28" s="27">
        <f>(VLOOKUP(AC28,B:Y,MATCH($AE$7,$B$1:$Y$1,),))</f>
        <v/>
      </c>
    </row>
    <row r="29" hidden="1" s="68">
      <c r="B29" s="24" t="inlineStr">
        <is>
          <t>2004-Q3</t>
        </is>
      </c>
      <c r="C29" s="25">
        <f>VLOOKUP(B29,'Data yoy'!#REF!,MATCH($C$1,'Data yoy'!#REF!,),)</f>
        <v/>
      </c>
      <c r="D29" s="25">
        <f>VLOOKUP(B29,'Data yoy'!#REF!,MATCH($D$1,'Data yoy'!#REF!,),)</f>
        <v/>
      </c>
      <c r="E29" s="25">
        <f>VLOOKUP(B29,'Data yoy'!#REF!,MATCH($E$1,'Data yoy'!#REF!,),)</f>
        <v/>
      </c>
      <c r="F29" s="25">
        <f>VLOOKUP(B29,'Data yoy'!#REF!,MATCH($F$1,'Data yoy'!#REF!,),)</f>
        <v/>
      </c>
      <c r="G29" s="25">
        <f>VLOOKUP(B29,'Data yoy'!#REF!,MATCH($G$1,'Data yoy'!#REF!,),)</f>
        <v/>
      </c>
      <c r="H29" s="25">
        <f>VLOOKUP(B29,'Data yoy'!#REF!,MATCH($H$1,'Data yoy'!#REF!,),)</f>
        <v/>
      </c>
      <c r="I29" s="25">
        <f>VLOOKUP(B29,'Data yoy'!#REF!,MATCH($I$1,'Data yoy'!#REF!,),)</f>
        <v/>
      </c>
      <c r="J29" s="25">
        <f>VLOOKUP(B29,'Data yoy'!#REF!,MATCH($J$1,'Data yoy'!#REF!,),)</f>
        <v/>
      </c>
      <c r="K29" s="25">
        <f>VLOOKUP(B29,'Data yoy'!#REF!,MATCH($K$1,'Data yoy'!#REF!,),)</f>
        <v/>
      </c>
      <c r="L29" s="25">
        <f>VLOOKUP(B29,'Data yoy'!#REF!,MATCH($L$1,'Data yoy'!#REF!,),)</f>
        <v/>
      </c>
      <c r="M29" s="25">
        <f>VLOOKUP(B29,'Data yoy'!#REF!,MATCH($M$1,'Data yoy'!#REF!,),)</f>
        <v/>
      </c>
      <c r="N29" s="25">
        <f>VLOOKUP(B29,'Data yoy'!#REF!,MATCH($N$1,'Data yoy'!#REF!,),)</f>
        <v/>
      </c>
      <c r="O29" s="25">
        <f>VLOOKUP(B29,'Data yoy'!#REF!,MATCH($C$1,'Data yoy'!#REF!,),)</f>
        <v/>
      </c>
      <c r="P29" s="25">
        <f>VLOOKUP(B29,'Data yoy'!#REF!,MATCH($P$1,'Data yoy'!#REF!,),)</f>
        <v/>
      </c>
      <c r="Q29" s="25">
        <f>VLOOKUP(B29,'Data yoy'!#REF!,MATCH($Q$1,'Data yoy'!#REF!,),)</f>
        <v/>
      </c>
      <c r="R29" s="25">
        <f>VLOOKUP(B29,'Data yoy'!#REF!,MATCH($E$1,'Data yoy'!#REF!,),)</f>
        <v/>
      </c>
      <c r="S29" s="25">
        <f>VLOOKUP(B29,'Data yoy'!#REF!,MATCH($S$1,'Data yoy'!#REF!,),)</f>
        <v/>
      </c>
      <c r="T29" s="25">
        <f>VLOOKUP(B29,'Data yoy'!#REF!,MATCH($T$1,'Data yoy'!#REF!,),)</f>
        <v/>
      </c>
      <c r="U29" s="25">
        <f>VLOOKUP(B29,'Data yoy'!#REF!,MATCH($U$1,'Data yoy'!#REF!,),)</f>
        <v/>
      </c>
      <c r="V29" s="25">
        <f>VLOOKUP(B29,'Data yoy'!#REF!,MATCH($V$1,'Data yoy'!#REF!,),)</f>
        <v/>
      </c>
      <c r="W29" s="25">
        <f>VLOOKUP(B29,'Data yoy'!#REF!,MATCH($W$1,'Data yoy'!#REF!,),)</f>
        <v/>
      </c>
      <c r="X29" s="25">
        <f>VLOOKUP(B29,'Data yoy'!#REF!,MATCH($X$1,'Data yoy'!#REF!,),)</f>
        <v/>
      </c>
      <c r="Y29" s="25">
        <f>VLOOKUP(B29,'Data yoy'!#REF!,MATCH($Y$1,'Data yoy'!#REF!,),)</f>
        <v/>
      </c>
      <c r="Z29" s="25">
        <f>VLOOKUP(B29,'Data yoy'!#REF!,MATCH($Z$1,'Data yoy'!#REF!,),)</f>
        <v/>
      </c>
      <c r="AA29" s="25">
        <f>VLOOKUP(C29,'Data yoy'!#REF!,MATCH($Z$1,'Data yoy'!#REF!,),)</f>
        <v/>
      </c>
      <c r="AB29" s="74" t="n"/>
      <c r="AC29" s="26">
        <f>B29</f>
        <v/>
      </c>
      <c r="AD29" s="27">
        <f>(VLOOKUP(AC29,B:Y,MATCH($AE$6,$B$1:$Y$1,),))</f>
        <v/>
      </c>
      <c r="AE29" s="27">
        <f>(VLOOKUP(AC29,B:Y,MATCH($AE$7,$B$1:$Y$1,),))</f>
        <v/>
      </c>
    </row>
    <row r="30" hidden="1" s="68">
      <c r="B30" s="24" t="inlineStr">
        <is>
          <t>2004-Q4</t>
        </is>
      </c>
      <c r="C30" s="25">
        <f>VLOOKUP(B30,'Data yoy'!#REF!,MATCH($C$1,'Data yoy'!#REF!,),)</f>
        <v/>
      </c>
      <c r="D30" s="25">
        <f>VLOOKUP(B30,'Data yoy'!#REF!,MATCH($D$1,'Data yoy'!#REF!,),)</f>
        <v/>
      </c>
      <c r="E30" s="25">
        <f>VLOOKUP(B30,'Data yoy'!#REF!,MATCH($E$1,'Data yoy'!#REF!,),)</f>
        <v/>
      </c>
      <c r="F30" s="25">
        <f>VLOOKUP(B30,'Data yoy'!#REF!,MATCH($F$1,'Data yoy'!#REF!,),)</f>
        <v/>
      </c>
      <c r="G30" s="25">
        <f>VLOOKUP(B30,'Data yoy'!#REF!,MATCH($G$1,'Data yoy'!#REF!,),)</f>
        <v/>
      </c>
      <c r="H30" s="25">
        <f>VLOOKUP(B30,'Data yoy'!#REF!,MATCH($H$1,'Data yoy'!#REF!,),)</f>
        <v/>
      </c>
      <c r="I30" s="25">
        <f>VLOOKUP(B30,'Data yoy'!#REF!,MATCH($I$1,'Data yoy'!#REF!,),)</f>
        <v/>
      </c>
      <c r="J30" s="25">
        <f>VLOOKUP(B30,'Data yoy'!#REF!,MATCH($J$1,'Data yoy'!#REF!,),)</f>
        <v/>
      </c>
      <c r="K30" s="25">
        <f>VLOOKUP(B30,'Data yoy'!#REF!,MATCH($K$1,'Data yoy'!#REF!,),)</f>
        <v/>
      </c>
      <c r="L30" s="25">
        <f>VLOOKUP(B30,'Data yoy'!#REF!,MATCH($L$1,'Data yoy'!#REF!,),)</f>
        <v/>
      </c>
      <c r="M30" s="25">
        <f>VLOOKUP(B30,'Data yoy'!#REF!,MATCH($M$1,'Data yoy'!#REF!,),)</f>
        <v/>
      </c>
      <c r="N30" s="25">
        <f>VLOOKUP(B30,'Data yoy'!#REF!,MATCH($N$1,'Data yoy'!#REF!,),)</f>
        <v/>
      </c>
      <c r="O30" s="25">
        <f>VLOOKUP(B30,'Data yoy'!#REF!,MATCH($C$1,'Data yoy'!#REF!,),)</f>
        <v/>
      </c>
      <c r="P30" s="25">
        <f>VLOOKUP(B30,'Data yoy'!#REF!,MATCH($P$1,'Data yoy'!#REF!,),)</f>
        <v/>
      </c>
      <c r="Q30" s="25">
        <f>VLOOKUP(B30,'Data yoy'!#REF!,MATCH($Q$1,'Data yoy'!#REF!,),)</f>
        <v/>
      </c>
      <c r="R30" s="25">
        <f>VLOOKUP(B30,'Data yoy'!#REF!,MATCH($E$1,'Data yoy'!#REF!,),)</f>
        <v/>
      </c>
      <c r="S30" s="25">
        <f>VLOOKUP(B30,'Data yoy'!#REF!,MATCH($S$1,'Data yoy'!#REF!,),)</f>
        <v/>
      </c>
      <c r="T30" s="25">
        <f>VLOOKUP(B30,'Data yoy'!#REF!,MATCH($T$1,'Data yoy'!#REF!,),)</f>
        <v/>
      </c>
      <c r="U30" s="25">
        <f>VLOOKUP(B30,'Data yoy'!#REF!,MATCH($U$1,'Data yoy'!#REF!,),)</f>
        <v/>
      </c>
      <c r="V30" s="25">
        <f>VLOOKUP(B30,'Data yoy'!#REF!,MATCH($V$1,'Data yoy'!#REF!,),)</f>
        <v/>
      </c>
      <c r="W30" s="25">
        <f>VLOOKUP(B30,'Data yoy'!#REF!,MATCH($W$1,'Data yoy'!#REF!,),)</f>
        <v/>
      </c>
      <c r="X30" s="25">
        <f>VLOOKUP(B30,'Data yoy'!#REF!,MATCH($X$1,'Data yoy'!#REF!,),)</f>
        <v/>
      </c>
      <c r="Y30" s="25">
        <f>VLOOKUP(B30,'Data yoy'!#REF!,MATCH($Y$1,'Data yoy'!#REF!,),)</f>
        <v/>
      </c>
      <c r="Z30" s="25">
        <f>VLOOKUP(B30,'Data yoy'!#REF!,MATCH($Z$1,'Data yoy'!#REF!,),)</f>
        <v/>
      </c>
      <c r="AA30" s="25">
        <f>VLOOKUP(C30,'Data yoy'!#REF!,MATCH($Z$1,'Data yoy'!#REF!,),)</f>
        <v/>
      </c>
      <c r="AB30" s="74" t="n"/>
      <c r="AC30" s="26">
        <f>B30</f>
        <v/>
      </c>
      <c r="AD30" s="27">
        <f>(VLOOKUP(AC30,B:Y,MATCH($AE$6,$B$1:$Y$1,),))</f>
        <v/>
      </c>
      <c r="AE30" s="27">
        <f>(VLOOKUP(AC30,B:Y,MATCH($AE$7,$B$1:$Y$1,),))</f>
        <v/>
      </c>
    </row>
    <row r="31" hidden="1" s="68">
      <c r="B31" s="24" t="inlineStr">
        <is>
          <t>2005-Q1</t>
        </is>
      </c>
      <c r="C31" s="25">
        <f>VLOOKUP(B31,'Data yoy'!#REF!,MATCH($C$1,'Data yoy'!#REF!,),)</f>
        <v/>
      </c>
      <c r="D31" s="25">
        <f>VLOOKUP(B31,'Data yoy'!#REF!,MATCH($D$1,'Data yoy'!#REF!,),)</f>
        <v/>
      </c>
      <c r="E31" s="25">
        <f>VLOOKUP(B31,'Data yoy'!#REF!,MATCH($E$1,'Data yoy'!#REF!,),)</f>
        <v/>
      </c>
      <c r="F31" s="25">
        <f>VLOOKUP(B31,'Data yoy'!#REF!,MATCH($F$1,'Data yoy'!#REF!,),)</f>
        <v/>
      </c>
      <c r="G31" s="25">
        <f>VLOOKUP(B31,'Data yoy'!#REF!,MATCH($G$1,'Data yoy'!#REF!,),)</f>
        <v/>
      </c>
      <c r="H31" s="25">
        <f>VLOOKUP(B31,'Data yoy'!#REF!,MATCH($H$1,'Data yoy'!#REF!,),)</f>
        <v/>
      </c>
      <c r="I31" s="25">
        <f>VLOOKUP(B31,'Data yoy'!#REF!,MATCH($I$1,'Data yoy'!#REF!,),)</f>
        <v/>
      </c>
      <c r="J31" s="25">
        <f>VLOOKUP(B31,'Data yoy'!#REF!,MATCH($J$1,'Data yoy'!#REF!,),)</f>
        <v/>
      </c>
      <c r="K31" s="25">
        <f>VLOOKUP(B31,'Data yoy'!#REF!,MATCH($K$1,'Data yoy'!#REF!,),)</f>
        <v/>
      </c>
      <c r="L31" s="25">
        <f>VLOOKUP(B31,'Data yoy'!#REF!,MATCH($L$1,'Data yoy'!#REF!,),)</f>
        <v/>
      </c>
      <c r="M31" s="25">
        <f>VLOOKUP(B31,'Data yoy'!#REF!,MATCH($M$1,'Data yoy'!#REF!,),)</f>
        <v/>
      </c>
      <c r="N31" s="25">
        <f>VLOOKUP(B31,'Data yoy'!#REF!,MATCH($N$1,'Data yoy'!#REF!,),)</f>
        <v/>
      </c>
      <c r="O31" s="25">
        <f>VLOOKUP(B31,'Data yoy'!#REF!,MATCH($C$1,'Data yoy'!#REF!,),)</f>
        <v/>
      </c>
      <c r="P31" s="25">
        <f>VLOOKUP(B31,'Data yoy'!#REF!,MATCH($P$1,'Data yoy'!#REF!,),)</f>
        <v/>
      </c>
      <c r="Q31" s="25">
        <f>VLOOKUP(B31,'Data yoy'!#REF!,MATCH($Q$1,'Data yoy'!#REF!,),)</f>
        <v/>
      </c>
      <c r="R31" s="25">
        <f>VLOOKUP(B31,'Data yoy'!#REF!,MATCH($E$1,'Data yoy'!#REF!,),)</f>
        <v/>
      </c>
      <c r="S31" s="25">
        <f>VLOOKUP(B31,'Data yoy'!#REF!,MATCH($S$1,'Data yoy'!#REF!,),)</f>
        <v/>
      </c>
      <c r="T31" s="25">
        <f>VLOOKUP(B31,'Data yoy'!#REF!,MATCH($T$1,'Data yoy'!#REF!,),)</f>
        <v/>
      </c>
      <c r="U31" s="25">
        <f>VLOOKUP(B31,'Data yoy'!#REF!,MATCH($U$1,'Data yoy'!#REF!,),)</f>
        <v/>
      </c>
      <c r="V31" s="25">
        <f>VLOOKUP(B31,'Data yoy'!#REF!,MATCH($V$1,'Data yoy'!#REF!,),)</f>
        <v/>
      </c>
      <c r="W31" s="25">
        <f>VLOOKUP(B31,'Data yoy'!#REF!,MATCH($W$1,'Data yoy'!#REF!,),)</f>
        <v/>
      </c>
      <c r="X31" s="25">
        <f>VLOOKUP(B31,'Data yoy'!#REF!,MATCH($X$1,'Data yoy'!#REF!,),)</f>
        <v/>
      </c>
      <c r="Y31" s="25">
        <f>VLOOKUP(B31,'Data yoy'!#REF!,MATCH($Y$1,'Data yoy'!#REF!,),)</f>
        <v/>
      </c>
      <c r="Z31" s="25">
        <f>VLOOKUP(B31,'Data yoy'!#REF!,MATCH($Z$1,'Data yoy'!#REF!,),)</f>
        <v/>
      </c>
      <c r="AA31" s="25">
        <f>VLOOKUP(C31,'Data yoy'!#REF!,MATCH($Z$1,'Data yoy'!#REF!,),)</f>
        <v/>
      </c>
      <c r="AB31" s="74" t="n"/>
      <c r="AC31" s="26">
        <f>B31</f>
        <v/>
      </c>
      <c r="AD31" s="27">
        <f>(VLOOKUP(AC31,B:Y,MATCH($AE$6,$B$1:$Y$1,),))</f>
        <v/>
      </c>
      <c r="AE31" s="27">
        <f>(VLOOKUP(AC31,B:Y,MATCH($AE$7,$B$1:$Y$1,),))</f>
        <v/>
      </c>
    </row>
    <row r="32" hidden="1" s="68">
      <c r="B32" s="24" t="inlineStr">
        <is>
          <t>2005-Q2</t>
        </is>
      </c>
      <c r="C32" s="25">
        <f>VLOOKUP(B32,'Data yoy'!#REF!,MATCH($C$1,'Data yoy'!#REF!,),)</f>
        <v/>
      </c>
      <c r="D32" s="25">
        <f>VLOOKUP(B32,'Data yoy'!#REF!,MATCH($D$1,'Data yoy'!#REF!,),)</f>
        <v/>
      </c>
      <c r="E32" s="25">
        <f>VLOOKUP(B32,'Data yoy'!#REF!,MATCH($E$1,'Data yoy'!#REF!,),)</f>
        <v/>
      </c>
      <c r="F32" s="25">
        <f>VLOOKUP(B32,'Data yoy'!#REF!,MATCH($F$1,'Data yoy'!#REF!,),)</f>
        <v/>
      </c>
      <c r="G32" s="25">
        <f>VLOOKUP(B32,'Data yoy'!#REF!,MATCH($G$1,'Data yoy'!#REF!,),)</f>
        <v/>
      </c>
      <c r="H32" s="25">
        <f>VLOOKUP(B32,'Data yoy'!#REF!,MATCH($H$1,'Data yoy'!#REF!,),)</f>
        <v/>
      </c>
      <c r="I32" s="25">
        <f>VLOOKUP(B32,'Data yoy'!#REF!,MATCH($I$1,'Data yoy'!#REF!,),)</f>
        <v/>
      </c>
      <c r="J32" s="25">
        <f>VLOOKUP(B32,'Data yoy'!#REF!,MATCH($J$1,'Data yoy'!#REF!,),)</f>
        <v/>
      </c>
      <c r="K32" s="25">
        <f>VLOOKUP(B32,'Data yoy'!#REF!,MATCH($K$1,'Data yoy'!#REF!,),)</f>
        <v/>
      </c>
      <c r="L32" s="25">
        <f>VLOOKUP(B32,'Data yoy'!#REF!,MATCH($L$1,'Data yoy'!#REF!,),)</f>
        <v/>
      </c>
      <c r="M32" s="25">
        <f>VLOOKUP(B32,'Data yoy'!#REF!,MATCH($M$1,'Data yoy'!#REF!,),)</f>
        <v/>
      </c>
      <c r="N32" s="25">
        <f>VLOOKUP(B32,'Data yoy'!#REF!,MATCH($N$1,'Data yoy'!#REF!,),)</f>
        <v/>
      </c>
      <c r="O32" s="25">
        <f>VLOOKUP(B32,'Data yoy'!#REF!,MATCH($C$1,'Data yoy'!#REF!,),)</f>
        <v/>
      </c>
      <c r="P32" s="25">
        <f>VLOOKUP(B32,'Data yoy'!#REF!,MATCH($P$1,'Data yoy'!#REF!,),)</f>
        <v/>
      </c>
      <c r="Q32" s="25">
        <f>VLOOKUP(B32,'Data yoy'!#REF!,MATCH($Q$1,'Data yoy'!#REF!,),)</f>
        <v/>
      </c>
      <c r="R32" s="25">
        <f>VLOOKUP(B32,'Data yoy'!#REF!,MATCH($E$1,'Data yoy'!#REF!,),)</f>
        <v/>
      </c>
      <c r="S32" s="25">
        <f>VLOOKUP(B32,'Data yoy'!#REF!,MATCH($S$1,'Data yoy'!#REF!,),)</f>
        <v/>
      </c>
      <c r="T32" s="25">
        <f>VLOOKUP(B32,'Data yoy'!#REF!,MATCH($T$1,'Data yoy'!#REF!,),)</f>
        <v/>
      </c>
      <c r="U32" s="25">
        <f>VLOOKUP(B32,'Data yoy'!#REF!,MATCH($U$1,'Data yoy'!#REF!,),)</f>
        <v/>
      </c>
      <c r="V32" s="25">
        <f>VLOOKUP(B32,'Data yoy'!#REF!,MATCH($V$1,'Data yoy'!#REF!,),)</f>
        <v/>
      </c>
      <c r="W32" s="25">
        <f>VLOOKUP(B32,'Data yoy'!#REF!,MATCH($W$1,'Data yoy'!#REF!,),)</f>
        <v/>
      </c>
      <c r="X32" s="25">
        <f>VLOOKUP(B32,'Data yoy'!#REF!,MATCH($X$1,'Data yoy'!#REF!,),)</f>
        <v/>
      </c>
      <c r="Y32" s="25">
        <f>VLOOKUP(B32,'Data yoy'!#REF!,MATCH($Y$1,'Data yoy'!#REF!,),)</f>
        <v/>
      </c>
      <c r="Z32" s="25">
        <f>VLOOKUP(B32,'Data yoy'!#REF!,MATCH($Z$1,'Data yoy'!#REF!,),)</f>
        <v/>
      </c>
      <c r="AA32" s="25">
        <f>VLOOKUP(C32,'Data yoy'!#REF!,MATCH($Z$1,'Data yoy'!#REF!,),)</f>
        <v/>
      </c>
      <c r="AB32" s="74" t="n"/>
      <c r="AC32" s="26">
        <f>B32</f>
        <v/>
      </c>
      <c r="AD32" s="27">
        <f>(VLOOKUP(AC32,B:Y,MATCH($AE$6,$B$1:$Y$1,),))</f>
        <v/>
      </c>
      <c r="AE32" s="27">
        <f>(VLOOKUP(AC32,B:Y,MATCH($AE$7,$B$1:$Y$1,),))</f>
        <v/>
      </c>
    </row>
    <row r="33" hidden="1" s="68">
      <c r="B33" s="24" t="inlineStr">
        <is>
          <t>2005-Q3</t>
        </is>
      </c>
      <c r="C33" s="25">
        <f>VLOOKUP(B33,'Data yoy'!#REF!,MATCH($C$1,'Data yoy'!#REF!,),)</f>
        <v/>
      </c>
      <c r="D33" s="25">
        <f>VLOOKUP(B33,'Data yoy'!#REF!,MATCH($D$1,'Data yoy'!#REF!,),)</f>
        <v/>
      </c>
      <c r="E33" s="25">
        <f>VLOOKUP(B33,'Data yoy'!#REF!,MATCH($E$1,'Data yoy'!#REF!,),)</f>
        <v/>
      </c>
      <c r="F33" s="25">
        <f>VLOOKUP(B33,'Data yoy'!#REF!,MATCH($F$1,'Data yoy'!#REF!,),)</f>
        <v/>
      </c>
      <c r="G33" s="25">
        <f>VLOOKUP(B33,'Data yoy'!#REF!,MATCH($G$1,'Data yoy'!#REF!,),)</f>
        <v/>
      </c>
      <c r="H33" s="25">
        <f>VLOOKUP(B33,'Data yoy'!#REF!,MATCH($H$1,'Data yoy'!#REF!,),)</f>
        <v/>
      </c>
      <c r="I33" s="25">
        <f>VLOOKUP(B33,'Data yoy'!#REF!,MATCH($I$1,'Data yoy'!#REF!,),)</f>
        <v/>
      </c>
      <c r="J33" s="25">
        <f>VLOOKUP(B33,'Data yoy'!#REF!,MATCH($J$1,'Data yoy'!#REF!,),)</f>
        <v/>
      </c>
      <c r="K33" s="25">
        <f>VLOOKUP(B33,'Data yoy'!#REF!,MATCH($K$1,'Data yoy'!#REF!,),)</f>
        <v/>
      </c>
      <c r="L33" s="25">
        <f>VLOOKUP(B33,'Data yoy'!#REF!,MATCH($L$1,'Data yoy'!#REF!,),)</f>
        <v/>
      </c>
      <c r="M33" s="25">
        <f>VLOOKUP(B33,'Data yoy'!#REF!,MATCH($M$1,'Data yoy'!#REF!,),)</f>
        <v/>
      </c>
      <c r="N33" s="25">
        <f>VLOOKUP(B33,'Data yoy'!#REF!,MATCH($N$1,'Data yoy'!#REF!,),)</f>
        <v/>
      </c>
      <c r="O33" s="25">
        <f>VLOOKUP(B33,'Data yoy'!#REF!,MATCH($C$1,'Data yoy'!#REF!,),)</f>
        <v/>
      </c>
      <c r="P33" s="25">
        <f>VLOOKUP(B33,'Data yoy'!#REF!,MATCH($P$1,'Data yoy'!#REF!,),)</f>
        <v/>
      </c>
      <c r="Q33" s="25">
        <f>VLOOKUP(B33,'Data yoy'!#REF!,MATCH($Q$1,'Data yoy'!#REF!,),)</f>
        <v/>
      </c>
      <c r="R33" s="25">
        <f>VLOOKUP(B33,'Data yoy'!#REF!,MATCH($E$1,'Data yoy'!#REF!,),)</f>
        <v/>
      </c>
      <c r="S33" s="25">
        <f>VLOOKUP(B33,'Data yoy'!#REF!,MATCH($S$1,'Data yoy'!#REF!,),)</f>
        <v/>
      </c>
      <c r="T33" s="25">
        <f>VLOOKUP(B33,'Data yoy'!#REF!,MATCH($T$1,'Data yoy'!#REF!,),)</f>
        <v/>
      </c>
      <c r="U33" s="25">
        <f>VLOOKUP(B33,'Data yoy'!#REF!,MATCH($U$1,'Data yoy'!#REF!,),)</f>
        <v/>
      </c>
      <c r="V33" s="25">
        <f>VLOOKUP(B33,'Data yoy'!#REF!,MATCH($V$1,'Data yoy'!#REF!,),)</f>
        <v/>
      </c>
      <c r="W33" s="25">
        <f>VLOOKUP(B33,'Data yoy'!#REF!,MATCH($W$1,'Data yoy'!#REF!,),)</f>
        <v/>
      </c>
      <c r="X33" s="25">
        <f>VLOOKUP(B33,'Data yoy'!#REF!,MATCH($X$1,'Data yoy'!#REF!,),)</f>
        <v/>
      </c>
      <c r="Y33" s="25">
        <f>VLOOKUP(B33,'Data yoy'!#REF!,MATCH($Y$1,'Data yoy'!#REF!,),)</f>
        <v/>
      </c>
      <c r="Z33" s="25">
        <f>VLOOKUP(B33,'Data yoy'!#REF!,MATCH($Z$1,'Data yoy'!#REF!,),)</f>
        <v/>
      </c>
      <c r="AA33" s="25">
        <f>VLOOKUP(C33,'Data yoy'!#REF!,MATCH($Z$1,'Data yoy'!#REF!,),)</f>
        <v/>
      </c>
      <c r="AB33" s="74" t="n"/>
      <c r="AC33" s="26">
        <f>B33</f>
        <v/>
      </c>
      <c r="AD33" s="27">
        <f>(VLOOKUP(AC33,B:Y,MATCH($AE$6,$B$1:$Y$1,),))</f>
        <v/>
      </c>
      <c r="AE33" s="27">
        <f>(VLOOKUP(AC33,B:Y,MATCH($AE$7,$B$1:$Y$1,),))</f>
        <v/>
      </c>
    </row>
    <row r="34" hidden="1" s="68">
      <c r="B34" s="24" t="inlineStr">
        <is>
          <t>2005-Q4</t>
        </is>
      </c>
      <c r="C34" s="25">
        <f>VLOOKUP(B34,'Data yoy'!#REF!,MATCH($C$1,'Data yoy'!#REF!,),)</f>
        <v/>
      </c>
      <c r="D34" s="25">
        <f>VLOOKUP(B34,'Data yoy'!#REF!,MATCH($D$1,'Data yoy'!#REF!,),)</f>
        <v/>
      </c>
      <c r="E34" s="25">
        <f>VLOOKUP(B34,'Data yoy'!#REF!,MATCH($E$1,'Data yoy'!#REF!,),)</f>
        <v/>
      </c>
      <c r="F34" s="25">
        <f>VLOOKUP(B34,'Data yoy'!#REF!,MATCH($F$1,'Data yoy'!#REF!,),)</f>
        <v/>
      </c>
      <c r="G34" s="25">
        <f>VLOOKUP(B34,'Data yoy'!#REF!,MATCH($G$1,'Data yoy'!#REF!,),)</f>
        <v/>
      </c>
      <c r="H34" s="25">
        <f>VLOOKUP(B34,'Data yoy'!#REF!,MATCH($H$1,'Data yoy'!#REF!,),)</f>
        <v/>
      </c>
      <c r="I34" s="25">
        <f>VLOOKUP(B34,'Data yoy'!#REF!,MATCH($I$1,'Data yoy'!#REF!,),)</f>
        <v/>
      </c>
      <c r="J34" s="25">
        <f>VLOOKUP(B34,'Data yoy'!#REF!,MATCH($J$1,'Data yoy'!#REF!,),)</f>
        <v/>
      </c>
      <c r="K34" s="25">
        <f>VLOOKUP(B34,'Data yoy'!#REF!,MATCH($K$1,'Data yoy'!#REF!,),)</f>
        <v/>
      </c>
      <c r="L34" s="25">
        <f>VLOOKUP(B34,'Data yoy'!#REF!,MATCH($L$1,'Data yoy'!#REF!,),)</f>
        <v/>
      </c>
      <c r="M34" s="25">
        <f>VLOOKUP(B34,'Data yoy'!#REF!,MATCH($M$1,'Data yoy'!#REF!,),)</f>
        <v/>
      </c>
      <c r="N34" s="25">
        <f>VLOOKUP(B34,'Data yoy'!#REF!,MATCH($N$1,'Data yoy'!#REF!,),)</f>
        <v/>
      </c>
      <c r="O34" s="25">
        <f>VLOOKUP(B34,'Data yoy'!#REF!,MATCH($C$1,'Data yoy'!#REF!,),)</f>
        <v/>
      </c>
      <c r="P34" s="25">
        <f>VLOOKUP(B34,'Data yoy'!#REF!,MATCH($P$1,'Data yoy'!#REF!,),)</f>
        <v/>
      </c>
      <c r="Q34" s="25">
        <f>VLOOKUP(B34,'Data yoy'!#REF!,MATCH($Q$1,'Data yoy'!#REF!,),)</f>
        <v/>
      </c>
      <c r="R34" s="25">
        <f>VLOOKUP(B34,'Data yoy'!#REF!,MATCH($E$1,'Data yoy'!#REF!,),)</f>
        <v/>
      </c>
      <c r="S34" s="25">
        <f>VLOOKUP(B34,'Data yoy'!#REF!,MATCH($S$1,'Data yoy'!#REF!,),)</f>
        <v/>
      </c>
      <c r="T34" s="25">
        <f>VLOOKUP(B34,'Data yoy'!#REF!,MATCH($T$1,'Data yoy'!#REF!,),)</f>
        <v/>
      </c>
      <c r="U34" s="25">
        <f>VLOOKUP(B34,'Data yoy'!#REF!,MATCH($U$1,'Data yoy'!#REF!,),)</f>
        <v/>
      </c>
      <c r="V34" s="25">
        <f>VLOOKUP(B34,'Data yoy'!#REF!,MATCH($V$1,'Data yoy'!#REF!,),)</f>
        <v/>
      </c>
      <c r="W34" s="25">
        <f>VLOOKUP(B34,'Data yoy'!#REF!,MATCH($W$1,'Data yoy'!#REF!,),)</f>
        <v/>
      </c>
      <c r="X34" s="25">
        <f>VLOOKUP(B34,'Data yoy'!#REF!,MATCH($X$1,'Data yoy'!#REF!,),)</f>
        <v/>
      </c>
      <c r="Y34" s="25">
        <f>VLOOKUP(B34,'Data yoy'!#REF!,MATCH($Y$1,'Data yoy'!#REF!,),)</f>
        <v/>
      </c>
      <c r="Z34" s="25">
        <f>VLOOKUP(B34,'Data yoy'!#REF!,MATCH($Z$1,'Data yoy'!#REF!,),)</f>
        <v/>
      </c>
      <c r="AA34" s="25">
        <f>VLOOKUP(C34,'Data yoy'!#REF!,MATCH($Z$1,'Data yoy'!#REF!,),)</f>
        <v/>
      </c>
      <c r="AB34" s="74" t="n"/>
      <c r="AC34" s="26">
        <f>B34</f>
        <v/>
      </c>
      <c r="AD34" s="27">
        <f>(VLOOKUP(AC34,B:Y,MATCH($AE$6,$B$1:$Y$1,),))</f>
        <v/>
      </c>
      <c r="AE34" s="27">
        <f>(VLOOKUP(AC34,B:Y,MATCH($AE$7,$B$1:$Y$1,),))</f>
        <v/>
      </c>
    </row>
    <row r="35" hidden="1" s="68">
      <c r="B35" s="24" t="inlineStr">
        <is>
          <t>2006-Q1</t>
        </is>
      </c>
      <c r="C35" s="25">
        <f>VLOOKUP(B35,'Data yoy'!#REF!,MATCH($C$1,'Data yoy'!#REF!,),)</f>
        <v/>
      </c>
      <c r="D35" s="25">
        <f>VLOOKUP(B35,'Data yoy'!#REF!,MATCH($D$1,'Data yoy'!#REF!,),)</f>
        <v/>
      </c>
      <c r="E35" s="25">
        <f>VLOOKUP(B35,'Data yoy'!#REF!,MATCH($E$1,'Data yoy'!#REF!,),)</f>
        <v/>
      </c>
      <c r="F35" s="25">
        <f>VLOOKUP(B35,'Data yoy'!#REF!,MATCH($F$1,'Data yoy'!#REF!,),)</f>
        <v/>
      </c>
      <c r="G35" s="25">
        <f>VLOOKUP(B35,'Data yoy'!#REF!,MATCH($G$1,'Data yoy'!#REF!,),)</f>
        <v/>
      </c>
      <c r="H35" s="25">
        <f>VLOOKUP(B35,'Data yoy'!#REF!,MATCH($H$1,'Data yoy'!#REF!,),)</f>
        <v/>
      </c>
      <c r="I35" s="25">
        <f>VLOOKUP(B35,'Data yoy'!#REF!,MATCH($I$1,'Data yoy'!#REF!,),)</f>
        <v/>
      </c>
      <c r="J35" s="25">
        <f>VLOOKUP(B35,'Data yoy'!#REF!,MATCH($J$1,'Data yoy'!#REF!,),)</f>
        <v/>
      </c>
      <c r="K35" s="25">
        <f>VLOOKUP(B35,'Data yoy'!#REF!,MATCH($K$1,'Data yoy'!#REF!,),)</f>
        <v/>
      </c>
      <c r="L35" s="25">
        <f>VLOOKUP(B35,'Data yoy'!#REF!,MATCH($L$1,'Data yoy'!#REF!,),)</f>
        <v/>
      </c>
      <c r="M35" s="25">
        <f>VLOOKUP(B35,'Data yoy'!#REF!,MATCH($M$1,'Data yoy'!#REF!,),)</f>
        <v/>
      </c>
      <c r="N35" s="25">
        <f>VLOOKUP(B35,'Data yoy'!#REF!,MATCH($N$1,'Data yoy'!#REF!,),)</f>
        <v/>
      </c>
      <c r="O35" s="25">
        <f>VLOOKUP(B35,'Data yoy'!#REF!,MATCH($C$1,'Data yoy'!#REF!,),)</f>
        <v/>
      </c>
      <c r="P35" s="25">
        <f>VLOOKUP(B35,'Data yoy'!#REF!,MATCH($P$1,'Data yoy'!#REF!,),)</f>
        <v/>
      </c>
      <c r="Q35" s="25">
        <f>VLOOKUP(B35,'Data yoy'!#REF!,MATCH($Q$1,'Data yoy'!#REF!,),)</f>
        <v/>
      </c>
      <c r="R35" s="25">
        <f>VLOOKUP(B35,'Data yoy'!#REF!,MATCH($E$1,'Data yoy'!#REF!,),)</f>
        <v/>
      </c>
      <c r="S35" s="25">
        <f>VLOOKUP(B35,'Data yoy'!#REF!,MATCH($S$1,'Data yoy'!#REF!,),)</f>
        <v/>
      </c>
      <c r="T35" s="25">
        <f>VLOOKUP(B35,'Data yoy'!#REF!,MATCH($T$1,'Data yoy'!#REF!,),)</f>
        <v/>
      </c>
      <c r="U35" s="25">
        <f>VLOOKUP(B35,'Data yoy'!#REF!,MATCH($U$1,'Data yoy'!#REF!,),)</f>
        <v/>
      </c>
      <c r="V35" s="25">
        <f>VLOOKUP(B35,'Data yoy'!#REF!,MATCH($V$1,'Data yoy'!#REF!,),)</f>
        <v/>
      </c>
      <c r="W35" s="25">
        <f>VLOOKUP(B35,'Data yoy'!#REF!,MATCH($W$1,'Data yoy'!#REF!,),)</f>
        <v/>
      </c>
      <c r="X35" s="25">
        <f>VLOOKUP(B35,'Data yoy'!#REF!,MATCH($X$1,'Data yoy'!#REF!,),)</f>
        <v/>
      </c>
      <c r="Y35" s="25">
        <f>VLOOKUP(B35,'Data yoy'!#REF!,MATCH($Y$1,'Data yoy'!#REF!,),)</f>
        <v/>
      </c>
      <c r="Z35" s="25">
        <f>VLOOKUP(B35,'Data yoy'!#REF!,MATCH($Z$1,'Data yoy'!#REF!,),)</f>
        <v/>
      </c>
      <c r="AA35" s="25">
        <f>VLOOKUP(C35,'Data yoy'!#REF!,MATCH($Z$1,'Data yoy'!#REF!,),)</f>
        <v/>
      </c>
      <c r="AB35" s="74" t="n"/>
      <c r="AC35" s="26">
        <f>B35</f>
        <v/>
      </c>
      <c r="AD35" s="27">
        <f>(VLOOKUP(AC35,B:Y,MATCH($AE$6,$B$1:$Y$1,),))</f>
        <v/>
      </c>
      <c r="AE35" s="27">
        <f>(VLOOKUP(AC35,B:Y,MATCH($AE$7,$B$1:$Y$1,),))</f>
        <v/>
      </c>
    </row>
    <row r="36" hidden="1" s="68">
      <c r="B36" s="24" t="inlineStr">
        <is>
          <t>2006-Q2</t>
        </is>
      </c>
      <c r="C36" s="25">
        <f>VLOOKUP(B36,'Data yoy'!#REF!,MATCH($C$1,'Data yoy'!#REF!,),)</f>
        <v/>
      </c>
      <c r="D36" s="25">
        <f>VLOOKUP(B36,'Data yoy'!#REF!,MATCH($D$1,'Data yoy'!#REF!,),)</f>
        <v/>
      </c>
      <c r="E36" s="25">
        <f>VLOOKUP(B36,'Data yoy'!#REF!,MATCH($E$1,'Data yoy'!#REF!,),)</f>
        <v/>
      </c>
      <c r="F36" s="25">
        <f>VLOOKUP(B36,'Data yoy'!#REF!,MATCH($F$1,'Data yoy'!#REF!,),)</f>
        <v/>
      </c>
      <c r="G36" s="25">
        <f>VLOOKUP(B36,'Data yoy'!#REF!,MATCH($G$1,'Data yoy'!#REF!,),)</f>
        <v/>
      </c>
      <c r="H36" s="25">
        <f>VLOOKUP(B36,'Data yoy'!#REF!,MATCH($H$1,'Data yoy'!#REF!,),)</f>
        <v/>
      </c>
      <c r="I36" s="25">
        <f>VLOOKUP(B36,'Data yoy'!#REF!,MATCH($I$1,'Data yoy'!#REF!,),)</f>
        <v/>
      </c>
      <c r="J36" s="25">
        <f>VLOOKUP(B36,'Data yoy'!#REF!,MATCH($J$1,'Data yoy'!#REF!,),)</f>
        <v/>
      </c>
      <c r="K36" s="25">
        <f>VLOOKUP(B36,'Data yoy'!#REF!,MATCH($K$1,'Data yoy'!#REF!,),)</f>
        <v/>
      </c>
      <c r="L36" s="25">
        <f>VLOOKUP(B36,'Data yoy'!#REF!,MATCH($L$1,'Data yoy'!#REF!,),)</f>
        <v/>
      </c>
      <c r="M36" s="25">
        <f>VLOOKUP(B36,'Data yoy'!#REF!,MATCH($M$1,'Data yoy'!#REF!,),)</f>
        <v/>
      </c>
      <c r="N36" s="25">
        <f>VLOOKUP(B36,'Data yoy'!#REF!,MATCH($N$1,'Data yoy'!#REF!,),)</f>
        <v/>
      </c>
      <c r="O36" s="25">
        <f>VLOOKUP(B36,'Data yoy'!#REF!,MATCH($C$1,'Data yoy'!#REF!,),)</f>
        <v/>
      </c>
      <c r="P36" s="25">
        <f>VLOOKUP(B36,'Data yoy'!#REF!,MATCH($P$1,'Data yoy'!#REF!,),)</f>
        <v/>
      </c>
      <c r="Q36" s="25">
        <f>VLOOKUP(B36,'Data yoy'!#REF!,MATCH($Q$1,'Data yoy'!#REF!,),)</f>
        <v/>
      </c>
      <c r="R36" s="25">
        <f>VLOOKUP(B36,'Data yoy'!#REF!,MATCH($E$1,'Data yoy'!#REF!,),)</f>
        <v/>
      </c>
      <c r="S36" s="25">
        <f>VLOOKUP(B36,'Data yoy'!#REF!,MATCH($S$1,'Data yoy'!#REF!,),)</f>
        <v/>
      </c>
      <c r="T36" s="25">
        <f>VLOOKUP(B36,'Data yoy'!#REF!,MATCH($T$1,'Data yoy'!#REF!,),)</f>
        <v/>
      </c>
      <c r="U36" s="25">
        <f>VLOOKUP(B36,'Data yoy'!#REF!,MATCH($U$1,'Data yoy'!#REF!,),)</f>
        <v/>
      </c>
      <c r="V36" s="25">
        <f>VLOOKUP(B36,'Data yoy'!#REF!,MATCH($V$1,'Data yoy'!#REF!,),)</f>
        <v/>
      </c>
      <c r="W36" s="25">
        <f>VLOOKUP(B36,'Data yoy'!#REF!,MATCH($W$1,'Data yoy'!#REF!,),)</f>
        <v/>
      </c>
      <c r="X36" s="25">
        <f>VLOOKUP(B36,'Data yoy'!#REF!,MATCH($X$1,'Data yoy'!#REF!,),)</f>
        <v/>
      </c>
      <c r="Y36" s="25">
        <f>VLOOKUP(B36,'Data yoy'!#REF!,MATCH($Y$1,'Data yoy'!#REF!,),)</f>
        <v/>
      </c>
      <c r="Z36" s="25">
        <f>VLOOKUP(B36,'Data yoy'!#REF!,MATCH($Z$1,'Data yoy'!#REF!,),)</f>
        <v/>
      </c>
      <c r="AA36" s="25">
        <f>VLOOKUP(C36,'Data yoy'!#REF!,MATCH($Z$1,'Data yoy'!#REF!,),)</f>
        <v/>
      </c>
      <c r="AB36" s="74" t="n"/>
      <c r="AC36" s="26">
        <f>B36</f>
        <v/>
      </c>
      <c r="AD36" s="27">
        <f>(VLOOKUP(AC36,B:Y,MATCH($AE$6,$B$1:$Y$1,),))</f>
        <v/>
      </c>
      <c r="AE36" s="27">
        <f>(VLOOKUP(AC36,B:Y,MATCH($AE$7,$B$1:$Y$1,),))</f>
        <v/>
      </c>
    </row>
    <row r="37" hidden="1" s="68">
      <c r="B37" s="24" t="inlineStr">
        <is>
          <t>2006-Q3</t>
        </is>
      </c>
      <c r="C37" s="25">
        <f>VLOOKUP(B37,'Data yoy'!#REF!,MATCH($C$1,'Data yoy'!#REF!,),)</f>
        <v/>
      </c>
      <c r="D37" s="25">
        <f>VLOOKUP(B37,'Data yoy'!#REF!,MATCH($D$1,'Data yoy'!#REF!,),)</f>
        <v/>
      </c>
      <c r="E37" s="25">
        <f>VLOOKUP(B37,'Data yoy'!#REF!,MATCH($E$1,'Data yoy'!#REF!,),)</f>
        <v/>
      </c>
      <c r="F37" s="25">
        <f>VLOOKUP(B37,'Data yoy'!#REF!,MATCH($F$1,'Data yoy'!#REF!,),)</f>
        <v/>
      </c>
      <c r="G37" s="25">
        <f>VLOOKUP(B37,'Data yoy'!#REF!,MATCH($G$1,'Data yoy'!#REF!,),)</f>
        <v/>
      </c>
      <c r="H37" s="25">
        <f>VLOOKUP(B37,'Data yoy'!#REF!,MATCH($H$1,'Data yoy'!#REF!,),)</f>
        <v/>
      </c>
      <c r="I37" s="25">
        <f>VLOOKUP(B37,'Data yoy'!#REF!,MATCH($I$1,'Data yoy'!#REF!,),)</f>
        <v/>
      </c>
      <c r="J37" s="25">
        <f>VLOOKUP(B37,'Data yoy'!#REF!,MATCH($J$1,'Data yoy'!#REF!,),)</f>
        <v/>
      </c>
      <c r="K37" s="25">
        <f>VLOOKUP(B37,'Data yoy'!#REF!,MATCH($K$1,'Data yoy'!#REF!,),)</f>
        <v/>
      </c>
      <c r="L37" s="25">
        <f>VLOOKUP(B37,'Data yoy'!#REF!,MATCH($L$1,'Data yoy'!#REF!,),)</f>
        <v/>
      </c>
      <c r="M37" s="25">
        <f>VLOOKUP(B37,'Data yoy'!#REF!,MATCH($M$1,'Data yoy'!#REF!,),)</f>
        <v/>
      </c>
      <c r="N37" s="25">
        <f>VLOOKUP(B37,'Data yoy'!#REF!,MATCH($N$1,'Data yoy'!#REF!,),)</f>
        <v/>
      </c>
      <c r="O37" s="25">
        <f>VLOOKUP(B37,'Data yoy'!#REF!,MATCH($C$1,'Data yoy'!#REF!,),)</f>
        <v/>
      </c>
      <c r="P37" s="25">
        <f>VLOOKUP(B37,'Data yoy'!#REF!,MATCH($P$1,'Data yoy'!#REF!,),)</f>
        <v/>
      </c>
      <c r="Q37" s="25">
        <f>VLOOKUP(B37,'Data yoy'!#REF!,MATCH($Q$1,'Data yoy'!#REF!,),)</f>
        <v/>
      </c>
      <c r="R37" s="25">
        <f>VLOOKUP(B37,'Data yoy'!#REF!,MATCH($E$1,'Data yoy'!#REF!,),)</f>
        <v/>
      </c>
      <c r="S37" s="25">
        <f>VLOOKUP(B37,'Data yoy'!#REF!,MATCH($S$1,'Data yoy'!#REF!,),)</f>
        <v/>
      </c>
      <c r="T37" s="25">
        <f>VLOOKUP(B37,'Data yoy'!#REF!,MATCH($T$1,'Data yoy'!#REF!,),)</f>
        <v/>
      </c>
      <c r="U37" s="25">
        <f>VLOOKUP(B37,'Data yoy'!#REF!,MATCH($U$1,'Data yoy'!#REF!,),)</f>
        <v/>
      </c>
      <c r="V37" s="25">
        <f>VLOOKUP(B37,'Data yoy'!#REF!,MATCH($V$1,'Data yoy'!#REF!,),)</f>
        <v/>
      </c>
      <c r="W37" s="25">
        <f>VLOOKUP(B37,'Data yoy'!#REF!,MATCH($W$1,'Data yoy'!#REF!,),)</f>
        <v/>
      </c>
      <c r="X37" s="25">
        <f>VLOOKUP(B37,'Data yoy'!#REF!,MATCH($X$1,'Data yoy'!#REF!,),)</f>
        <v/>
      </c>
      <c r="Y37" s="25">
        <f>VLOOKUP(B37,'Data yoy'!#REF!,MATCH($Y$1,'Data yoy'!#REF!,),)</f>
        <v/>
      </c>
      <c r="Z37" s="25">
        <f>VLOOKUP(B37,'Data yoy'!#REF!,MATCH($Z$1,'Data yoy'!#REF!,),)</f>
        <v/>
      </c>
      <c r="AA37" s="25">
        <f>VLOOKUP(C37,'Data yoy'!#REF!,MATCH($Z$1,'Data yoy'!#REF!,),)</f>
        <v/>
      </c>
      <c r="AB37" s="74" t="n"/>
      <c r="AC37" s="26">
        <f>B37</f>
        <v/>
      </c>
      <c r="AD37" s="27">
        <f>(VLOOKUP(AC37,B:Y,MATCH($AE$6,$B$1:$Y$1,),))</f>
        <v/>
      </c>
      <c r="AE37" s="27">
        <f>(VLOOKUP(AC37,B:Y,MATCH($AE$7,$B$1:$Y$1,),))</f>
        <v/>
      </c>
    </row>
    <row r="38" hidden="1" s="68">
      <c r="B38" s="24" t="inlineStr">
        <is>
          <t>2006-Q4</t>
        </is>
      </c>
      <c r="C38" s="25">
        <f>VLOOKUP(B38,'Data yoy'!#REF!,MATCH($C$1,'Data yoy'!#REF!,),)</f>
        <v/>
      </c>
      <c r="D38" s="25">
        <f>VLOOKUP(B38,'Data yoy'!#REF!,MATCH($D$1,'Data yoy'!#REF!,),)</f>
        <v/>
      </c>
      <c r="E38" s="25">
        <f>VLOOKUP(B38,'Data yoy'!#REF!,MATCH($E$1,'Data yoy'!#REF!,),)</f>
        <v/>
      </c>
      <c r="F38" s="25">
        <f>VLOOKUP(B38,'Data yoy'!#REF!,MATCH($F$1,'Data yoy'!#REF!,),)</f>
        <v/>
      </c>
      <c r="G38" s="25">
        <f>VLOOKUP(B38,'Data yoy'!#REF!,MATCH($G$1,'Data yoy'!#REF!,),)</f>
        <v/>
      </c>
      <c r="H38" s="25">
        <f>VLOOKUP(B38,'Data yoy'!#REF!,MATCH($H$1,'Data yoy'!#REF!,),)</f>
        <v/>
      </c>
      <c r="I38" s="25">
        <f>VLOOKUP(B38,'Data yoy'!#REF!,MATCH($I$1,'Data yoy'!#REF!,),)</f>
        <v/>
      </c>
      <c r="J38" s="25">
        <f>VLOOKUP(B38,'Data yoy'!#REF!,MATCH($J$1,'Data yoy'!#REF!,),)</f>
        <v/>
      </c>
      <c r="K38" s="25">
        <f>VLOOKUP(B38,'Data yoy'!#REF!,MATCH($K$1,'Data yoy'!#REF!,),)</f>
        <v/>
      </c>
      <c r="L38" s="25">
        <f>VLOOKUP(B38,'Data yoy'!#REF!,MATCH($L$1,'Data yoy'!#REF!,),)</f>
        <v/>
      </c>
      <c r="M38" s="25">
        <f>VLOOKUP(B38,'Data yoy'!#REF!,MATCH($M$1,'Data yoy'!#REF!,),)</f>
        <v/>
      </c>
      <c r="N38" s="25">
        <f>VLOOKUP(B38,'Data yoy'!#REF!,MATCH($N$1,'Data yoy'!#REF!,),)</f>
        <v/>
      </c>
      <c r="O38" s="25">
        <f>VLOOKUP(B38,'Data yoy'!#REF!,MATCH($C$1,'Data yoy'!#REF!,),)</f>
        <v/>
      </c>
      <c r="P38" s="25">
        <f>VLOOKUP(B38,'Data yoy'!#REF!,MATCH($P$1,'Data yoy'!#REF!,),)</f>
        <v/>
      </c>
      <c r="Q38" s="25">
        <f>VLOOKUP(B38,'Data yoy'!#REF!,MATCH($Q$1,'Data yoy'!#REF!,),)</f>
        <v/>
      </c>
      <c r="R38" s="25">
        <f>VLOOKUP(B38,'Data yoy'!#REF!,MATCH($E$1,'Data yoy'!#REF!,),)</f>
        <v/>
      </c>
      <c r="S38" s="25">
        <f>VLOOKUP(B38,'Data yoy'!#REF!,MATCH($S$1,'Data yoy'!#REF!,),)</f>
        <v/>
      </c>
      <c r="T38" s="25">
        <f>VLOOKUP(B38,'Data yoy'!#REF!,MATCH($T$1,'Data yoy'!#REF!,),)</f>
        <v/>
      </c>
      <c r="U38" s="25">
        <f>VLOOKUP(B38,'Data yoy'!#REF!,MATCH($U$1,'Data yoy'!#REF!,),)</f>
        <v/>
      </c>
      <c r="V38" s="25">
        <f>VLOOKUP(B38,'Data yoy'!#REF!,MATCH($V$1,'Data yoy'!#REF!,),)</f>
        <v/>
      </c>
      <c r="W38" s="25">
        <f>VLOOKUP(B38,'Data yoy'!#REF!,MATCH($W$1,'Data yoy'!#REF!,),)</f>
        <v/>
      </c>
      <c r="X38" s="25">
        <f>VLOOKUP(B38,'Data yoy'!#REF!,MATCH($X$1,'Data yoy'!#REF!,),)</f>
        <v/>
      </c>
      <c r="Y38" s="25">
        <f>VLOOKUP(B38,'Data yoy'!#REF!,MATCH($Y$1,'Data yoy'!#REF!,),)</f>
        <v/>
      </c>
      <c r="Z38" s="25">
        <f>VLOOKUP(B38,'Data yoy'!#REF!,MATCH($Z$1,'Data yoy'!#REF!,),)</f>
        <v/>
      </c>
      <c r="AA38" s="25">
        <f>VLOOKUP(C38,'Data yoy'!#REF!,MATCH($Z$1,'Data yoy'!#REF!,),)</f>
        <v/>
      </c>
      <c r="AB38" s="74" t="n"/>
      <c r="AC38" s="26">
        <f>B38</f>
        <v/>
      </c>
      <c r="AD38" s="27">
        <f>(VLOOKUP(AC38,B:Y,MATCH($AE$6,$B$1:$Y$1,),))</f>
        <v/>
      </c>
      <c r="AE38" s="27">
        <f>(VLOOKUP(AC38,B:Y,MATCH($AE$7,$B$1:$Y$1,),))</f>
        <v/>
      </c>
    </row>
    <row r="39" hidden="1" s="68">
      <c r="B39" s="24" t="inlineStr">
        <is>
          <t>2007-Q1</t>
        </is>
      </c>
      <c r="C39" s="25">
        <f>VLOOKUP(B39,'Data yoy'!#REF!,MATCH($C$1,'Data yoy'!#REF!,),)</f>
        <v/>
      </c>
      <c r="D39" s="25">
        <f>VLOOKUP(B39,'Data yoy'!#REF!,MATCH($D$1,'Data yoy'!#REF!,),)</f>
        <v/>
      </c>
      <c r="E39" s="25">
        <f>VLOOKUP(B39,'Data yoy'!#REF!,MATCH($E$1,'Data yoy'!#REF!,),)</f>
        <v/>
      </c>
      <c r="F39" s="25">
        <f>VLOOKUP(B39,'Data yoy'!#REF!,MATCH($F$1,'Data yoy'!#REF!,),)</f>
        <v/>
      </c>
      <c r="G39" s="25">
        <f>VLOOKUP(B39,'Data yoy'!#REF!,MATCH($G$1,'Data yoy'!#REF!,),)</f>
        <v/>
      </c>
      <c r="H39" s="25">
        <f>VLOOKUP(B39,'Data yoy'!#REF!,MATCH($H$1,'Data yoy'!#REF!,),)</f>
        <v/>
      </c>
      <c r="I39" s="25">
        <f>VLOOKUP(B39,'Data yoy'!#REF!,MATCH($I$1,'Data yoy'!#REF!,),)</f>
        <v/>
      </c>
      <c r="J39" s="25">
        <f>VLOOKUP(B39,'Data yoy'!#REF!,MATCH($J$1,'Data yoy'!#REF!,),)</f>
        <v/>
      </c>
      <c r="K39" s="25">
        <f>VLOOKUP(B39,'Data yoy'!#REF!,MATCH($K$1,'Data yoy'!#REF!,),)</f>
        <v/>
      </c>
      <c r="L39" s="25">
        <f>VLOOKUP(B39,'Data yoy'!#REF!,MATCH($L$1,'Data yoy'!#REF!,),)</f>
        <v/>
      </c>
      <c r="M39" s="25">
        <f>VLOOKUP(B39,'Data yoy'!#REF!,MATCH($M$1,'Data yoy'!#REF!,),)</f>
        <v/>
      </c>
      <c r="N39" s="25">
        <f>VLOOKUP(B39,'Data yoy'!#REF!,MATCH($N$1,'Data yoy'!#REF!,),)</f>
        <v/>
      </c>
      <c r="O39" s="25">
        <f>VLOOKUP(B39,'Data yoy'!#REF!,MATCH($C$1,'Data yoy'!#REF!,),)</f>
        <v/>
      </c>
      <c r="P39" s="25">
        <f>VLOOKUP(B39,'Data yoy'!#REF!,MATCH($P$1,'Data yoy'!#REF!,),)</f>
        <v/>
      </c>
      <c r="Q39" s="25">
        <f>VLOOKUP(B39,'Data yoy'!#REF!,MATCH($Q$1,'Data yoy'!#REF!,),)</f>
        <v/>
      </c>
      <c r="R39" s="25">
        <f>VLOOKUP(B39,'Data yoy'!#REF!,MATCH($E$1,'Data yoy'!#REF!,),)</f>
        <v/>
      </c>
      <c r="S39" s="25">
        <f>VLOOKUP(B39,'Data yoy'!#REF!,MATCH($S$1,'Data yoy'!#REF!,),)</f>
        <v/>
      </c>
      <c r="T39" s="25">
        <f>VLOOKUP(B39,'Data yoy'!#REF!,MATCH($T$1,'Data yoy'!#REF!,),)</f>
        <v/>
      </c>
      <c r="U39" s="25">
        <f>VLOOKUP(B39,'Data yoy'!#REF!,MATCH($U$1,'Data yoy'!#REF!,),)</f>
        <v/>
      </c>
      <c r="V39" s="25">
        <f>VLOOKUP(B39,'Data yoy'!#REF!,MATCH($V$1,'Data yoy'!#REF!,),)</f>
        <v/>
      </c>
      <c r="W39" s="25">
        <f>VLOOKUP(B39,'Data yoy'!#REF!,MATCH($W$1,'Data yoy'!#REF!,),)</f>
        <v/>
      </c>
      <c r="X39" s="25">
        <f>VLOOKUP(B39,'Data yoy'!#REF!,MATCH($X$1,'Data yoy'!#REF!,),)</f>
        <v/>
      </c>
      <c r="Y39" s="25">
        <f>VLOOKUP(B39,'Data yoy'!#REF!,MATCH($Y$1,'Data yoy'!#REF!,),)</f>
        <v/>
      </c>
      <c r="Z39" s="25">
        <f>VLOOKUP(B39,'Data yoy'!#REF!,MATCH($Z$1,'Data yoy'!#REF!,),)</f>
        <v/>
      </c>
      <c r="AA39" s="25">
        <f>VLOOKUP(C39,'Data yoy'!#REF!,MATCH($Z$1,'Data yoy'!#REF!,),)</f>
        <v/>
      </c>
      <c r="AB39" s="74" t="n"/>
      <c r="AC39" s="26">
        <f>B39</f>
        <v/>
      </c>
      <c r="AD39" s="27">
        <f>(VLOOKUP(AC39,B:Y,MATCH($AE$6,$B$1:$Y$1,),))</f>
        <v/>
      </c>
      <c r="AE39" s="27">
        <f>(VLOOKUP(AC39,B:Y,MATCH($AE$7,$B$1:$Y$1,),))</f>
        <v/>
      </c>
    </row>
    <row r="40" hidden="1" s="68">
      <c r="B40" s="24" t="inlineStr">
        <is>
          <t>2007-Q2</t>
        </is>
      </c>
      <c r="C40" s="25">
        <f>VLOOKUP(B40,'Data yoy'!#REF!,MATCH($C$1,'Data yoy'!#REF!,),)</f>
        <v/>
      </c>
      <c r="D40" s="25">
        <f>VLOOKUP(B40,'Data yoy'!#REF!,MATCH($D$1,'Data yoy'!#REF!,),)</f>
        <v/>
      </c>
      <c r="E40" s="25">
        <f>VLOOKUP(B40,'Data yoy'!#REF!,MATCH($E$1,'Data yoy'!#REF!,),)</f>
        <v/>
      </c>
      <c r="F40" s="25">
        <f>VLOOKUP(B40,'Data yoy'!#REF!,MATCH($F$1,'Data yoy'!#REF!,),)</f>
        <v/>
      </c>
      <c r="G40" s="25">
        <f>VLOOKUP(B40,'Data yoy'!#REF!,MATCH($G$1,'Data yoy'!#REF!,),)</f>
        <v/>
      </c>
      <c r="H40" s="25">
        <f>VLOOKUP(B40,'Data yoy'!#REF!,MATCH($H$1,'Data yoy'!#REF!,),)</f>
        <v/>
      </c>
      <c r="I40" s="25">
        <f>VLOOKUP(B40,'Data yoy'!#REF!,MATCH($I$1,'Data yoy'!#REF!,),)</f>
        <v/>
      </c>
      <c r="J40" s="25">
        <f>VLOOKUP(B40,'Data yoy'!#REF!,MATCH($J$1,'Data yoy'!#REF!,),)</f>
        <v/>
      </c>
      <c r="K40" s="25">
        <f>VLOOKUP(B40,'Data yoy'!#REF!,MATCH($K$1,'Data yoy'!#REF!,),)</f>
        <v/>
      </c>
      <c r="L40" s="25">
        <f>VLOOKUP(B40,'Data yoy'!#REF!,MATCH($L$1,'Data yoy'!#REF!,),)</f>
        <v/>
      </c>
      <c r="M40" s="25">
        <f>VLOOKUP(B40,'Data yoy'!#REF!,MATCH($M$1,'Data yoy'!#REF!,),)</f>
        <v/>
      </c>
      <c r="N40" s="25">
        <f>VLOOKUP(B40,'Data yoy'!#REF!,MATCH($N$1,'Data yoy'!#REF!,),)</f>
        <v/>
      </c>
      <c r="O40" s="25">
        <f>VLOOKUP(B40,'Data yoy'!#REF!,MATCH($C$1,'Data yoy'!#REF!,),)</f>
        <v/>
      </c>
      <c r="P40" s="25">
        <f>VLOOKUP(B40,'Data yoy'!#REF!,MATCH($P$1,'Data yoy'!#REF!,),)</f>
        <v/>
      </c>
      <c r="Q40" s="25">
        <f>VLOOKUP(B40,'Data yoy'!#REF!,MATCH($Q$1,'Data yoy'!#REF!,),)</f>
        <v/>
      </c>
      <c r="R40" s="25">
        <f>VLOOKUP(B40,'Data yoy'!#REF!,MATCH($E$1,'Data yoy'!#REF!,),)</f>
        <v/>
      </c>
      <c r="S40" s="25">
        <f>VLOOKUP(B40,'Data yoy'!#REF!,MATCH($S$1,'Data yoy'!#REF!,),)</f>
        <v/>
      </c>
      <c r="T40" s="25">
        <f>VLOOKUP(B40,'Data yoy'!#REF!,MATCH($T$1,'Data yoy'!#REF!,),)</f>
        <v/>
      </c>
      <c r="U40" s="25">
        <f>VLOOKUP(B40,'Data yoy'!#REF!,MATCH($U$1,'Data yoy'!#REF!,),)</f>
        <v/>
      </c>
      <c r="V40" s="25">
        <f>VLOOKUP(B40,'Data yoy'!#REF!,MATCH($V$1,'Data yoy'!#REF!,),)</f>
        <v/>
      </c>
      <c r="W40" s="25">
        <f>VLOOKUP(B40,'Data yoy'!#REF!,MATCH($W$1,'Data yoy'!#REF!,),)</f>
        <v/>
      </c>
      <c r="X40" s="25">
        <f>VLOOKUP(B40,'Data yoy'!#REF!,MATCH($X$1,'Data yoy'!#REF!,),)</f>
        <v/>
      </c>
      <c r="Y40" s="25">
        <f>VLOOKUP(B40,'Data yoy'!#REF!,MATCH($Y$1,'Data yoy'!#REF!,),)</f>
        <v/>
      </c>
      <c r="Z40" s="25">
        <f>VLOOKUP(B40,'Data yoy'!#REF!,MATCH($Z$1,'Data yoy'!#REF!,),)</f>
        <v/>
      </c>
      <c r="AA40" s="25">
        <f>VLOOKUP(C40,'Data yoy'!#REF!,MATCH($Z$1,'Data yoy'!#REF!,),)</f>
        <v/>
      </c>
      <c r="AB40" s="74" t="n"/>
      <c r="AC40" s="26">
        <f>B40</f>
        <v/>
      </c>
      <c r="AD40" s="27">
        <f>(VLOOKUP(AC40,B:Y,MATCH($AE$6,$B$1:$Y$1,),))</f>
        <v/>
      </c>
      <c r="AE40" s="27">
        <f>(VLOOKUP(AC40,B:Y,MATCH($AE$7,$B$1:$Y$1,),))</f>
        <v/>
      </c>
    </row>
    <row r="41" hidden="1" s="68">
      <c r="B41" s="24" t="inlineStr">
        <is>
          <t>2007-Q3</t>
        </is>
      </c>
      <c r="C41" s="25">
        <f>VLOOKUP(B41,'Data yoy'!#REF!,MATCH($C$1,'Data yoy'!#REF!,),)</f>
        <v/>
      </c>
      <c r="D41" s="25">
        <f>VLOOKUP(B41,'Data yoy'!#REF!,MATCH($D$1,'Data yoy'!#REF!,),)</f>
        <v/>
      </c>
      <c r="E41" s="25">
        <f>VLOOKUP(B41,'Data yoy'!#REF!,MATCH($E$1,'Data yoy'!#REF!,),)</f>
        <v/>
      </c>
      <c r="F41" s="25">
        <f>VLOOKUP(B41,'Data yoy'!#REF!,MATCH($F$1,'Data yoy'!#REF!,),)</f>
        <v/>
      </c>
      <c r="G41" s="25">
        <f>VLOOKUP(B41,'Data yoy'!#REF!,MATCH($G$1,'Data yoy'!#REF!,),)</f>
        <v/>
      </c>
      <c r="H41" s="25">
        <f>VLOOKUP(B41,'Data yoy'!#REF!,MATCH($H$1,'Data yoy'!#REF!,),)</f>
        <v/>
      </c>
      <c r="I41" s="25">
        <f>VLOOKUP(B41,'Data yoy'!#REF!,MATCH($I$1,'Data yoy'!#REF!,),)</f>
        <v/>
      </c>
      <c r="J41" s="25">
        <f>VLOOKUP(B41,'Data yoy'!#REF!,MATCH($J$1,'Data yoy'!#REF!,),)</f>
        <v/>
      </c>
      <c r="K41" s="25">
        <f>VLOOKUP(B41,'Data yoy'!#REF!,MATCH($K$1,'Data yoy'!#REF!,),)</f>
        <v/>
      </c>
      <c r="L41" s="25">
        <f>VLOOKUP(B41,'Data yoy'!#REF!,MATCH($L$1,'Data yoy'!#REF!,),)</f>
        <v/>
      </c>
      <c r="M41" s="25">
        <f>VLOOKUP(B41,'Data yoy'!#REF!,MATCH($M$1,'Data yoy'!#REF!,),)</f>
        <v/>
      </c>
      <c r="N41" s="25">
        <f>VLOOKUP(B41,'Data yoy'!#REF!,MATCH($N$1,'Data yoy'!#REF!,),)</f>
        <v/>
      </c>
      <c r="O41" s="25">
        <f>VLOOKUP(B41,'Data yoy'!#REF!,MATCH($C$1,'Data yoy'!#REF!,),)</f>
        <v/>
      </c>
      <c r="P41" s="25">
        <f>VLOOKUP(B41,'Data yoy'!#REF!,MATCH($P$1,'Data yoy'!#REF!,),)</f>
        <v/>
      </c>
      <c r="Q41" s="25">
        <f>VLOOKUP(B41,'Data yoy'!#REF!,MATCH($Q$1,'Data yoy'!#REF!,),)</f>
        <v/>
      </c>
      <c r="R41" s="25">
        <f>VLOOKUP(B41,'Data yoy'!#REF!,MATCH($E$1,'Data yoy'!#REF!,),)</f>
        <v/>
      </c>
      <c r="S41" s="25">
        <f>VLOOKUP(B41,'Data yoy'!#REF!,MATCH($S$1,'Data yoy'!#REF!,),)</f>
        <v/>
      </c>
      <c r="T41" s="25">
        <f>VLOOKUP(B41,'Data yoy'!#REF!,MATCH($T$1,'Data yoy'!#REF!,),)</f>
        <v/>
      </c>
      <c r="U41" s="25">
        <f>VLOOKUP(B41,'Data yoy'!#REF!,MATCH($U$1,'Data yoy'!#REF!,),)</f>
        <v/>
      </c>
      <c r="V41" s="25">
        <f>VLOOKUP(B41,'Data yoy'!#REF!,MATCH($V$1,'Data yoy'!#REF!,),)</f>
        <v/>
      </c>
      <c r="W41" s="25">
        <f>VLOOKUP(B41,'Data yoy'!#REF!,MATCH($W$1,'Data yoy'!#REF!,),)</f>
        <v/>
      </c>
      <c r="X41" s="25">
        <f>VLOOKUP(B41,'Data yoy'!#REF!,MATCH($X$1,'Data yoy'!#REF!,),)</f>
        <v/>
      </c>
      <c r="Y41" s="25">
        <f>VLOOKUP(B41,'Data yoy'!#REF!,MATCH($Y$1,'Data yoy'!#REF!,),)</f>
        <v/>
      </c>
      <c r="Z41" s="25">
        <f>VLOOKUP(B41,'Data yoy'!#REF!,MATCH($Z$1,'Data yoy'!#REF!,),)</f>
        <v/>
      </c>
      <c r="AA41" s="25">
        <f>VLOOKUP(C41,'Data yoy'!#REF!,MATCH($Z$1,'Data yoy'!#REF!,),)</f>
        <v/>
      </c>
      <c r="AB41" s="74" t="n"/>
      <c r="AC41" s="26">
        <f>B41</f>
        <v/>
      </c>
      <c r="AD41" s="27">
        <f>(VLOOKUP(AC41,B:Y,MATCH($AE$6,$B$1:$Y$1,),))</f>
        <v/>
      </c>
      <c r="AE41" s="27">
        <f>(VLOOKUP(AC41,B:Y,MATCH($AE$7,$B$1:$Y$1,),))</f>
        <v/>
      </c>
    </row>
    <row r="42" hidden="1" s="68">
      <c r="B42" s="24" t="inlineStr">
        <is>
          <t>2007-Q4</t>
        </is>
      </c>
      <c r="C42" s="25">
        <f>VLOOKUP(B42,'Data yoy'!#REF!,MATCH($C$1,'Data yoy'!#REF!,),)</f>
        <v/>
      </c>
      <c r="D42" s="25">
        <f>VLOOKUP(B42,'Data yoy'!#REF!,MATCH($D$1,'Data yoy'!#REF!,),)</f>
        <v/>
      </c>
      <c r="E42" s="25">
        <f>VLOOKUP(B42,'Data yoy'!#REF!,MATCH($E$1,'Data yoy'!#REF!,),)</f>
        <v/>
      </c>
      <c r="F42" s="25">
        <f>VLOOKUP(B42,'Data yoy'!#REF!,MATCH($F$1,'Data yoy'!#REF!,),)</f>
        <v/>
      </c>
      <c r="G42" s="25">
        <f>VLOOKUP(B42,'Data yoy'!#REF!,MATCH($G$1,'Data yoy'!#REF!,),)</f>
        <v/>
      </c>
      <c r="H42" s="25">
        <f>VLOOKUP(B42,'Data yoy'!#REF!,MATCH($H$1,'Data yoy'!#REF!,),)</f>
        <v/>
      </c>
      <c r="I42" s="25">
        <f>VLOOKUP(B42,'Data yoy'!#REF!,MATCH($I$1,'Data yoy'!#REF!,),)</f>
        <v/>
      </c>
      <c r="J42" s="25">
        <f>VLOOKUP(B42,'Data yoy'!#REF!,MATCH($J$1,'Data yoy'!#REF!,),)</f>
        <v/>
      </c>
      <c r="K42" s="25">
        <f>VLOOKUP(B42,'Data yoy'!#REF!,MATCH($K$1,'Data yoy'!#REF!,),)</f>
        <v/>
      </c>
      <c r="L42" s="25">
        <f>VLOOKUP(B42,'Data yoy'!#REF!,MATCH($L$1,'Data yoy'!#REF!,),)</f>
        <v/>
      </c>
      <c r="M42" s="25">
        <f>VLOOKUP(B42,'Data yoy'!#REF!,MATCH($M$1,'Data yoy'!#REF!,),)</f>
        <v/>
      </c>
      <c r="N42" s="25">
        <f>VLOOKUP(B42,'Data yoy'!#REF!,MATCH($N$1,'Data yoy'!#REF!,),)</f>
        <v/>
      </c>
      <c r="O42" s="25">
        <f>VLOOKUP(B42,'Data yoy'!#REF!,MATCH($C$1,'Data yoy'!#REF!,),)</f>
        <v/>
      </c>
      <c r="P42" s="25">
        <f>VLOOKUP(B42,'Data yoy'!#REF!,MATCH($P$1,'Data yoy'!#REF!,),)</f>
        <v/>
      </c>
      <c r="Q42" s="25">
        <f>VLOOKUP(B42,'Data yoy'!#REF!,MATCH($Q$1,'Data yoy'!#REF!,),)</f>
        <v/>
      </c>
      <c r="R42" s="25">
        <f>VLOOKUP(B42,'Data yoy'!#REF!,MATCH($E$1,'Data yoy'!#REF!,),)</f>
        <v/>
      </c>
      <c r="S42" s="25">
        <f>VLOOKUP(B42,'Data yoy'!#REF!,MATCH($S$1,'Data yoy'!#REF!,),)</f>
        <v/>
      </c>
      <c r="T42" s="25">
        <f>VLOOKUP(B42,'Data yoy'!#REF!,MATCH($T$1,'Data yoy'!#REF!,),)</f>
        <v/>
      </c>
      <c r="U42" s="25">
        <f>VLOOKUP(B42,'Data yoy'!#REF!,MATCH($U$1,'Data yoy'!#REF!,),)</f>
        <v/>
      </c>
      <c r="V42" s="25">
        <f>VLOOKUP(B42,'Data yoy'!#REF!,MATCH($V$1,'Data yoy'!#REF!,),)</f>
        <v/>
      </c>
      <c r="W42" s="25">
        <f>VLOOKUP(B42,'Data yoy'!#REF!,MATCH($W$1,'Data yoy'!#REF!,),)</f>
        <v/>
      </c>
      <c r="X42" s="25">
        <f>VLOOKUP(B42,'Data yoy'!#REF!,MATCH($X$1,'Data yoy'!#REF!,),)</f>
        <v/>
      </c>
      <c r="Y42" s="25">
        <f>VLOOKUP(B42,'Data yoy'!#REF!,MATCH($Y$1,'Data yoy'!#REF!,),)</f>
        <v/>
      </c>
      <c r="Z42" s="25">
        <f>VLOOKUP(B42,'Data yoy'!#REF!,MATCH($Z$1,'Data yoy'!#REF!,),)</f>
        <v/>
      </c>
      <c r="AA42" s="25">
        <f>VLOOKUP(C42,'Data yoy'!#REF!,MATCH($Z$1,'Data yoy'!#REF!,),)</f>
        <v/>
      </c>
      <c r="AB42" s="74" t="n"/>
      <c r="AC42" s="26">
        <f>B42</f>
        <v/>
      </c>
      <c r="AD42" s="27">
        <f>(VLOOKUP(AC42,B:Y,MATCH($AE$6,$B$1:$Y$1,),))</f>
        <v/>
      </c>
      <c r="AE42" s="27">
        <f>(VLOOKUP(AC42,B:Y,MATCH($AE$7,$B$1:$Y$1,),))</f>
        <v/>
      </c>
    </row>
    <row r="43" hidden="1" s="68">
      <c r="B43" s="24" t="inlineStr">
        <is>
          <t>2008-Q1</t>
        </is>
      </c>
      <c r="C43" s="25">
        <f>VLOOKUP(B43,'Data yoy'!#REF!,MATCH($C$1,'Data yoy'!#REF!,),)</f>
        <v/>
      </c>
      <c r="D43" s="25">
        <f>VLOOKUP(B43,'Data yoy'!#REF!,MATCH($D$1,'Data yoy'!#REF!,),)</f>
        <v/>
      </c>
      <c r="E43" s="25">
        <f>VLOOKUP(B43,'Data yoy'!#REF!,MATCH($E$1,'Data yoy'!#REF!,),)</f>
        <v/>
      </c>
      <c r="F43" s="25">
        <f>VLOOKUP(B43,'Data yoy'!#REF!,MATCH($F$1,'Data yoy'!#REF!,),)</f>
        <v/>
      </c>
      <c r="G43" s="25">
        <f>VLOOKUP(B43,'Data yoy'!#REF!,MATCH($G$1,'Data yoy'!#REF!,),)</f>
        <v/>
      </c>
      <c r="H43" s="25">
        <f>VLOOKUP(B43,'Data yoy'!#REF!,MATCH($H$1,'Data yoy'!#REF!,),)</f>
        <v/>
      </c>
      <c r="I43" s="25">
        <f>VLOOKUP(B43,'Data yoy'!#REF!,MATCH($I$1,'Data yoy'!#REF!,),)</f>
        <v/>
      </c>
      <c r="J43" s="25">
        <f>VLOOKUP(B43,'Data yoy'!#REF!,MATCH($J$1,'Data yoy'!#REF!,),)</f>
        <v/>
      </c>
      <c r="K43" s="25">
        <f>VLOOKUP(B43,'Data yoy'!#REF!,MATCH($K$1,'Data yoy'!#REF!,),)</f>
        <v/>
      </c>
      <c r="L43" s="25">
        <f>VLOOKUP(B43,'Data yoy'!#REF!,MATCH($L$1,'Data yoy'!#REF!,),)</f>
        <v/>
      </c>
      <c r="M43" s="25">
        <f>VLOOKUP(B43,'Data yoy'!#REF!,MATCH($M$1,'Data yoy'!#REF!,),)</f>
        <v/>
      </c>
      <c r="N43" s="25">
        <f>VLOOKUP(B43,'Data yoy'!#REF!,MATCH($N$1,'Data yoy'!#REF!,),)</f>
        <v/>
      </c>
      <c r="O43" s="25">
        <f>VLOOKUP(B43,'Data yoy'!#REF!,MATCH($C$1,'Data yoy'!#REF!,),)</f>
        <v/>
      </c>
      <c r="P43" s="25">
        <f>VLOOKUP(B43,'Data yoy'!#REF!,MATCH($P$1,'Data yoy'!#REF!,),)</f>
        <v/>
      </c>
      <c r="Q43" s="25">
        <f>VLOOKUP(B43,'Data yoy'!#REF!,MATCH($Q$1,'Data yoy'!#REF!,),)</f>
        <v/>
      </c>
      <c r="R43" s="25">
        <f>VLOOKUP(B43,'Data yoy'!#REF!,MATCH($E$1,'Data yoy'!#REF!,),)</f>
        <v/>
      </c>
      <c r="S43" s="25">
        <f>VLOOKUP(B43,'Data yoy'!#REF!,MATCH($S$1,'Data yoy'!#REF!,),)</f>
        <v/>
      </c>
      <c r="T43" s="25">
        <f>VLOOKUP(B43,'Data yoy'!#REF!,MATCH($T$1,'Data yoy'!#REF!,),)</f>
        <v/>
      </c>
      <c r="U43" s="25">
        <f>VLOOKUP(B43,'Data yoy'!#REF!,MATCH($U$1,'Data yoy'!#REF!,),)</f>
        <v/>
      </c>
      <c r="V43" s="25">
        <f>VLOOKUP(B43,'Data yoy'!#REF!,MATCH($V$1,'Data yoy'!#REF!,),)</f>
        <v/>
      </c>
      <c r="W43" s="25">
        <f>VLOOKUP(B43,'Data yoy'!#REF!,MATCH($W$1,'Data yoy'!#REF!,),)</f>
        <v/>
      </c>
      <c r="X43" s="25">
        <f>VLOOKUP(B43,'Data yoy'!#REF!,MATCH($X$1,'Data yoy'!#REF!,),)</f>
        <v/>
      </c>
      <c r="Y43" s="25">
        <f>VLOOKUP(B43,'Data yoy'!#REF!,MATCH($Y$1,'Data yoy'!#REF!,),)</f>
        <v/>
      </c>
      <c r="Z43" s="25">
        <f>VLOOKUP(B43,'Data yoy'!#REF!,MATCH($Z$1,'Data yoy'!#REF!,),)</f>
        <v/>
      </c>
      <c r="AA43" s="25">
        <f>VLOOKUP(C43,'Data yoy'!#REF!,MATCH($Z$1,'Data yoy'!#REF!,),)</f>
        <v/>
      </c>
      <c r="AB43" s="74" t="n"/>
      <c r="AC43" s="26">
        <f>B43</f>
        <v/>
      </c>
      <c r="AD43" s="27">
        <f>(VLOOKUP(AC43,B:Y,MATCH($AE$6,$B$1:$Y$1,),))</f>
        <v/>
      </c>
      <c r="AE43" s="27">
        <f>(VLOOKUP(AC43,B:Y,MATCH($AE$7,$B$1:$Y$1,),))</f>
        <v/>
      </c>
    </row>
    <row r="44" hidden="1" s="68">
      <c r="B44" s="24" t="inlineStr">
        <is>
          <t>2008-Q2</t>
        </is>
      </c>
      <c r="C44" s="25">
        <f>VLOOKUP(B44,'Data yoy'!#REF!,MATCH($C$1,'Data yoy'!#REF!,),)</f>
        <v/>
      </c>
      <c r="D44" s="25">
        <f>VLOOKUP(B44,'Data yoy'!#REF!,MATCH($D$1,'Data yoy'!#REF!,),)</f>
        <v/>
      </c>
      <c r="E44" s="25">
        <f>VLOOKUP(B44,'Data yoy'!#REF!,MATCH($E$1,'Data yoy'!#REF!,),)</f>
        <v/>
      </c>
      <c r="F44" s="25">
        <f>VLOOKUP(B44,'Data yoy'!#REF!,MATCH($F$1,'Data yoy'!#REF!,),)</f>
        <v/>
      </c>
      <c r="G44" s="25">
        <f>VLOOKUP(B44,'Data yoy'!#REF!,MATCH($G$1,'Data yoy'!#REF!,),)</f>
        <v/>
      </c>
      <c r="H44" s="25">
        <f>VLOOKUP(B44,'Data yoy'!#REF!,MATCH($H$1,'Data yoy'!#REF!,),)</f>
        <v/>
      </c>
      <c r="I44" s="25">
        <f>VLOOKUP(B44,'Data yoy'!#REF!,MATCH($I$1,'Data yoy'!#REF!,),)</f>
        <v/>
      </c>
      <c r="J44" s="25">
        <f>VLOOKUP(B44,'Data yoy'!#REF!,MATCH($J$1,'Data yoy'!#REF!,),)</f>
        <v/>
      </c>
      <c r="K44" s="25">
        <f>VLOOKUP(B44,'Data yoy'!#REF!,MATCH($K$1,'Data yoy'!#REF!,),)</f>
        <v/>
      </c>
      <c r="L44" s="25">
        <f>VLOOKUP(B44,'Data yoy'!#REF!,MATCH($L$1,'Data yoy'!#REF!,),)</f>
        <v/>
      </c>
      <c r="M44" s="25">
        <f>VLOOKUP(B44,'Data yoy'!#REF!,MATCH($M$1,'Data yoy'!#REF!,),)</f>
        <v/>
      </c>
      <c r="N44" s="25">
        <f>VLOOKUP(B44,'Data yoy'!#REF!,MATCH($N$1,'Data yoy'!#REF!,),)</f>
        <v/>
      </c>
      <c r="O44" s="25">
        <f>VLOOKUP(B44,'Data yoy'!#REF!,MATCH($C$1,'Data yoy'!#REF!,),)</f>
        <v/>
      </c>
      <c r="P44" s="25">
        <f>VLOOKUP(B44,'Data yoy'!#REF!,MATCH($P$1,'Data yoy'!#REF!,),)</f>
        <v/>
      </c>
      <c r="Q44" s="25">
        <f>VLOOKUP(B44,'Data yoy'!#REF!,MATCH($Q$1,'Data yoy'!#REF!,),)</f>
        <v/>
      </c>
      <c r="R44" s="25">
        <f>VLOOKUP(B44,'Data yoy'!#REF!,MATCH($E$1,'Data yoy'!#REF!,),)</f>
        <v/>
      </c>
      <c r="S44" s="25">
        <f>VLOOKUP(B44,'Data yoy'!#REF!,MATCH($S$1,'Data yoy'!#REF!,),)</f>
        <v/>
      </c>
      <c r="T44" s="25">
        <f>VLOOKUP(B44,'Data yoy'!#REF!,MATCH($T$1,'Data yoy'!#REF!,),)</f>
        <v/>
      </c>
      <c r="U44" s="25">
        <f>VLOOKUP(B44,'Data yoy'!#REF!,MATCH($U$1,'Data yoy'!#REF!,),)</f>
        <v/>
      </c>
      <c r="V44" s="25">
        <f>VLOOKUP(B44,'Data yoy'!#REF!,MATCH($V$1,'Data yoy'!#REF!,),)</f>
        <v/>
      </c>
      <c r="W44" s="25">
        <f>VLOOKUP(B44,'Data yoy'!#REF!,MATCH($W$1,'Data yoy'!#REF!,),)</f>
        <v/>
      </c>
      <c r="X44" s="25">
        <f>VLOOKUP(B44,'Data yoy'!#REF!,MATCH($X$1,'Data yoy'!#REF!,),)</f>
        <v/>
      </c>
      <c r="Y44" s="25">
        <f>VLOOKUP(B44,'Data yoy'!#REF!,MATCH($Y$1,'Data yoy'!#REF!,),)</f>
        <v/>
      </c>
      <c r="Z44" s="25">
        <f>VLOOKUP(B44,'Data yoy'!#REF!,MATCH($Z$1,'Data yoy'!#REF!,),)</f>
        <v/>
      </c>
      <c r="AA44" s="25">
        <f>VLOOKUP(C44,'Data yoy'!#REF!,MATCH($Z$1,'Data yoy'!#REF!,),)</f>
        <v/>
      </c>
      <c r="AB44" s="74" t="n"/>
      <c r="AC44" s="26">
        <f>B44</f>
        <v/>
      </c>
      <c r="AD44" s="27">
        <f>(VLOOKUP(AC44,B:Y,MATCH($AE$6,$B$1:$Y$1,),))</f>
        <v/>
      </c>
      <c r="AE44" s="27">
        <f>(VLOOKUP(AC44,B:Y,MATCH($AE$7,$B$1:$Y$1,),))</f>
        <v/>
      </c>
    </row>
    <row r="45" hidden="1" s="68">
      <c r="B45" s="24" t="inlineStr">
        <is>
          <t>2008-Q3</t>
        </is>
      </c>
      <c r="C45" s="25">
        <f>VLOOKUP(B45,'Data yoy'!#REF!,MATCH($C$1,'Data yoy'!#REF!,),)</f>
        <v/>
      </c>
      <c r="D45" s="25">
        <f>VLOOKUP(B45,'Data yoy'!#REF!,MATCH($D$1,'Data yoy'!#REF!,),)</f>
        <v/>
      </c>
      <c r="E45" s="25">
        <f>VLOOKUP(B45,'Data yoy'!#REF!,MATCH($E$1,'Data yoy'!#REF!,),)</f>
        <v/>
      </c>
      <c r="F45" s="25">
        <f>VLOOKUP(B45,'Data yoy'!#REF!,MATCH($F$1,'Data yoy'!#REF!,),)</f>
        <v/>
      </c>
      <c r="G45" s="25">
        <f>VLOOKUP(B45,'Data yoy'!#REF!,MATCH($G$1,'Data yoy'!#REF!,),)</f>
        <v/>
      </c>
      <c r="H45" s="25">
        <f>VLOOKUP(B45,'Data yoy'!#REF!,MATCH($H$1,'Data yoy'!#REF!,),)</f>
        <v/>
      </c>
      <c r="I45" s="25">
        <f>VLOOKUP(B45,'Data yoy'!#REF!,MATCH($I$1,'Data yoy'!#REF!,),)</f>
        <v/>
      </c>
      <c r="J45" s="25">
        <f>VLOOKUP(B45,'Data yoy'!#REF!,MATCH($J$1,'Data yoy'!#REF!,),)</f>
        <v/>
      </c>
      <c r="K45" s="25">
        <f>VLOOKUP(B45,'Data yoy'!#REF!,MATCH($K$1,'Data yoy'!#REF!,),)</f>
        <v/>
      </c>
      <c r="L45" s="25">
        <f>VLOOKUP(B45,'Data yoy'!#REF!,MATCH($L$1,'Data yoy'!#REF!,),)</f>
        <v/>
      </c>
      <c r="M45" s="25">
        <f>VLOOKUP(B45,'Data yoy'!#REF!,MATCH($M$1,'Data yoy'!#REF!,),)</f>
        <v/>
      </c>
      <c r="N45" s="25">
        <f>VLOOKUP(B45,'Data yoy'!#REF!,MATCH($N$1,'Data yoy'!#REF!,),)</f>
        <v/>
      </c>
      <c r="O45" s="25">
        <f>VLOOKUP(B45,'Data yoy'!#REF!,MATCH($C$1,'Data yoy'!#REF!,),)</f>
        <v/>
      </c>
      <c r="P45" s="25">
        <f>VLOOKUP(B45,'Data yoy'!#REF!,MATCH($P$1,'Data yoy'!#REF!,),)</f>
        <v/>
      </c>
      <c r="Q45" s="25">
        <f>VLOOKUP(B45,'Data yoy'!#REF!,MATCH($Q$1,'Data yoy'!#REF!,),)</f>
        <v/>
      </c>
      <c r="R45" s="25">
        <f>VLOOKUP(B45,'Data yoy'!#REF!,MATCH($E$1,'Data yoy'!#REF!,),)</f>
        <v/>
      </c>
      <c r="S45" s="25">
        <f>VLOOKUP(B45,'Data yoy'!#REF!,MATCH($S$1,'Data yoy'!#REF!,),)</f>
        <v/>
      </c>
      <c r="T45" s="25">
        <f>VLOOKUP(B45,'Data yoy'!#REF!,MATCH($T$1,'Data yoy'!#REF!,),)</f>
        <v/>
      </c>
      <c r="U45" s="25">
        <f>VLOOKUP(B45,'Data yoy'!#REF!,MATCH($U$1,'Data yoy'!#REF!,),)</f>
        <v/>
      </c>
      <c r="V45" s="25">
        <f>VLOOKUP(B45,'Data yoy'!#REF!,MATCH($V$1,'Data yoy'!#REF!,),)</f>
        <v/>
      </c>
      <c r="W45" s="25">
        <f>VLOOKUP(B45,'Data yoy'!#REF!,MATCH($W$1,'Data yoy'!#REF!,),)</f>
        <v/>
      </c>
      <c r="X45" s="25">
        <f>VLOOKUP(B45,'Data yoy'!#REF!,MATCH($X$1,'Data yoy'!#REF!,),)</f>
        <v/>
      </c>
      <c r="Y45" s="25">
        <f>VLOOKUP(B45,'Data yoy'!#REF!,MATCH($Y$1,'Data yoy'!#REF!,),)</f>
        <v/>
      </c>
      <c r="Z45" s="25">
        <f>VLOOKUP(B45,'Data yoy'!#REF!,MATCH($Z$1,'Data yoy'!#REF!,),)</f>
        <v/>
      </c>
      <c r="AA45" s="25">
        <f>VLOOKUP(C45,'Data yoy'!#REF!,MATCH($Z$1,'Data yoy'!#REF!,),)</f>
        <v/>
      </c>
      <c r="AB45" s="74" t="n"/>
      <c r="AC45" s="26">
        <f>B45</f>
        <v/>
      </c>
      <c r="AD45" s="27">
        <f>(VLOOKUP(AC45,B:Y,MATCH($AE$6,$B$1:$Y$1,),))</f>
        <v/>
      </c>
      <c r="AE45" s="27">
        <f>(VLOOKUP(AC45,B:Y,MATCH($AE$7,$B$1:$Y$1,),))</f>
        <v/>
      </c>
    </row>
    <row r="46" hidden="1" s="68">
      <c r="B46" s="24" t="inlineStr">
        <is>
          <t>2008-Q4</t>
        </is>
      </c>
      <c r="C46" s="25">
        <f>VLOOKUP(B46,'Data yoy'!#REF!,MATCH($C$1,'Data yoy'!#REF!,),)</f>
        <v/>
      </c>
      <c r="D46" s="25">
        <f>VLOOKUP(B46,'Data yoy'!#REF!,MATCH($D$1,'Data yoy'!#REF!,),)</f>
        <v/>
      </c>
      <c r="E46" s="25">
        <f>VLOOKUP(B46,'Data yoy'!#REF!,MATCH($E$1,'Data yoy'!#REF!,),)</f>
        <v/>
      </c>
      <c r="F46" s="25">
        <f>VLOOKUP(B46,'Data yoy'!#REF!,MATCH($F$1,'Data yoy'!#REF!,),)</f>
        <v/>
      </c>
      <c r="G46" s="25">
        <f>VLOOKUP(B46,'Data yoy'!#REF!,MATCH($G$1,'Data yoy'!#REF!,),)</f>
        <v/>
      </c>
      <c r="H46" s="25">
        <f>VLOOKUP(B46,'Data yoy'!#REF!,MATCH($H$1,'Data yoy'!#REF!,),)</f>
        <v/>
      </c>
      <c r="I46" s="25">
        <f>VLOOKUP(B46,'Data yoy'!#REF!,MATCH($I$1,'Data yoy'!#REF!,),)</f>
        <v/>
      </c>
      <c r="J46" s="25">
        <f>VLOOKUP(B46,'Data yoy'!#REF!,MATCH($J$1,'Data yoy'!#REF!,),)</f>
        <v/>
      </c>
      <c r="K46" s="25">
        <f>VLOOKUP(B46,'Data yoy'!#REF!,MATCH($K$1,'Data yoy'!#REF!,),)</f>
        <v/>
      </c>
      <c r="L46" s="25">
        <f>VLOOKUP(B46,'Data yoy'!#REF!,MATCH($L$1,'Data yoy'!#REF!,),)</f>
        <v/>
      </c>
      <c r="M46" s="25">
        <f>VLOOKUP(B46,'Data yoy'!#REF!,MATCH($M$1,'Data yoy'!#REF!,),)</f>
        <v/>
      </c>
      <c r="N46" s="25">
        <f>VLOOKUP(B46,'Data yoy'!#REF!,MATCH($N$1,'Data yoy'!#REF!,),)</f>
        <v/>
      </c>
      <c r="O46" s="25">
        <f>VLOOKUP(B46,'Data yoy'!#REF!,MATCH($C$1,'Data yoy'!#REF!,),)</f>
        <v/>
      </c>
      <c r="P46" s="25">
        <f>VLOOKUP(B46,'Data yoy'!#REF!,MATCH($P$1,'Data yoy'!#REF!,),)</f>
        <v/>
      </c>
      <c r="Q46" s="25">
        <f>VLOOKUP(B46,'Data yoy'!#REF!,MATCH($Q$1,'Data yoy'!#REF!,),)</f>
        <v/>
      </c>
      <c r="R46" s="25">
        <f>VLOOKUP(B46,'Data yoy'!#REF!,MATCH($E$1,'Data yoy'!#REF!,),)</f>
        <v/>
      </c>
      <c r="S46" s="25">
        <f>VLOOKUP(B46,'Data yoy'!#REF!,MATCH($S$1,'Data yoy'!#REF!,),)</f>
        <v/>
      </c>
      <c r="T46" s="25">
        <f>VLOOKUP(B46,'Data yoy'!#REF!,MATCH($T$1,'Data yoy'!#REF!,),)</f>
        <v/>
      </c>
      <c r="U46" s="25">
        <f>VLOOKUP(B46,'Data yoy'!#REF!,MATCH($U$1,'Data yoy'!#REF!,),)</f>
        <v/>
      </c>
      <c r="V46" s="25">
        <f>VLOOKUP(B46,'Data yoy'!#REF!,MATCH($V$1,'Data yoy'!#REF!,),)</f>
        <v/>
      </c>
      <c r="W46" s="25">
        <f>VLOOKUP(B46,'Data yoy'!#REF!,MATCH($W$1,'Data yoy'!#REF!,),)</f>
        <v/>
      </c>
      <c r="X46" s="25">
        <f>VLOOKUP(B46,'Data yoy'!#REF!,MATCH($X$1,'Data yoy'!#REF!,),)</f>
        <v/>
      </c>
      <c r="Y46" s="25">
        <f>VLOOKUP(B46,'Data yoy'!#REF!,MATCH($Y$1,'Data yoy'!#REF!,),)</f>
        <v/>
      </c>
      <c r="Z46" s="25">
        <f>VLOOKUP(B46,'Data yoy'!#REF!,MATCH($Z$1,'Data yoy'!#REF!,),)</f>
        <v/>
      </c>
      <c r="AA46" s="25">
        <f>VLOOKUP(B46,'Data yoy'!#REF!,MATCH($AA$1,'Data yoy'!#REF!,),)</f>
        <v/>
      </c>
      <c r="AB46" s="74" t="n"/>
      <c r="AC46" s="26">
        <f>B46</f>
        <v/>
      </c>
      <c r="AD46" s="27">
        <f>(VLOOKUP(AC46,B:Y,MATCH($AE$6,$B$1:$Y$1,),))</f>
        <v/>
      </c>
      <c r="AE46" s="27">
        <f>(VLOOKUP(AC46,B:Y,MATCH($AE$7,$B$1:$Y$1,),))</f>
        <v/>
      </c>
      <c r="AF46" s="27">
        <f>AD46-AE46</f>
        <v/>
      </c>
    </row>
    <row r="47" hidden="1" s="68">
      <c r="B47" s="24" t="inlineStr">
        <is>
          <t>2009-Q1</t>
        </is>
      </c>
      <c r="C47" s="25">
        <f>VLOOKUP(B47,'Data yoy'!#REF!,MATCH($C$1,'Data yoy'!#REF!,),)</f>
        <v/>
      </c>
      <c r="D47" s="25">
        <f>VLOOKUP(B47,'Data yoy'!#REF!,MATCH($D$1,'Data yoy'!#REF!,),)</f>
        <v/>
      </c>
      <c r="E47" s="25">
        <f>VLOOKUP(B47,'Data yoy'!#REF!,MATCH($E$1,'Data yoy'!#REF!,),)</f>
        <v/>
      </c>
      <c r="F47" s="25">
        <f>VLOOKUP(B47,'Data yoy'!#REF!,MATCH($F$1,'Data yoy'!#REF!,),)</f>
        <v/>
      </c>
      <c r="G47" s="25">
        <f>VLOOKUP(B47,'Data yoy'!#REF!,MATCH($G$1,'Data yoy'!#REF!,),)</f>
        <v/>
      </c>
      <c r="H47" s="25">
        <f>VLOOKUP(B47,'Data yoy'!#REF!,MATCH($H$1,'Data yoy'!#REF!,),)</f>
        <v/>
      </c>
      <c r="I47" s="25">
        <f>VLOOKUP(B47,'Data yoy'!#REF!,MATCH($I$1,'Data yoy'!#REF!,),)</f>
        <v/>
      </c>
      <c r="J47" s="25">
        <f>VLOOKUP(B47,'Data yoy'!#REF!,MATCH($J$1,'Data yoy'!#REF!,),)</f>
        <v/>
      </c>
      <c r="K47" s="25">
        <f>VLOOKUP(B47,'Data yoy'!#REF!,MATCH($K$1,'Data yoy'!#REF!,),)</f>
        <v/>
      </c>
      <c r="L47" s="25">
        <f>VLOOKUP(B47,'Data yoy'!#REF!,MATCH($L$1,'Data yoy'!#REF!,),)</f>
        <v/>
      </c>
      <c r="M47" s="25">
        <f>VLOOKUP(B47,'Data yoy'!#REF!,MATCH($M$1,'Data yoy'!#REF!,),)</f>
        <v/>
      </c>
      <c r="N47" s="25">
        <f>VLOOKUP(B47,'Data yoy'!#REF!,MATCH($N$1,'Data yoy'!#REF!,),)</f>
        <v/>
      </c>
      <c r="O47" s="25">
        <f>VLOOKUP(B47,'Data yoy'!#REF!,MATCH($C$1,'Data yoy'!#REF!,),)</f>
        <v/>
      </c>
      <c r="P47" s="25">
        <f>VLOOKUP(B47,'Data yoy'!#REF!,MATCH($P$1,'Data yoy'!#REF!,),)</f>
        <v/>
      </c>
      <c r="Q47" s="25">
        <f>VLOOKUP(B47,'Data yoy'!#REF!,MATCH($Q$1,'Data yoy'!#REF!,),)</f>
        <v/>
      </c>
      <c r="R47" s="25">
        <f>VLOOKUP(B47,'Data yoy'!#REF!,MATCH($E$1,'Data yoy'!#REF!,),)</f>
        <v/>
      </c>
      <c r="S47" s="25">
        <f>VLOOKUP(B47,'Data yoy'!#REF!,MATCH($S$1,'Data yoy'!#REF!,),)</f>
        <v/>
      </c>
      <c r="T47" s="25">
        <f>VLOOKUP(B47,'Data yoy'!#REF!,MATCH($T$1,'Data yoy'!#REF!,),)</f>
        <v/>
      </c>
      <c r="U47" s="25">
        <f>VLOOKUP(B47,'Data yoy'!#REF!,MATCH($U$1,'Data yoy'!#REF!,),)</f>
        <v/>
      </c>
      <c r="V47" s="25">
        <f>VLOOKUP(B47,'Data yoy'!#REF!,MATCH($V$1,'Data yoy'!#REF!,),)</f>
        <v/>
      </c>
      <c r="W47" s="25">
        <f>VLOOKUP(B47,'Data yoy'!#REF!,MATCH($W$1,'Data yoy'!#REF!,),)</f>
        <v/>
      </c>
      <c r="X47" s="25">
        <f>VLOOKUP(B47,'Data yoy'!#REF!,MATCH($X$1,'Data yoy'!#REF!,),)</f>
        <v/>
      </c>
      <c r="Y47" s="25">
        <f>VLOOKUP(B47,'Data yoy'!#REF!,MATCH($Y$1,'Data yoy'!#REF!,),)</f>
        <v/>
      </c>
      <c r="Z47" s="25">
        <f>VLOOKUP(B47,'Data yoy'!#REF!,MATCH($Z$1,'Data yoy'!#REF!,),)</f>
        <v/>
      </c>
      <c r="AA47" s="25">
        <f>VLOOKUP(B47,'Data yoy'!#REF!,MATCH($AA$1,'Data yoy'!#REF!,),)</f>
        <v/>
      </c>
      <c r="AB47" s="74" t="n"/>
      <c r="AC47" s="26">
        <f>B47</f>
        <v/>
      </c>
      <c r="AD47" s="27">
        <f>(VLOOKUP(AC47,B:Y,MATCH($AE$6,$B$1:$Y$1,),))</f>
        <v/>
      </c>
      <c r="AE47" s="27">
        <f>(VLOOKUP(AC47,B:Y,MATCH($AE$7,$B$1:$Y$1,),))</f>
        <v/>
      </c>
      <c r="AF47" s="27">
        <f>AD47-AE47</f>
        <v/>
      </c>
    </row>
    <row r="48" hidden="1" s="68">
      <c r="B48" s="24" t="inlineStr">
        <is>
          <t>2009-Q2</t>
        </is>
      </c>
      <c r="C48" s="25">
        <f>VLOOKUP(B48,'Data yoy'!#REF!,MATCH($C$1,'Data yoy'!#REF!,),)</f>
        <v/>
      </c>
      <c r="D48" s="25">
        <f>VLOOKUP(B48,'Data yoy'!#REF!,MATCH($D$1,'Data yoy'!#REF!,),)</f>
        <v/>
      </c>
      <c r="E48" s="25">
        <f>VLOOKUP(B48,'Data yoy'!#REF!,MATCH($E$1,'Data yoy'!#REF!,),)</f>
        <v/>
      </c>
      <c r="F48" s="25">
        <f>VLOOKUP(B48,'Data yoy'!#REF!,MATCH($F$1,'Data yoy'!#REF!,),)</f>
        <v/>
      </c>
      <c r="G48" s="25">
        <f>VLOOKUP(B48,'Data yoy'!#REF!,MATCH($G$1,'Data yoy'!#REF!,),)</f>
        <v/>
      </c>
      <c r="H48" s="25">
        <f>VLOOKUP(B48,'Data yoy'!#REF!,MATCH($H$1,'Data yoy'!#REF!,),)</f>
        <v/>
      </c>
      <c r="I48" s="25">
        <f>VLOOKUP(B48,'Data yoy'!#REF!,MATCH($I$1,'Data yoy'!#REF!,),)</f>
        <v/>
      </c>
      <c r="J48" s="25">
        <f>VLOOKUP(B48,'Data yoy'!#REF!,MATCH($J$1,'Data yoy'!#REF!,),)</f>
        <v/>
      </c>
      <c r="K48" s="25">
        <f>VLOOKUP(B48,'Data yoy'!#REF!,MATCH($K$1,'Data yoy'!#REF!,),)</f>
        <v/>
      </c>
      <c r="L48" s="25">
        <f>VLOOKUP(B48,'Data yoy'!#REF!,MATCH($L$1,'Data yoy'!#REF!,),)</f>
        <v/>
      </c>
      <c r="M48" s="25">
        <f>VLOOKUP(B48,'Data yoy'!#REF!,MATCH($M$1,'Data yoy'!#REF!,),)</f>
        <v/>
      </c>
      <c r="N48" s="25">
        <f>VLOOKUP(B48,'Data yoy'!#REF!,MATCH($N$1,'Data yoy'!#REF!,),)</f>
        <v/>
      </c>
      <c r="O48" s="25">
        <f>VLOOKUP(B48,'Data yoy'!#REF!,MATCH($C$1,'Data yoy'!#REF!,),)</f>
        <v/>
      </c>
      <c r="P48" s="25">
        <f>VLOOKUP(B48,'Data yoy'!#REF!,MATCH($P$1,'Data yoy'!#REF!,),)</f>
        <v/>
      </c>
      <c r="Q48" s="25">
        <f>VLOOKUP(B48,'Data yoy'!#REF!,MATCH($Q$1,'Data yoy'!#REF!,),)</f>
        <v/>
      </c>
      <c r="R48" s="25">
        <f>VLOOKUP(B48,'Data yoy'!#REF!,MATCH($E$1,'Data yoy'!#REF!,),)</f>
        <v/>
      </c>
      <c r="S48" s="25">
        <f>VLOOKUP(B48,'Data yoy'!#REF!,MATCH($S$1,'Data yoy'!#REF!,),)</f>
        <v/>
      </c>
      <c r="T48" s="25">
        <f>VLOOKUP(B48,'Data yoy'!#REF!,MATCH($T$1,'Data yoy'!#REF!,),)</f>
        <v/>
      </c>
      <c r="U48" s="25">
        <f>VLOOKUP(B48,'Data yoy'!#REF!,MATCH($U$1,'Data yoy'!#REF!,),)</f>
        <v/>
      </c>
      <c r="V48" s="25">
        <f>VLOOKUP(B48,'Data yoy'!#REF!,MATCH($V$1,'Data yoy'!#REF!,),)</f>
        <v/>
      </c>
      <c r="W48" s="25">
        <f>VLOOKUP(B48,'Data yoy'!#REF!,MATCH($W$1,'Data yoy'!#REF!,),)</f>
        <v/>
      </c>
      <c r="X48" s="25">
        <f>VLOOKUP(B48,'Data yoy'!#REF!,MATCH($X$1,'Data yoy'!#REF!,),)</f>
        <v/>
      </c>
      <c r="Y48" s="25">
        <f>VLOOKUP(B48,'Data yoy'!#REF!,MATCH($Y$1,'Data yoy'!#REF!,),)</f>
        <v/>
      </c>
      <c r="Z48" s="25">
        <f>VLOOKUP(B48,'Data yoy'!#REF!,MATCH($Z$1,'Data yoy'!#REF!,),)</f>
        <v/>
      </c>
      <c r="AA48" s="25">
        <f>VLOOKUP(B48,'Data yoy'!#REF!,MATCH($AA$1,'Data yoy'!#REF!,),)</f>
        <v/>
      </c>
      <c r="AB48" s="74" t="n"/>
      <c r="AC48" s="26">
        <f>B48</f>
        <v/>
      </c>
      <c r="AD48" s="27">
        <f>(VLOOKUP(AC48,B:Y,MATCH($AE$6,$B$1:$Y$1,),))</f>
        <v/>
      </c>
      <c r="AE48" s="27">
        <f>(VLOOKUP(AC48,B:Y,MATCH($AE$7,$B$1:$Y$1,),))</f>
        <v/>
      </c>
      <c r="AF48" s="27">
        <f>AD48-AE48</f>
        <v/>
      </c>
    </row>
    <row r="49" hidden="1" s="68">
      <c r="B49" s="24" t="inlineStr">
        <is>
          <t>2009-Q3</t>
        </is>
      </c>
      <c r="C49" s="25">
        <f>VLOOKUP(B49,'Data yoy'!#REF!,MATCH($C$1,'Data yoy'!#REF!,),)</f>
        <v/>
      </c>
      <c r="D49" s="25">
        <f>VLOOKUP(B49,'Data yoy'!#REF!,MATCH($D$1,'Data yoy'!#REF!,),)</f>
        <v/>
      </c>
      <c r="E49" s="25">
        <f>VLOOKUP(B49,'Data yoy'!#REF!,MATCH($E$1,'Data yoy'!#REF!,),)</f>
        <v/>
      </c>
      <c r="F49" s="25">
        <f>VLOOKUP(B49,'Data yoy'!#REF!,MATCH($F$1,'Data yoy'!#REF!,),)</f>
        <v/>
      </c>
      <c r="G49" s="25">
        <f>VLOOKUP(B49,'Data yoy'!#REF!,MATCH($G$1,'Data yoy'!#REF!,),)</f>
        <v/>
      </c>
      <c r="H49" s="25">
        <f>VLOOKUP(B49,'Data yoy'!#REF!,MATCH($H$1,'Data yoy'!#REF!,),)</f>
        <v/>
      </c>
      <c r="I49" s="25">
        <f>VLOOKUP(B49,'Data yoy'!#REF!,MATCH($I$1,'Data yoy'!#REF!,),)</f>
        <v/>
      </c>
      <c r="J49" s="25">
        <f>VLOOKUP(B49,'Data yoy'!#REF!,MATCH($J$1,'Data yoy'!#REF!,),)</f>
        <v/>
      </c>
      <c r="K49" s="25">
        <f>VLOOKUP(B49,'Data yoy'!#REF!,MATCH($K$1,'Data yoy'!#REF!,),)</f>
        <v/>
      </c>
      <c r="L49" s="25">
        <f>VLOOKUP(B49,'Data yoy'!#REF!,MATCH($L$1,'Data yoy'!#REF!,),)</f>
        <v/>
      </c>
      <c r="M49" s="25">
        <f>VLOOKUP(B49,'Data yoy'!#REF!,MATCH($M$1,'Data yoy'!#REF!,),)</f>
        <v/>
      </c>
      <c r="N49" s="25">
        <f>VLOOKUP(B49,'Data yoy'!#REF!,MATCH($N$1,'Data yoy'!#REF!,),)</f>
        <v/>
      </c>
      <c r="O49" s="25">
        <f>VLOOKUP(B49,'Data yoy'!#REF!,MATCH($C$1,'Data yoy'!#REF!,),)</f>
        <v/>
      </c>
      <c r="P49" s="25">
        <f>VLOOKUP(B49,'Data yoy'!#REF!,MATCH($P$1,'Data yoy'!#REF!,),)</f>
        <v/>
      </c>
      <c r="Q49" s="25">
        <f>VLOOKUP(B49,'Data yoy'!#REF!,MATCH($Q$1,'Data yoy'!#REF!,),)</f>
        <v/>
      </c>
      <c r="R49" s="25">
        <f>VLOOKUP(B49,'Data yoy'!#REF!,MATCH($E$1,'Data yoy'!#REF!,),)</f>
        <v/>
      </c>
      <c r="S49" s="25">
        <f>VLOOKUP(B49,'Data yoy'!#REF!,MATCH($S$1,'Data yoy'!#REF!,),)</f>
        <v/>
      </c>
      <c r="T49" s="25">
        <f>VLOOKUP(B49,'Data yoy'!#REF!,MATCH($T$1,'Data yoy'!#REF!,),)</f>
        <v/>
      </c>
      <c r="U49" s="25">
        <f>VLOOKUP(B49,'Data yoy'!#REF!,MATCH($U$1,'Data yoy'!#REF!,),)</f>
        <v/>
      </c>
      <c r="V49" s="25">
        <f>VLOOKUP(B49,'Data yoy'!#REF!,MATCH($V$1,'Data yoy'!#REF!,),)</f>
        <v/>
      </c>
      <c r="W49" s="25">
        <f>VLOOKUP(B49,'Data yoy'!#REF!,MATCH($W$1,'Data yoy'!#REF!,),)</f>
        <v/>
      </c>
      <c r="X49" s="25">
        <f>VLOOKUP(B49,'Data yoy'!#REF!,MATCH($X$1,'Data yoy'!#REF!,),)</f>
        <v/>
      </c>
      <c r="Y49" s="25">
        <f>VLOOKUP(B49,'Data yoy'!#REF!,MATCH($Y$1,'Data yoy'!#REF!,),)</f>
        <v/>
      </c>
      <c r="Z49" s="25">
        <f>VLOOKUP(B49,'Data yoy'!#REF!,MATCH($Z$1,'Data yoy'!#REF!,),)</f>
        <v/>
      </c>
      <c r="AA49" s="25">
        <f>VLOOKUP(B49,'Data yoy'!#REF!,MATCH($AA$1,'Data yoy'!#REF!,),)</f>
        <v/>
      </c>
      <c r="AB49" s="74" t="n"/>
      <c r="AC49" s="26">
        <f>B49</f>
        <v/>
      </c>
      <c r="AD49" s="27">
        <f>(VLOOKUP(AC49,B:Y,MATCH($AE$6,$B$1:$Y$1,),))</f>
        <v/>
      </c>
      <c r="AE49" s="27">
        <f>(VLOOKUP(AC49,B:Y,MATCH($AE$7,$B$1:$Y$1,),))</f>
        <v/>
      </c>
      <c r="AF49" s="27">
        <f>AD49-AE49</f>
        <v/>
      </c>
    </row>
    <row r="50" hidden="1" s="68">
      <c r="B50" s="24" t="inlineStr">
        <is>
          <t>2009-Q4</t>
        </is>
      </c>
      <c r="C50" s="25">
        <f>VLOOKUP(B50,'Data yoy'!#REF!,MATCH($C$1,'Data yoy'!#REF!,),)</f>
        <v/>
      </c>
      <c r="D50" s="25">
        <f>VLOOKUP(B50,'Data yoy'!#REF!,MATCH($D$1,'Data yoy'!#REF!,),)</f>
        <v/>
      </c>
      <c r="E50" s="25">
        <f>VLOOKUP(B50,'Data yoy'!#REF!,MATCH($E$1,'Data yoy'!#REF!,),)</f>
        <v/>
      </c>
      <c r="F50" s="25">
        <f>VLOOKUP(B50,'Data yoy'!#REF!,MATCH($F$1,'Data yoy'!#REF!,),)</f>
        <v/>
      </c>
      <c r="G50" s="25">
        <f>VLOOKUP(B50,'Data yoy'!#REF!,MATCH($G$1,'Data yoy'!#REF!,),)</f>
        <v/>
      </c>
      <c r="H50" s="25">
        <f>VLOOKUP(B50,'Data yoy'!#REF!,MATCH($H$1,'Data yoy'!#REF!,),)</f>
        <v/>
      </c>
      <c r="I50" s="25">
        <f>VLOOKUP(B50,'Data yoy'!#REF!,MATCH($I$1,'Data yoy'!#REF!,),)</f>
        <v/>
      </c>
      <c r="J50" s="25">
        <f>VLOOKUP(B50,'Data yoy'!#REF!,MATCH($J$1,'Data yoy'!#REF!,),)</f>
        <v/>
      </c>
      <c r="K50" s="25">
        <f>VLOOKUP(B50,'Data yoy'!#REF!,MATCH($K$1,'Data yoy'!#REF!,),)</f>
        <v/>
      </c>
      <c r="L50" s="25">
        <f>VLOOKUP(B50,'Data yoy'!#REF!,MATCH($L$1,'Data yoy'!#REF!,),)</f>
        <v/>
      </c>
      <c r="M50" s="25">
        <f>VLOOKUP(B50,'Data yoy'!#REF!,MATCH($M$1,'Data yoy'!#REF!,),)</f>
        <v/>
      </c>
      <c r="N50" s="25">
        <f>VLOOKUP(B50,'Data yoy'!#REF!,MATCH($N$1,'Data yoy'!#REF!,),)</f>
        <v/>
      </c>
      <c r="O50" s="25">
        <f>VLOOKUP(B50,'Data yoy'!#REF!,MATCH($C$1,'Data yoy'!#REF!,),)</f>
        <v/>
      </c>
      <c r="P50" s="25">
        <f>VLOOKUP(B50,'Data yoy'!#REF!,MATCH($P$1,'Data yoy'!#REF!,),)</f>
        <v/>
      </c>
      <c r="Q50" s="25">
        <f>VLOOKUP(B50,'Data yoy'!#REF!,MATCH($Q$1,'Data yoy'!#REF!,),)</f>
        <v/>
      </c>
      <c r="R50" s="25">
        <f>VLOOKUP(B50,'Data yoy'!#REF!,MATCH($E$1,'Data yoy'!#REF!,),)</f>
        <v/>
      </c>
      <c r="S50" s="25">
        <f>VLOOKUP(B50,'Data yoy'!#REF!,MATCH($S$1,'Data yoy'!#REF!,),)</f>
        <v/>
      </c>
      <c r="T50" s="25">
        <f>VLOOKUP(B50,'Data yoy'!#REF!,MATCH($T$1,'Data yoy'!#REF!,),)</f>
        <v/>
      </c>
      <c r="U50" s="25">
        <f>VLOOKUP(B50,'Data yoy'!#REF!,MATCH($U$1,'Data yoy'!#REF!,),)</f>
        <v/>
      </c>
      <c r="V50" s="25">
        <f>VLOOKUP(B50,'Data yoy'!#REF!,MATCH($V$1,'Data yoy'!#REF!,),)</f>
        <v/>
      </c>
      <c r="W50" s="25">
        <f>VLOOKUP(B50,'Data yoy'!#REF!,MATCH($W$1,'Data yoy'!#REF!,),)</f>
        <v/>
      </c>
      <c r="X50" s="25">
        <f>VLOOKUP(B50,'Data yoy'!#REF!,MATCH($X$1,'Data yoy'!#REF!,),)</f>
        <v/>
      </c>
      <c r="Y50" s="25">
        <f>VLOOKUP(B50,'Data yoy'!#REF!,MATCH($Y$1,'Data yoy'!#REF!,),)</f>
        <v/>
      </c>
      <c r="Z50" s="25">
        <f>VLOOKUP(B50,'Data yoy'!#REF!,MATCH($Z$1,'Data yoy'!#REF!,),)</f>
        <v/>
      </c>
      <c r="AA50" s="25">
        <f>VLOOKUP(B50,'Data yoy'!#REF!,MATCH($AA$1,'Data yoy'!#REF!,),)</f>
        <v/>
      </c>
      <c r="AB50" s="74" t="n"/>
      <c r="AC50" s="26">
        <f>B50</f>
        <v/>
      </c>
      <c r="AD50" s="27">
        <f>(VLOOKUP(AC50,B:Y,MATCH($AE$6,$B$1:$Y$1,),))</f>
        <v/>
      </c>
      <c r="AE50" s="27">
        <f>(VLOOKUP(AC50,B:Y,MATCH($AE$7,$B$1:$Y$1,),))</f>
        <v/>
      </c>
      <c r="AF50" s="27">
        <f>AD50-AE50</f>
        <v/>
      </c>
    </row>
    <row r="51" hidden="1" s="68">
      <c r="B51" s="24" t="inlineStr">
        <is>
          <t>2010-Q1</t>
        </is>
      </c>
      <c r="C51" s="25">
        <f>VLOOKUP(B51,'Data yoy'!#REF!,MATCH($C$1,'Data yoy'!#REF!,),)</f>
        <v/>
      </c>
      <c r="D51" s="25">
        <f>VLOOKUP(B51,'Data yoy'!#REF!,MATCH($D$1,'Data yoy'!#REF!,),)</f>
        <v/>
      </c>
      <c r="E51" s="25">
        <f>VLOOKUP(B51,'Data yoy'!#REF!,MATCH($E$1,'Data yoy'!#REF!,),)</f>
        <v/>
      </c>
      <c r="F51" s="25">
        <f>VLOOKUP(B51,'Data yoy'!#REF!,MATCH($F$1,'Data yoy'!#REF!,),)</f>
        <v/>
      </c>
      <c r="G51" s="25">
        <f>VLOOKUP(B51,'Data yoy'!#REF!,MATCH($G$1,'Data yoy'!#REF!,),)</f>
        <v/>
      </c>
      <c r="H51" s="25">
        <f>VLOOKUP(B51,'Data yoy'!#REF!,MATCH($H$1,'Data yoy'!#REF!,),)</f>
        <v/>
      </c>
      <c r="I51" s="25">
        <f>VLOOKUP(B51,'Data yoy'!#REF!,MATCH($I$1,'Data yoy'!#REF!,),)</f>
        <v/>
      </c>
      <c r="J51" s="25">
        <f>VLOOKUP(B51,'Data yoy'!#REF!,MATCH($J$1,'Data yoy'!#REF!,),)</f>
        <v/>
      </c>
      <c r="K51" s="25">
        <f>VLOOKUP(B51,'Data yoy'!#REF!,MATCH($K$1,'Data yoy'!#REF!,),)</f>
        <v/>
      </c>
      <c r="L51" s="25">
        <f>VLOOKUP(B51,'Data yoy'!#REF!,MATCH($L$1,'Data yoy'!#REF!,),)</f>
        <v/>
      </c>
      <c r="M51" s="25">
        <f>VLOOKUP(B51,'Data yoy'!#REF!,MATCH($M$1,'Data yoy'!#REF!,),)</f>
        <v/>
      </c>
      <c r="N51" s="25">
        <f>VLOOKUP(B51,'Data yoy'!#REF!,MATCH($N$1,'Data yoy'!#REF!,),)</f>
        <v/>
      </c>
      <c r="O51" s="25">
        <f>VLOOKUP(B51,'Data yoy'!#REF!,MATCH($C$1,'Data yoy'!#REF!,),)</f>
        <v/>
      </c>
      <c r="P51" s="25">
        <f>VLOOKUP(B51,'Data yoy'!#REF!,MATCH($P$1,'Data yoy'!#REF!,),)</f>
        <v/>
      </c>
      <c r="Q51" s="25">
        <f>VLOOKUP(B51,'Data yoy'!#REF!,MATCH($Q$1,'Data yoy'!#REF!,),)</f>
        <v/>
      </c>
      <c r="R51" s="25">
        <f>VLOOKUP(B51,'Data yoy'!#REF!,MATCH($E$1,'Data yoy'!#REF!,),)</f>
        <v/>
      </c>
      <c r="S51" s="25">
        <f>VLOOKUP(B51,'Data yoy'!#REF!,MATCH($S$1,'Data yoy'!#REF!,),)</f>
        <v/>
      </c>
      <c r="T51" s="25">
        <f>VLOOKUP(B51,'Data yoy'!#REF!,MATCH($T$1,'Data yoy'!#REF!,),)</f>
        <v/>
      </c>
      <c r="U51" s="25">
        <f>VLOOKUP(B51,'Data yoy'!#REF!,MATCH($U$1,'Data yoy'!#REF!,),)</f>
        <v/>
      </c>
      <c r="V51" s="25">
        <f>VLOOKUP(B51,'Data yoy'!#REF!,MATCH($V$1,'Data yoy'!#REF!,),)</f>
        <v/>
      </c>
      <c r="W51" s="25">
        <f>VLOOKUP(B51,'Data yoy'!#REF!,MATCH($W$1,'Data yoy'!#REF!,),)</f>
        <v/>
      </c>
      <c r="X51" s="25">
        <f>VLOOKUP(B51,'Data yoy'!#REF!,MATCH($X$1,'Data yoy'!#REF!,),)</f>
        <v/>
      </c>
      <c r="Y51" s="25">
        <f>VLOOKUP(B51,'Data yoy'!#REF!,MATCH($Y$1,'Data yoy'!#REF!,),)</f>
        <v/>
      </c>
      <c r="Z51" s="25">
        <f>VLOOKUP(B51,'Data yoy'!#REF!,MATCH($Z$1,'Data yoy'!#REF!,),)</f>
        <v/>
      </c>
      <c r="AA51" s="25">
        <f>VLOOKUP(B51,'Data yoy'!#REF!,MATCH($AA$1,'Data yoy'!#REF!,),)</f>
        <v/>
      </c>
      <c r="AB51" s="74" t="n"/>
      <c r="AC51" s="26">
        <f>B51</f>
        <v/>
      </c>
      <c r="AD51" s="27">
        <f>(VLOOKUP(AC51,B:Y,MATCH($AE$6,$B$1:$Y$1,),))</f>
        <v/>
      </c>
      <c r="AE51" s="27">
        <f>(VLOOKUP(AC51,B:Y,MATCH($AE$7,$B$1:$Y$1,),))</f>
        <v/>
      </c>
      <c r="AF51" s="27">
        <f>AD51-AE51</f>
        <v/>
      </c>
    </row>
    <row r="52" hidden="1" s="68">
      <c r="B52" s="24" t="inlineStr">
        <is>
          <t>2010-Q2</t>
        </is>
      </c>
      <c r="C52" s="25">
        <f>VLOOKUP(B52,'Data yoy'!#REF!,MATCH($C$1,'Data yoy'!#REF!,),)</f>
        <v/>
      </c>
      <c r="D52" s="25">
        <f>VLOOKUP(B52,'Data yoy'!#REF!,MATCH($D$1,'Data yoy'!#REF!,),)</f>
        <v/>
      </c>
      <c r="E52" s="25">
        <f>VLOOKUP(B52,'Data yoy'!#REF!,MATCH($E$1,'Data yoy'!#REF!,),)</f>
        <v/>
      </c>
      <c r="F52" s="25">
        <f>VLOOKUP(B52,'Data yoy'!#REF!,MATCH($F$1,'Data yoy'!#REF!,),)</f>
        <v/>
      </c>
      <c r="G52" s="25">
        <f>VLOOKUP(B52,'Data yoy'!#REF!,MATCH($G$1,'Data yoy'!#REF!,),)</f>
        <v/>
      </c>
      <c r="H52" s="25">
        <f>VLOOKUP(B52,'Data yoy'!#REF!,MATCH($H$1,'Data yoy'!#REF!,),)</f>
        <v/>
      </c>
      <c r="I52" s="25">
        <f>VLOOKUP(B52,'Data yoy'!#REF!,MATCH($I$1,'Data yoy'!#REF!,),)</f>
        <v/>
      </c>
      <c r="J52" s="25">
        <f>VLOOKUP(B52,'Data yoy'!#REF!,MATCH($J$1,'Data yoy'!#REF!,),)</f>
        <v/>
      </c>
      <c r="K52" s="25">
        <f>VLOOKUP(B52,'Data yoy'!#REF!,MATCH($K$1,'Data yoy'!#REF!,),)</f>
        <v/>
      </c>
      <c r="L52" s="25">
        <f>VLOOKUP(B52,'Data yoy'!#REF!,MATCH($L$1,'Data yoy'!#REF!,),)</f>
        <v/>
      </c>
      <c r="M52" s="25">
        <f>VLOOKUP(B52,'Data yoy'!#REF!,MATCH($M$1,'Data yoy'!#REF!,),)</f>
        <v/>
      </c>
      <c r="N52" s="25">
        <f>VLOOKUP(B52,'Data yoy'!#REF!,MATCH($N$1,'Data yoy'!#REF!,),)</f>
        <v/>
      </c>
      <c r="O52" s="25">
        <f>VLOOKUP(B52,'Data yoy'!#REF!,MATCH($C$1,'Data yoy'!#REF!,),)</f>
        <v/>
      </c>
      <c r="P52" s="25">
        <f>VLOOKUP(B52,'Data yoy'!#REF!,MATCH($P$1,'Data yoy'!#REF!,),)</f>
        <v/>
      </c>
      <c r="Q52" s="25">
        <f>VLOOKUP(B52,'Data yoy'!#REF!,MATCH($Q$1,'Data yoy'!#REF!,),)</f>
        <v/>
      </c>
      <c r="R52" s="25">
        <f>VLOOKUP(B52,'Data yoy'!#REF!,MATCH($E$1,'Data yoy'!#REF!,),)</f>
        <v/>
      </c>
      <c r="S52" s="25">
        <f>VLOOKUP(B52,'Data yoy'!#REF!,MATCH($S$1,'Data yoy'!#REF!,),)</f>
        <v/>
      </c>
      <c r="T52" s="25">
        <f>VLOOKUP(B52,'Data yoy'!#REF!,MATCH($T$1,'Data yoy'!#REF!,),)</f>
        <v/>
      </c>
      <c r="U52" s="25">
        <f>VLOOKUP(B52,'Data yoy'!#REF!,MATCH($U$1,'Data yoy'!#REF!,),)</f>
        <v/>
      </c>
      <c r="V52" s="25">
        <f>VLOOKUP(B52,'Data yoy'!#REF!,MATCH($V$1,'Data yoy'!#REF!,),)</f>
        <v/>
      </c>
      <c r="W52" s="25">
        <f>VLOOKUP(B52,'Data yoy'!#REF!,MATCH($W$1,'Data yoy'!#REF!,),)</f>
        <v/>
      </c>
      <c r="X52" s="25">
        <f>VLOOKUP(B52,'Data yoy'!#REF!,MATCH($X$1,'Data yoy'!#REF!,),)</f>
        <v/>
      </c>
      <c r="Y52" s="25">
        <f>VLOOKUP(B52,'Data yoy'!#REF!,MATCH($Y$1,'Data yoy'!#REF!,),)</f>
        <v/>
      </c>
      <c r="Z52" s="25">
        <f>VLOOKUP(B52,'Data yoy'!#REF!,MATCH($Z$1,'Data yoy'!#REF!,),)</f>
        <v/>
      </c>
      <c r="AA52" s="25">
        <f>VLOOKUP(B52,'Data yoy'!#REF!,MATCH($AA$1,'Data yoy'!#REF!,),)</f>
        <v/>
      </c>
      <c r="AB52" s="74" t="n"/>
      <c r="AC52" s="26">
        <f>B52</f>
        <v/>
      </c>
      <c r="AD52" s="27">
        <f>(VLOOKUP(AC52,B:Y,MATCH($AE$6,$B$1:$Y$1,),))</f>
        <v/>
      </c>
      <c r="AE52" s="27">
        <f>(VLOOKUP(AC52,B:Y,MATCH($AE$7,$B$1:$Y$1,),))</f>
        <v/>
      </c>
      <c r="AF52" s="27">
        <f>AD52-AE52</f>
        <v/>
      </c>
    </row>
    <row r="53" hidden="1" s="68">
      <c r="B53" s="24" t="inlineStr">
        <is>
          <t>2010-Q3</t>
        </is>
      </c>
      <c r="C53" s="25">
        <f>VLOOKUP(B53,'Data yoy'!#REF!,MATCH($C$1,'Data yoy'!#REF!,),)</f>
        <v/>
      </c>
      <c r="D53" s="25">
        <f>VLOOKUP(B53,'Data yoy'!#REF!,MATCH($D$1,'Data yoy'!#REF!,),)</f>
        <v/>
      </c>
      <c r="E53" s="25">
        <f>VLOOKUP(B53,'Data yoy'!#REF!,MATCH($E$1,'Data yoy'!#REF!,),)</f>
        <v/>
      </c>
      <c r="F53" s="25">
        <f>VLOOKUP(B53,'Data yoy'!#REF!,MATCH($F$1,'Data yoy'!#REF!,),)</f>
        <v/>
      </c>
      <c r="G53" s="25">
        <f>VLOOKUP(B53,'Data yoy'!#REF!,MATCH($G$1,'Data yoy'!#REF!,),)</f>
        <v/>
      </c>
      <c r="H53" s="25">
        <f>VLOOKUP(B53,'Data yoy'!#REF!,MATCH($H$1,'Data yoy'!#REF!,),)</f>
        <v/>
      </c>
      <c r="I53" s="25">
        <f>VLOOKUP(B53,'Data yoy'!#REF!,MATCH($I$1,'Data yoy'!#REF!,),)</f>
        <v/>
      </c>
      <c r="J53" s="25">
        <f>VLOOKUP(B53,'Data yoy'!#REF!,MATCH($J$1,'Data yoy'!#REF!,),)</f>
        <v/>
      </c>
      <c r="K53" s="25">
        <f>VLOOKUP(B53,'Data yoy'!#REF!,MATCH($K$1,'Data yoy'!#REF!,),)</f>
        <v/>
      </c>
      <c r="L53" s="25">
        <f>VLOOKUP(B53,'Data yoy'!#REF!,MATCH($L$1,'Data yoy'!#REF!,),)</f>
        <v/>
      </c>
      <c r="M53" s="25">
        <f>VLOOKUP(B53,'Data yoy'!#REF!,MATCH($M$1,'Data yoy'!#REF!,),)</f>
        <v/>
      </c>
      <c r="N53" s="25">
        <f>VLOOKUP(B53,'Data yoy'!#REF!,MATCH($N$1,'Data yoy'!#REF!,),)</f>
        <v/>
      </c>
      <c r="O53" s="25">
        <f>VLOOKUP(B53,'Data yoy'!#REF!,MATCH($C$1,'Data yoy'!#REF!,),)</f>
        <v/>
      </c>
      <c r="P53" s="25">
        <f>VLOOKUP(B53,'Data yoy'!#REF!,MATCH($P$1,'Data yoy'!#REF!,),)</f>
        <v/>
      </c>
      <c r="Q53" s="25">
        <f>VLOOKUP(B53,'Data yoy'!#REF!,MATCH($Q$1,'Data yoy'!#REF!,),)</f>
        <v/>
      </c>
      <c r="R53" s="25">
        <f>VLOOKUP(B53,'Data yoy'!#REF!,MATCH($E$1,'Data yoy'!#REF!,),)</f>
        <v/>
      </c>
      <c r="S53" s="25">
        <f>VLOOKUP(B53,'Data yoy'!#REF!,MATCH($S$1,'Data yoy'!#REF!,),)</f>
        <v/>
      </c>
      <c r="T53" s="25">
        <f>VLOOKUP(B53,'Data yoy'!#REF!,MATCH($T$1,'Data yoy'!#REF!,),)</f>
        <v/>
      </c>
      <c r="U53" s="25">
        <f>VLOOKUP(B53,'Data yoy'!#REF!,MATCH($U$1,'Data yoy'!#REF!,),)</f>
        <v/>
      </c>
      <c r="V53" s="25">
        <f>VLOOKUP(B53,'Data yoy'!#REF!,MATCH($V$1,'Data yoy'!#REF!,),)</f>
        <v/>
      </c>
      <c r="W53" s="25">
        <f>VLOOKUP(B53,'Data yoy'!#REF!,MATCH($W$1,'Data yoy'!#REF!,),)</f>
        <v/>
      </c>
      <c r="X53" s="25">
        <f>VLOOKUP(B53,'Data yoy'!#REF!,MATCH($X$1,'Data yoy'!#REF!,),)</f>
        <v/>
      </c>
      <c r="Y53" s="25">
        <f>VLOOKUP(B53,'Data yoy'!#REF!,MATCH($Y$1,'Data yoy'!#REF!,),)</f>
        <v/>
      </c>
      <c r="Z53" s="25">
        <f>VLOOKUP(B53,'Data yoy'!#REF!,MATCH($Z$1,'Data yoy'!#REF!,),)</f>
        <v/>
      </c>
      <c r="AA53" s="25">
        <f>VLOOKUP(B53,'Data yoy'!#REF!,MATCH($AA$1,'Data yoy'!#REF!,),)</f>
        <v/>
      </c>
      <c r="AB53" s="74" t="n"/>
      <c r="AC53" s="26">
        <f>B53</f>
        <v/>
      </c>
      <c r="AD53" s="27">
        <f>(VLOOKUP(AC53,B:Y,MATCH($AE$6,$B$1:$Y$1,),))</f>
        <v/>
      </c>
      <c r="AE53" s="27">
        <f>(VLOOKUP(AC53,B:Y,MATCH($AE$7,$B$1:$Y$1,),))</f>
        <v/>
      </c>
      <c r="AF53" s="27">
        <f>AD53-AE53</f>
        <v/>
      </c>
    </row>
    <row r="54" hidden="1" s="68">
      <c r="B54" s="24" t="inlineStr">
        <is>
          <t>2010-Q4</t>
        </is>
      </c>
      <c r="C54" s="25">
        <f>VLOOKUP(B54,'Data yoy'!#REF!,MATCH($C$1,'Data yoy'!#REF!,),)</f>
        <v/>
      </c>
      <c r="D54" s="25">
        <f>VLOOKUP(B54,'Data yoy'!#REF!,MATCH($D$1,'Data yoy'!#REF!,),)</f>
        <v/>
      </c>
      <c r="E54" s="25">
        <f>VLOOKUP(B54,'Data yoy'!#REF!,MATCH($E$1,'Data yoy'!#REF!,),)</f>
        <v/>
      </c>
      <c r="F54" s="25">
        <f>VLOOKUP(B54,'Data yoy'!#REF!,MATCH($F$1,'Data yoy'!#REF!,),)</f>
        <v/>
      </c>
      <c r="G54" s="25">
        <f>VLOOKUP(B54,'Data yoy'!#REF!,MATCH($G$1,'Data yoy'!#REF!,),)</f>
        <v/>
      </c>
      <c r="H54" s="25">
        <f>VLOOKUP(B54,'Data yoy'!#REF!,MATCH($H$1,'Data yoy'!#REF!,),)</f>
        <v/>
      </c>
      <c r="I54" s="25">
        <f>VLOOKUP(B54,'Data yoy'!#REF!,MATCH($I$1,'Data yoy'!#REF!,),)</f>
        <v/>
      </c>
      <c r="J54" s="25">
        <f>VLOOKUP(B54,'Data yoy'!#REF!,MATCH($J$1,'Data yoy'!#REF!,),)</f>
        <v/>
      </c>
      <c r="K54" s="25">
        <f>VLOOKUP(B54,'Data yoy'!#REF!,MATCH($K$1,'Data yoy'!#REF!,),)</f>
        <v/>
      </c>
      <c r="L54" s="25">
        <f>VLOOKUP(B54,'Data yoy'!#REF!,MATCH($L$1,'Data yoy'!#REF!,),)</f>
        <v/>
      </c>
      <c r="M54" s="25">
        <f>VLOOKUP(B54,'Data yoy'!#REF!,MATCH($M$1,'Data yoy'!#REF!,),)</f>
        <v/>
      </c>
      <c r="N54" s="25">
        <f>VLOOKUP(B54,'Data yoy'!#REF!,MATCH($N$1,'Data yoy'!#REF!,),)</f>
        <v/>
      </c>
      <c r="O54" s="25">
        <f>VLOOKUP(B54,'Data yoy'!#REF!,MATCH($C$1,'Data yoy'!#REF!,),)</f>
        <v/>
      </c>
      <c r="P54" s="25">
        <f>VLOOKUP(B54,'Data yoy'!#REF!,MATCH($P$1,'Data yoy'!#REF!,),)</f>
        <v/>
      </c>
      <c r="Q54" s="25">
        <f>VLOOKUP(B54,'Data yoy'!#REF!,MATCH($Q$1,'Data yoy'!#REF!,),)</f>
        <v/>
      </c>
      <c r="R54" s="25">
        <f>VLOOKUP(B54,'Data yoy'!#REF!,MATCH($E$1,'Data yoy'!#REF!,),)</f>
        <v/>
      </c>
      <c r="S54" s="25">
        <f>VLOOKUP(B54,'Data yoy'!#REF!,MATCH($S$1,'Data yoy'!#REF!,),)</f>
        <v/>
      </c>
      <c r="T54" s="25">
        <f>VLOOKUP(B54,'Data yoy'!#REF!,MATCH($T$1,'Data yoy'!#REF!,),)</f>
        <v/>
      </c>
      <c r="U54" s="25">
        <f>VLOOKUP(B54,'Data yoy'!#REF!,MATCH($U$1,'Data yoy'!#REF!,),)</f>
        <v/>
      </c>
      <c r="V54" s="25">
        <f>VLOOKUP(B54,'Data yoy'!#REF!,MATCH($V$1,'Data yoy'!#REF!,),)</f>
        <v/>
      </c>
      <c r="W54" s="25">
        <f>VLOOKUP(B54,'Data yoy'!#REF!,MATCH($W$1,'Data yoy'!#REF!,),)</f>
        <v/>
      </c>
      <c r="X54" s="25">
        <f>VLOOKUP(B54,'Data yoy'!#REF!,MATCH($X$1,'Data yoy'!#REF!,),)</f>
        <v/>
      </c>
      <c r="Y54" s="25">
        <f>VLOOKUP(B54,'Data yoy'!#REF!,MATCH($Y$1,'Data yoy'!#REF!,),)</f>
        <v/>
      </c>
      <c r="Z54" s="25">
        <f>VLOOKUP(B54,'Data yoy'!#REF!,MATCH($Z$1,'Data yoy'!#REF!,),)</f>
        <v/>
      </c>
      <c r="AA54" s="25">
        <f>VLOOKUP(B54,'Data yoy'!#REF!,MATCH($AA$1,'Data yoy'!#REF!,),)</f>
        <v/>
      </c>
      <c r="AB54" s="74" t="n"/>
      <c r="AC54" s="26">
        <f>B54</f>
        <v/>
      </c>
      <c r="AD54" s="27">
        <f>(VLOOKUP(AC54,B:Y,MATCH($AE$6,$B$1:$Y$1,),))</f>
        <v/>
      </c>
      <c r="AE54" s="27">
        <f>(VLOOKUP(AC54,B:Y,MATCH($AE$7,$B$1:$Y$1,),))</f>
        <v/>
      </c>
      <c r="AF54" s="27">
        <f>AD54-AE54</f>
        <v/>
      </c>
    </row>
    <row r="55" hidden="1" s="68">
      <c r="B55" s="24" t="inlineStr">
        <is>
          <t>2011-Q1</t>
        </is>
      </c>
      <c r="C55" s="25">
        <f>VLOOKUP(B55,'Data yoy'!#REF!,MATCH($C$1,'Data yoy'!#REF!,),)</f>
        <v/>
      </c>
      <c r="D55" s="25">
        <f>VLOOKUP(B55,'Data yoy'!#REF!,MATCH($D$1,'Data yoy'!#REF!,),)</f>
        <v/>
      </c>
      <c r="E55" s="25">
        <f>VLOOKUP(B55,'Data yoy'!#REF!,MATCH($E$1,'Data yoy'!#REF!,),)</f>
        <v/>
      </c>
      <c r="F55" s="25">
        <f>VLOOKUP(B55,'Data yoy'!#REF!,MATCH($F$1,'Data yoy'!#REF!,),)</f>
        <v/>
      </c>
      <c r="G55" s="25">
        <f>VLOOKUP(B55,'Data yoy'!#REF!,MATCH($G$1,'Data yoy'!#REF!,),)</f>
        <v/>
      </c>
      <c r="H55" s="25">
        <f>VLOOKUP(B55,'Data yoy'!#REF!,MATCH($H$1,'Data yoy'!#REF!,),)</f>
        <v/>
      </c>
      <c r="I55" s="25">
        <f>VLOOKUP(B55,'Data yoy'!#REF!,MATCH($I$1,'Data yoy'!#REF!,),)</f>
        <v/>
      </c>
      <c r="J55" s="25">
        <f>VLOOKUP(B55,'Data yoy'!#REF!,MATCH($J$1,'Data yoy'!#REF!,),)</f>
        <v/>
      </c>
      <c r="K55" s="25">
        <f>VLOOKUP(B55,'Data yoy'!#REF!,MATCH($K$1,'Data yoy'!#REF!,),)</f>
        <v/>
      </c>
      <c r="L55" s="25">
        <f>VLOOKUP(B55,'Data yoy'!#REF!,MATCH($L$1,'Data yoy'!#REF!,),)</f>
        <v/>
      </c>
      <c r="M55" s="25">
        <f>VLOOKUP(B55,'Data yoy'!#REF!,MATCH($M$1,'Data yoy'!#REF!,),)</f>
        <v/>
      </c>
      <c r="N55" s="25">
        <f>VLOOKUP(B55,'Data yoy'!#REF!,MATCH($N$1,'Data yoy'!#REF!,),)</f>
        <v/>
      </c>
      <c r="O55" s="25">
        <f>VLOOKUP(B55,'Data yoy'!#REF!,MATCH($C$1,'Data yoy'!#REF!,),)</f>
        <v/>
      </c>
      <c r="P55" s="25">
        <f>VLOOKUP(B55,'Data yoy'!#REF!,MATCH($P$1,'Data yoy'!#REF!,),)</f>
        <v/>
      </c>
      <c r="Q55" s="25">
        <f>VLOOKUP(B55,'Data yoy'!#REF!,MATCH($Q$1,'Data yoy'!#REF!,),)</f>
        <v/>
      </c>
      <c r="R55" s="25">
        <f>VLOOKUP(B55,'Data yoy'!#REF!,MATCH($E$1,'Data yoy'!#REF!,),)</f>
        <v/>
      </c>
      <c r="S55" s="25">
        <f>VLOOKUP(B55,'Data yoy'!#REF!,MATCH($S$1,'Data yoy'!#REF!,),)</f>
        <v/>
      </c>
      <c r="T55" s="25">
        <f>VLOOKUP(B55,'Data yoy'!#REF!,MATCH($T$1,'Data yoy'!#REF!,),)</f>
        <v/>
      </c>
      <c r="U55" s="25">
        <f>VLOOKUP(B55,'Data yoy'!#REF!,MATCH($U$1,'Data yoy'!#REF!,),)</f>
        <v/>
      </c>
      <c r="V55" s="25">
        <f>VLOOKUP(B55,'Data yoy'!#REF!,MATCH($V$1,'Data yoy'!#REF!,),)</f>
        <v/>
      </c>
      <c r="W55" s="25">
        <f>VLOOKUP(B55,'Data yoy'!#REF!,MATCH($W$1,'Data yoy'!#REF!,),)</f>
        <v/>
      </c>
      <c r="X55" s="25">
        <f>VLOOKUP(B55,'Data yoy'!#REF!,MATCH($X$1,'Data yoy'!#REF!,),)</f>
        <v/>
      </c>
      <c r="Y55" s="25">
        <f>VLOOKUP(B55,'Data yoy'!#REF!,MATCH($Y$1,'Data yoy'!#REF!,),)</f>
        <v/>
      </c>
      <c r="Z55" s="25">
        <f>VLOOKUP(B55,'Data yoy'!#REF!,MATCH($Z$1,'Data yoy'!#REF!,),)</f>
        <v/>
      </c>
      <c r="AA55" s="25">
        <f>VLOOKUP(B55,'Data yoy'!#REF!,MATCH($AA$1,'Data yoy'!#REF!,),)</f>
        <v/>
      </c>
      <c r="AB55" s="74" t="n"/>
      <c r="AC55" s="26">
        <f>B55</f>
        <v/>
      </c>
      <c r="AD55" s="27">
        <f>(VLOOKUP(AC55,B:Y,MATCH($AE$6,$B$1:$Y$1,),))</f>
        <v/>
      </c>
      <c r="AE55" s="27">
        <f>(VLOOKUP(AC55,B:Y,MATCH($AE$7,$B$1:$Y$1,),))</f>
        <v/>
      </c>
      <c r="AF55" s="27">
        <f>AD55-AE55</f>
        <v/>
      </c>
    </row>
    <row r="56" hidden="1" s="68">
      <c r="B56" s="24" t="inlineStr">
        <is>
          <t>2011-Q2</t>
        </is>
      </c>
      <c r="C56" s="25">
        <f>VLOOKUP(B56,'Data yoy'!#REF!,MATCH($C$1,'Data yoy'!#REF!,),)</f>
        <v/>
      </c>
      <c r="D56" s="25">
        <f>VLOOKUP(B56,'Data yoy'!#REF!,MATCH($D$1,'Data yoy'!#REF!,),)</f>
        <v/>
      </c>
      <c r="E56" s="25">
        <f>VLOOKUP(B56,'Data yoy'!#REF!,MATCH($E$1,'Data yoy'!#REF!,),)</f>
        <v/>
      </c>
      <c r="F56" s="25">
        <f>VLOOKUP(B56,'Data yoy'!#REF!,MATCH($F$1,'Data yoy'!#REF!,),)</f>
        <v/>
      </c>
      <c r="G56" s="25">
        <f>VLOOKUP(B56,'Data yoy'!#REF!,MATCH($G$1,'Data yoy'!#REF!,),)</f>
        <v/>
      </c>
      <c r="H56" s="25">
        <f>VLOOKUP(B56,'Data yoy'!#REF!,MATCH($H$1,'Data yoy'!#REF!,),)</f>
        <v/>
      </c>
      <c r="I56" s="25">
        <f>VLOOKUP(B56,'Data yoy'!#REF!,MATCH($I$1,'Data yoy'!#REF!,),)</f>
        <v/>
      </c>
      <c r="J56" s="25">
        <f>VLOOKUP(B56,'Data yoy'!#REF!,MATCH($J$1,'Data yoy'!#REF!,),)</f>
        <v/>
      </c>
      <c r="K56" s="25">
        <f>VLOOKUP(B56,'Data yoy'!#REF!,MATCH($K$1,'Data yoy'!#REF!,),)</f>
        <v/>
      </c>
      <c r="L56" s="25">
        <f>VLOOKUP(B56,'Data yoy'!#REF!,MATCH($L$1,'Data yoy'!#REF!,),)</f>
        <v/>
      </c>
      <c r="M56" s="25">
        <f>VLOOKUP(B56,'Data yoy'!#REF!,MATCH($M$1,'Data yoy'!#REF!,),)</f>
        <v/>
      </c>
      <c r="N56" s="25">
        <f>VLOOKUP(B56,'Data yoy'!#REF!,MATCH($N$1,'Data yoy'!#REF!,),)</f>
        <v/>
      </c>
      <c r="O56" s="25">
        <f>VLOOKUP(B56,'Data yoy'!#REF!,MATCH($C$1,'Data yoy'!#REF!,),)</f>
        <v/>
      </c>
      <c r="P56" s="25">
        <f>VLOOKUP(B56,'Data yoy'!#REF!,MATCH($P$1,'Data yoy'!#REF!,),)</f>
        <v/>
      </c>
      <c r="Q56" s="25">
        <f>VLOOKUP(B56,'Data yoy'!#REF!,MATCH($Q$1,'Data yoy'!#REF!,),)</f>
        <v/>
      </c>
      <c r="R56" s="25">
        <f>VLOOKUP(B56,'Data yoy'!#REF!,MATCH($E$1,'Data yoy'!#REF!,),)</f>
        <v/>
      </c>
      <c r="S56" s="25">
        <f>VLOOKUP(B56,'Data yoy'!#REF!,MATCH($S$1,'Data yoy'!#REF!,),)</f>
        <v/>
      </c>
      <c r="T56" s="25">
        <f>VLOOKUP(B56,'Data yoy'!#REF!,MATCH($T$1,'Data yoy'!#REF!,),)</f>
        <v/>
      </c>
      <c r="U56" s="25">
        <f>VLOOKUP(B56,'Data yoy'!#REF!,MATCH($U$1,'Data yoy'!#REF!,),)</f>
        <v/>
      </c>
      <c r="V56" s="25">
        <f>VLOOKUP(B56,'Data yoy'!#REF!,MATCH($V$1,'Data yoy'!#REF!,),)</f>
        <v/>
      </c>
      <c r="W56" s="25">
        <f>VLOOKUP(B56,'Data yoy'!#REF!,MATCH($W$1,'Data yoy'!#REF!,),)</f>
        <v/>
      </c>
      <c r="X56" s="25">
        <f>VLOOKUP(B56,'Data yoy'!#REF!,MATCH($X$1,'Data yoy'!#REF!,),)</f>
        <v/>
      </c>
      <c r="Y56" s="25">
        <f>VLOOKUP(B56,'Data yoy'!#REF!,MATCH($Y$1,'Data yoy'!#REF!,),)</f>
        <v/>
      </c>
      <c r="Z56" s="25">
        <f>VLOOKUP(B56,'Data yoy'!#REF!,MATCH($Z$1,'Data yoy'!#REF!,),)</f>
        <v/>
      </c>
      <c r="AA56" s="25">
        <f>VLOOKUP(B56,'Data yoy'!#REF!,MATCH($AA$1,'Data yoy'!#REF!,),)</f>
        <v/>
      </c>
      <c r="AB56" s="74" t="n"/>
      <c r="AC56" s="26">
        <f>B56</f>
        <v/>
      </c>
      <c r="AD56" s="27">
        <f>(VLOOKUP(AC56,B:Y,MATCH($AE$6,$B$1:$Y$1,),))</f>
        <v/>
      </c>
      <c r="AE56" s="27">
        <f>(VLOOKUP(AC56,B:Y,MATCH($AE$7,$B$1:$Y$1,),))</f>
        <v/>
      </c>
      <c r="AF56" s="27">
        <f>AD56-AE56</f>
        <v/>
      </c>
    </row>
    <row r="57" hidden="1" s="68">
      <c r="B57" s="24" t="inlineStr">
        <is>
          <t>2011-Q3</t>
        </is>
      </c>
      <c r="C57" s="25">
        <f>VLOOKUP(B57,'Data yoy'!#REF!,MATCH($C$1,'Data yoy'!#REF!,),)</f>
        <v/>
      </c>
      <c r="D57" s="25">
        <f>VLOOKUP(B57,'Data yoy'!#REF!,MATCH($D$1,'Data yoy'!#REF!,),)</f>
        <v/>
      </c>
      <c r="E57" s="25">
        <f>VLOOKUP(B57,'Data yoy'!#REF!,MATCH($E$1,'Data yoy'!#REF!,),)</f>
        <v/>
      </c>
      <c r="F57" s="25">
        <f>VLOOKUP(B57,'Data yoy'!#REF!,MATCH($F$1,'Data yoy'!#REF!,),)</f>
        <v/>
      </c>
      <c r="G57" s="25">
        <f>VLOOKUP(B57,'Data yoy'!#REF!,MATCH($G$1,'Data yoy'!#REF!,),)</f>
        <v/>
      </c>
      <c r="H57" s="25">
        <f>VLOOKUP(B57,'Data yoy'!#REF!,MATCH($H$1,'Data yoy'!#REF!,),)</f>
        <v/>
      </c>
      <c r="I57" s="25">
        <f>VLOOKUP(B57,'Data yoy'!#REF!,MATCH($I$1,'Data yoy'!#REF!,),)</f>
        <v/>
      </c>
      <c r="J57" s="25">
        <f>VLOOKUP(B57,'Data yoy'!#REF!,MATCH($J$1,'Data yoy'!#REF!,),)</f>
        <v/>
      </c>
      <c r="K57" s="25">
        <f>VLOOKUP(B57,'Data yoy'!#REF!,MATCH($K$1,'Data yoy'!#REF!,),)</f>
        <v/>
      </c>
      <c r="L57" s="25">
        <f>VLOOKUP(B57,'Data yoy'!#REF!,MATCH($L$1,'Data yoy'!#REF!,),)</f>
        <v/>
      </c>
      <c r="M57" s="25">
        <f>VLOOKUP(B57,'Data yoy'!#REF!,MATCH($M$1,'Data yoy'!#REF!,),)</f>
        <v/>
      </c>
      <c r="N57" s="25">
        <f>VLOOKUP(B57,'Data yoy'!#REF!,MATCH($N$1,'Data yoy'!#REF!,),)</f>
        <v/>
      </c>
      <c r="O57" s="25">
        <f>VLOOKUP(B57,'Data yoy'!#REF!,MATCH($C$1,'Data yoy'!#REF!,),)</f>
        <v/>
      </c>
      <c r="P57" s="25">
        <f>VLOOKUP(B57,'Data yoy'!#REF!,MATCH($P$1,'Data yoy'!#REF!,),)</f>
        <v/>
      </c>
      <c r="Q57" s="25">
        <f>VLOOKUP(B57,'Data yoy'!#REF!,MATCH($Q$1,'Data yoy'!#REF!,),)</f>
        <v/>
      </c>
      <c r="R57" s="25">
        <f>VLOOKUP(B57,'Data yoy'!#REF!,MATCH($E$1,'Data yoy'!#REF!,),)</f>
        <v/>
      </c>
      <c r="S57" s="25">
        <f>VLOOKUP(B57,'Data yoy'!#REF!,MATCH($S$1,'Data yoy'!#REF!,),)</f>
        <v/>
      </c>
      <c r="T57" s="25">
        <f>VLOOKUP(B57,'Data yoy'!#REF!,MATCH($T$1,'Data yoy'!#REF!,),)</f>
        <v/>
      </c>
      <c r="U57" s="25">
        <f>VLOOKUP(B57,'Data yoy'!#REF!,MATCH($U$1,'Data yoy'!#REF!,),)</f>
        <v/>
      </c>
      <c r="V57" s="25">
        <f>VLOOKUP(B57,'Data yoy'!#REF!,MATCH($V$1,'Data yoy'!#REF!,),)</f>
        <v/>
      </c>
      <c r="W57" s="25">
        <f>VLOOKUP(B57,'Data yoy'!#REF!,MATCH($W$1,'Data yoy'!#REF!,),)</f>
        <v/>
      </c>
      <c r="X57" s="25">
        <f>VLOOKUP(B57,'Data yoy'!#REF!,MATCH($X$1,'Data yoy'!#REF!,),)</f>
        <v/>
      </c>
      <c r="Y57" s="25">
        <f>VLOOKUP(B57,'Data yoy'!#REF!,MATCH($Y$1,'Data yoy'!#REF!,),)</f>
        <v/>
      </c>
      <c r="Z57" s="25">
        <f>VLOOKUP(B57,'Data yoy'!#REF!,MATCH($Z$1,'Data yoy'!#REF!,),)</f>
        <v/>
      </c>
      <c r="AA57" s="25">
        <f>VLOOKUP(B57,'Data yoy'!#REF!,MATCH($AA$1,'Data yoy'!#REF!,),)</f>
        <v/>
      </c>
      <c r="AB57" s="74" t="n"/>
      <c r="AC57" s="26">
        <f>B57</f>
        <v/>
      </c>
      <c r="AD57" s="27">
        <f>(VLOOKUP(AC57,B:Y,MATCH($AE$6,$B$1:$Y$1,),))</f>
        <v/>
      </c>
      <c r="AE57" s="27">
        <f>(VLOOKUP(AC57,B:Y,MATCH($AE$7,$B$1:$Y$1,),))</f>
        <v/>
      </c>
      <c r="AF57" s="27">
        <f>AD57-AE57</f>
        <v/>
      </c>
    </row>
    <row r="58" hidden="1" s="68">
      <c r="B58" s="24" t="inlineStr">
        <is>
          <t>2011-Q4</t>
        </is>
      </c>
      <c r="C58" s="25">
        <f>VLOOKUP(B58,'Data yoy'!#REF!,MATCH($C$1,'Data yoy'!#REF!,),)</f>
        <v/>
      </c>
      <c r="D58" s="25">
        <f>VLOOKUP(B58,'Data yoy'!#REF!,MATCH($D$1,'Data yoy'!#REF!,),)</f>
        <v/>
      </c>
      <c r="E58" s="25">
        <f>VLOOKUP(B58,'Data yoy'!#REF!,MATCH($E$1,'Data yoy'!#REF!,),)</f>
        <v/>
      </c>
      <c r="F58" s="25">
        <f>VLOOKUP(B58,'Data yoy'!#REF!,MATCH($F$1,'Data yoy'!#REF!,),)</f>
        <v/>
      </c>
      <c r="G58" s="25">
        <f>VLOOKUP(B58,'Data yoy'!#REF!,MATCH($G$1,'Data yoy'!#REF!,),)</f>
        <v/>
      </c>
      <c r="H58" s="25">
        <f>VLOOKUP(B58,'Data yoy'!#REF!,MATCH($H$1,'Data yoy'!#REF!,),)</f>
        <v/>
      </c>
      <c r="I58" s="25">
        <f>VLOOKUP(B58,'Data yoy'!#REF!,MATCH($I$1,'Data yoy'!#REF!,),)</f>
        <v/>
      </c>
      <c r="J58" s="25">
        <f>VLOOKUP(B58,'Data yoy'!#REF!,MATCH($J$1,'Data yoy'!#REF!,),)</f>
        <v/>
      </c>
      <c r="K58" s="25">
        <f>VLOOKUP(B58,'Data yoy'!#REF!,MATCH($K$1,'Data yoy'!#REF!,),)</f>
        <v/>
      </c>
      <c r="L58" s="25">
        <f>VLOOKUP(B58,'Data yoy'!#REF!,MATCH($L$1,'Data yoy'!#REF!,),)</f>
        <v/>
      </c>
      <c r="M58" s="25">
        <f>VLOOKUP(B58,'Data yoy'!#REF!,MATCH($M$1,'Data yoy'!#REF!,),)</f>
        <v/>
      </c>
      <c r="N58" s="25">
        <f>VLOOKUP(B58,'Data yoy'!#REF!,MATCH($N$1,'Data yoy'!#REF!,),)</f>
        <v/>
      </c>
      <c r="O58" s="25">
        <f>VLOOKUP(B58,'Data yoy'!#REF!,MATCH($C$1,'Data yoy'!#REF!,),)</f>
        <v/>
      </c>
      <c r="P58" s="25">
        <f>VLOOKUP(B58,'Data yoy'!#REF!,MATCH($P$1,'Data yoy'!#REF!,),)</f>
        <v/>
      </c>
      <c r="Q58" s="25">
        <f>VLOOKUP(B58,'Data yoy'!#REF!,MATCH($Q$1,'Data yoy'!#REF!,),)</f>
        <v/>
      </c>
      <c r="R58" s="25">
        <f>VLOOKUP(B58,'Data yoy'!#REF!,MATCH($E$1,'Data yoy'!#REF!,),)</f>
        <v/>
      </c>
      <c r="S58" s="25">
        <f>VLOOKUP(B58,'Data yoy'!#REF!,MATCH($S$1,'Data yoy'!#REF!,),)</f>
        <v/>
      </c>
      <c r="T58" s="25">
        <f>VLOOKUP(B58,'Data yoy'!#REF!,MATCH($T$1,'Data yoy'!#REF!,),)</f>
        <v/>
      </c>
      <c r="U58" s="25">
        <f>VLOOKUP(B58,'Data yoy'!#REF!,MATCH($U$1,'Data yoy'!#REF!,),)</f>
        <v/>
      </c>
      <c r="V58" s="25">
        <f>VLOOKUP(B58,'Data yoy'!#REF!,MATCH($V$1,'Data yoy'!#REF!,),)</f>
        <v/>
      </c>
      <c r="W58" s="25">
        <f>VLOOKUP(B58,'Data yoy'!#REF!,MATCH($W$1,'Data yoy'!#REF!,),)</f>
        <v/>
      </c>
      <c r="X58" s="25">
        <f>VLOOKUP(B58,'Data yoy'!#REF!,MATCH($X$1,'Data yoy'!#REF!,),)</f>
        <v/>
      </c>
      <c r="Y58" s="25">
        <f>VLOOKUP(B58,'Data yoy'!#REF!,MATCH($Y$1,'Data yoy'!#REF!,),)</f>
        <v/>
      </c>
      <c r="Z58" s="25">
        <f>VLOOKUP(B58,'Data yoy'!#REF!,MATCH($Z$1,'Data yoy'!#REF!,),)</f>
        <v/>
      </c>
      <c r="AA58" s="25">
        <f>VLOOKUP(B58,'Data yoy'!#REF!,MATCH($AA$1,'Data yoy'!#REF!,),)</f>
        <v/>
      </c>
      <c r="AB58" s="74" t="n"/>
      <c r="AC58" s="26">
        <f>B58</f>
        <v/>
      </c>
      <c r="AD58" s="27">
        <f>(VLOOKUP(AC58,B:Y,MATCH($AE$6,$B$1:$Y$1,),))</f>
        <v/>
      </c>
      <c r="AE58" s="27">
        <f>(VLOOKUP(AC58,B:Y,MATCH($AE$7,$B$1:$Y$1,),))</f>
        <v/>
      </c>
      <c r="AF58" s="27">
        <f>AD58-AE58</f>
        <v/>
      </c>
    </row>
    <row r="59" hidden="1" s="68">
      <c r="B59" s="24" t="inlineStr">
        <is>
          <t>2012-Q1</t>
        </is>
      </c>
      <c r="C59" s="25">
        <f>VLOOKUP(B59,'Data yoy'!#REF!,MATCH($C$1,'Data yoy'!#REF!,),)</f>
        <v/>
      </c>
      <c r="D59" s="25">
        <f>VLOOKUP(B59,'Data yoy'!#REF!,MATCH($D$1,'Data yoy'!#REF!,),)</f>
        <v/>
      </c>
      <c r="E59" s="25">
        <f>VLOOKUP(B59,'Data yoy'!#REF!,MATCH($E$1,'Data yoy'!#REF!,),)</f>
        <v/>
      </c>
      <c r="F59" s="25">
        <f>VLOOKUP(B59,'Data yoy'!#REF!,MATCH($F$1,'Data yoy'!#REF!,),)</f>
        <v/>
      </c>
      <c r="G59" s="25">
        <f>VLOOKUP(B59,'Data yoy'!#REF!,MATCH($G$1,'Data yoy'!#REF!,),)</f>
        <v/>
      </c>
      <c r="H59" s="25">
        <f>VLOOKUP(B59,'Data yoy'!#REF!,MATCH($H$1,'Data yoy'!#REF!,),)</f>
        <v/>
      </c>
      <c r="I59" s="25">
        <f>VLOOKUP(B59,'Data yoy'!#REF!,MATCH($I$1,'Data yoy'!#REF!,),)</f>
        <v/>
      </c>
      <c r="J59" s="25">
        <f>VLOOKUP(B59,'Data yoy'!#REF!,MATCH($J$1,'Data yoy'!#REF!,),)</f>
        <v/>
      </c>
      <c r="K59" s="25">
        <f>VLOOKUP(B59,'Data yoy'!#REF!,MATCH($K$1,'Data yoy'!#REF!,),)</f>
        <v/>
      </c>
      <c r="L59" s="25">
        <f>VLOOKUP(B59,'Data yoy'!#REF!,MATCH($L$1,'Data yoy'!#REF!,),)</f>
        <v/>
      </c>
      <c r="M59" s="25">
        <f>VLOOKUP(B59,'Data yoy'!#REF!,MATCH($M$1,'Data yoy'!#REF!,),)</f>
        <v/>
      </c>
      <c r="N59" s="25">
        <f>VLOOKUP(B59,'Data yoy'!#REF!,MATCH($N$1,'Data yoy'!#REF!,),)</f>
        <v/>
      </c>
      <c r="O59" s="25">
        <f>VLOOKUP(B59,'Data yoy'!#REF!,MATCH($C$1,'Data yoy'!#REF!,),)</f>
        <v/>
      </c>
      <c r="P59" s="25">
        <f>VLOOKUP(B59,'Data yoy'!#REF!,MATCH($P$1,'Data yoy'!#REF!,),)</f>
        <v/>
      </c>
      <c r="Q59" s="25">
        <f>VLOOKUP(B59,'Data yoy'!#REF!,MATCH($Q$1,'Data yoy'!#REF!,),)</f>
        <v/>
      </c>
      <c r="R59" s="25">
        <f>VLOOKUP(B59,'Data yoy'!#REF!,MATCH($E$1,'Data yoy'!#REF!,),)</f>
        <v/>
      </c>
      <c r="S59" s="25">
        <f>VLOOKUP(B59,'Data yoy'!#REF!,MATCH($S$1,'Data yoy'!#REF!,),)</f>
        <v/>
      </c>
      <c r="T59" s="25">
        <f>VLOOKUP(B59,'Data yoy'!#REF!,MATCH($T$1,'Data yoy'!#REF!,),)</f>
        <v/>
      </c>
      <c r="U59" s="25">
        <f>VLOOKUP(B59,'Data yoy'!#REF!,MATCH($U$1,'Data yoy'!#REF!,),)</f>
        <v/>
      </c>
      <c r="V59" s="25">
        <f>VLOOKUP(B59,'Data yoy'!#REF!,MATCH($V$1,'Data yoy'!#REF!,),)</f>
        <v/>
      </c>
      <c r="W59" s="25">
        <f>VLOOKUP(B59,'Data yoy'!#REF!,MATCH($W$1,'Data yoy'!#REF!,),)</f>
        <v/>
      </c>
      <c r="X59" s="25">
        <f>VLOOKUP(B59,'Data yoy'!#REF!,MATCH($X$1,'Data yoy'!#REF!,),)</f>
        <v/>
      </c>
      <c r="Y59" s="25">
        <f>VLOOKUP(B59,'Data yoy'!#REF!,MATCH($Y$1,'Data yoy'!#REF!,),)</f>
        <v/>
      </c>
      <c r="Z59" s="25">
        <f>VLOOKUP(B59,'Data yoy'!#REF!,MATCH($Z$1,'Data yoy'!#REF!,),)</f>
        <v/>
      </c>
      <c r="AA59" s="25">
        <f>VLOOKUP(B59,'Data yoy'!#REF!,MATCH($AA$1,'Data yoy'!#REF!,),)</f>
        <v/>
      </c>
      <c r="AB59" s="74" t="n"/>
      <c r="AC59" s="26">
        <f>B59</f>
        <v/>
      </c>
      <c r="AD59" s="27">
        <f>(VLOOKUP(AC59,B:Y,MATCH($AE$6,$B$1:$Y$1,),))</f>
        <v/>
      </c>
      <c r="AE59" s="27">
        <f>(VLOOKUP(AC59,B:Y,MATCH($AE$7,$B$1:$Y$1,),))</f>
        <v/>
      </c>
      <c r="AF59" s="27">
        <f>AD59-AE59</f>
        <v/>
      </c>
    </row>
    <row r="60" hidden="1" s="68">
      <c r="B60" s="24" t="inlineStr">
        <is>
          <t>2012-Q2</t>
        </is>
      </c>
      <c r="C60" s="25">
        <f>VLOOKUP(B60,'Data yoy'!#REF!,MATCH($C$1,'Data yoy'!#REF!,),)</f>
        <v/>
      </c>
      <c r="D60" s="25">
        <f>VLOOKUP(B60,'Data yoy'!#REF!,MATCH($D$1,'Data yoy'!#REF!,),)</f>
        <v/>
      </c>
      <c r="E60" s="25">
        <f>VLOOKUP(B60,'Data yoy'!#REF!,MATCH($E$1,'Data yoy'!#REF!,),)</f>
        <v/>
      </c>
      <c r="F60" s="25">
        <f>VLOOKUP(B60,'Data yoy'!#REF!,MATCH($F$1,'Data yoy'!#REF!,),)</f>
        <v/>
      </c>
      <c r="G60" s="25">
        <f>VLOOKUP(B60,'Data yoy'!#REF!,MATCH($G$1,'Data yoy'!#REF!,),)</f>
        <v/>
      </c>
      <c r="H60" s="25">
        <f>VLOOKUP(B60,'Data yoy'!#REF!,MATCH($H$1,'Data yoy'!#REF!,),)</f>
        <v/>
      </c>
      <c r="I60" s="25">
        <f>VLOOKUP(B60,'Data yoy'!#REF!,MATCH($I$1,'Data yoy'!#REF!,),)</f>
        <v/>
      </c>
      <c r="J60" s="25">
        <f>VLOOKUP(B60,'Data yoy'!#REF!,MATCH($J$1,'Data yoy'!#REF!,),)</f>
        <v/>
      </c>
      <c r="K60" s="25">
        <f>VLOOKUP(B60,'Data yoy'!#REF!,MATCH($K$1,'Data yoy'!#REF!,),)</f>
        <v/>
      </c>
      <c r="L60" s="25">
        <f>VLOOKUP(B60,'Data yoy'!#REF!,MATCH($L$1,'Data yoy'!#REF!,),)</f>
        <v/>
      </c>
      <c r="M60" s="25">
        <f>VLOOKUP(B60,'Data yoy'!#REF!,MATCH($M$1,'Data yoy'!#REF!,),)</f>
        <v/>
      </c>
      <c r="N60" s="25">
        <f>VLOOKUP(B60,'Data yoy'!#REF!,MATCH($N$1,'Data yoy'!#REF!,),)</f>
        <v/>
      </c>
      <c r="O60" s="25">
        <f>VLOOKUP(B60,'Data yoy'!#REF!,MATCH($C$1,'Data yoy'!#REF!,),)</f>
        <v/>
      </c>
      <c r="P60" s="25">
        <f>VLOOKUP(B60,'Data yoy'!#REF!,MATCH($P$1,'Data yoy'!#REF!,),)</f>
        <v/>
      </c>
      <c r="Q60" s="25">
        <f>VLOOKUP(B60,'Data yoy'!#REF!,MATCH($Q$1,'Data yoy'!#REF!,),)</f>
        <v/>
      </c>
      <c r="R60" s="25">
        <f>VLOOKUP(B60,'Data yoy'!#REF!,MATCH($E$1,'Data yoy'!#REF!,),)</f>
        <v/>
      </c>
      <c r="S60" s="25">
        <f>VLOOKUP(B60,'Data yoy'!#REF!,MATCH($S$1,'Data yoy'!#REF!,),)</f>
        <v/>
      </c>
      <c r="T60" s="25">
        <f>VLOOKUP(B60,'Data yoy'!#REF!,MATCH($T$1,'Data yoy'!#REF!,),)</f>
        <v/>
      </c>
      <c r="U60" s="25">
        <f>VLOOKUP(B60,'Data yoy'!#REF!,MATCH($U$1,'Data yoy'!#REF!,),)</f>
        <v/>
      </c>
      <c r="V60" s="25">
        <f>VLOOKUP(B60,'Data yoy'!#REF!,MATCH($V$1,'Data yoy'!#REF!,),)</f>
        <v/>
      </c>
      <c r="W60" s="25">
        <f>VLOOKUP(B60,'Data yoy'!#REF!,MATCH($W$1,'Data yoy'!#REF!,),)</f>
        <v/>
      </c>
      <c r="X60" s="25">
        <f>VLOOKUP(B60,'Data yoy'!#REF!,MATCH($X$1,'Data yoy'!#REF!,),)</f>
        <v/>
      </c>
      <c r="Y60" s="25">
        <f>VLOOKUP(B60,'Data yoy'!#REF!,MATCH($Y$1,'Data yoy'!#REF!,),)</f>
        <v/>
      </c>
      <c r="Z60" s="25">
        <f>VLOOKUP(B60,'Data yoy'!#REF!,MATCH($Z$1,'Data yoy'!#REF!,),)</f>
        <v/>
      </c>
      <c r="AA60" s="25">
        <f>VLOOKUP(B60,'Data yoy'!#REF!,MATCH($AA$1,'Data yoy'!#REF!,),)</f>
        <v/>
      </c>
      <c r="AB60" s="74" t="n"/>
      <c r="AC60" s="26">
        <f>B60</f>
        <v/>
      </c>
      <c r="AD60" s="27">
        <f>(VLOOKUP(AC60,B:Y,MATCH($AE$6,$B$1:$Y$1,),))</f>
        <v/>
      </c>
      <c r="AE60" s="27">
        <f>(VLOOKUP(AC60,B:Y,MATCH($AE$7,$B$1:$Y$1,),))</f>
        <v/>
      </c>
      <c r="AF60" s="27">
        <f>AD60-AE60</f>
        <v/>
      </c>
    </row>
    <row r="61" hidden="1" s="68">
      <c r="B61" s="24" t="inlineStr">
        <is>
          <t>2012-Q3</t>
        </is>
      </c>
      <c r="C61" s="25">
        <f>VLOOKUP(B61,'Data yoy'!#REF!,MATCH($C$1,'Data yoy'!#REF!,),)</f>
        <v/>
      </c>
      <c r="D61" s="25">
        <f>VLOOKUP(B61,'Data yoy'!#REF!,MATCH($D$1,'Data yoy'!#REF!,),)</f>
        <v/>
      </c>
      <c r="E61" s="25">
        <f>VLOOKUP(B61,'Data yoy'!#REF!,MATCH($E$1,'Data yoy'!#REF!,),)</f>
        <v/>
      </c>
      <c r="F61" s="25">
        <f>VLOOKUP(B61,'Data yoy'!#REF!,MATCH($F$1,'Data yoy'!#REF!,),)</f>
        <v/>
      </c>
      <c r="G61" s="25">
        <f>VLOOKUP(B61,'Data yoy'!#REF!,MATCH($G$1,'Data yoy'!#REF!,),)</f>
        <v/>
      </c>
      <c r="H61" s="25">
        <f>VLOOKUP(B61,'Data yoy'!#REF!,MATCH($H$1,'Data yoy'!#REF!,),)</f>
        <v/>
      </c>
      <c r="I61" s="25">
        <f>VLOOKUP(B61,'Data yoy'!#REF!,MATCH($I$1,'Data yoy'!#REF!,),)</f>
        <v/>
      </c>
      <c r="J61" s="25">
        <f>VLOOKUP(B61,'Data yoy'!#REF!,MATCH($J$1,'Data yoy'!#REF!,),)</f>
        <v/>
      </c>
      <c r="K61" s="25">
        <f>VLOOKUP(B61,'Data yoy'!#REF!,MATCH($K$1,'Data yoy'!#REF!,),)</f>
        <v/>
      </c>
      <c r="L61" s="25">
        <f>VLOOKUP(B61,'Data yoy'!#REF!,MATCH($L$1,'Data yoy'!#REF!,),)</f>
        <v/>
      </c>
      <c r="M61" s="25">
        <f>VLOOKUP(B61,'Data yoy'!#REF!,MATCH($M$1,'Data yoy'!#REF!,),)</f>
        <v/>
      </c>
      <c r="N61" s="25">
        <f>VLOOKUP(B61,'Data yoy'!#REF!,MATCH($N$1,'Data yoy'!#REF!,),)</f>
        <v/>
      </c>
      <c r="O61" s="25">
        <f>VLOOKUP(B61,'Data yoy'!#REF!,MATCH($C$1,'Data yoy'!#REF!,),)</f>
        <v/>
      </c>
      <c r="P61" s="25">
        <f>VLOOKUP(B61,'Data yoy'!#REF!,MATCH($P$1,'Data yoy'!#REF!,),)</f>
        <v/>
      </c>
      <c r="Q61" s="25">
        <f>VLOOKUP(B61,'Data yoy'!#REF!,MATCH($Q$1,'Data yoy'!#REF!,),)</f>
        <v/>
      </c>
      <c r="R61" s="25">
        <f>VLOOKUP(B61,'Data yoy'!#REF!,MATCH($E$1,'Data yoy'!#REF!,),)</f>
        <v/>
      </c>
      <c r="S61" s="25">
        <f>VLOOKUP(B61,'Data yoy'!#REF!,MATCH($S$1,'Data yoy'!#REF!,),)</f>
        <v/>
      </c>
      <c r="T61" s="25">
        <f>VLOOKUP(B61,'Data yoy'!#REF!,MATCH($T$1,'Data yoy'!#REF!,),)</f>
        <v/>
      </c>
      <c r="U61" s="25">
        <f>VLOOKUP(B61,'Data yoy'!#REF!,MATCH($U$1,'Data yoy'!#REF!,),)</f>
        <v/>
      </c>
      <c r="V61" s="25">
        <f>VLOOKUP(B61,'Data yoy'!#REF!,MATCH($V$1,'Data yoy'!#REF!,),)</f>
        <v/>
      </c>
      <c r="W61" s="25">
        <f>VLOOKUP(B61,'Data yoy'!#REF!,MATCH($W$1,'Data yoy'!#REF!,),)</f>
        <v/>
      </c>
      <c r="X61" s="25">
        <f>VLOOKUP(B61,'Data yoy'!#REF!,MATCH($X$1,'Data yoy'!#REF!,),)</f>
        <v/>
      </c>
      <c r="Y61" s="25">
        <f>VLOOKUP(B61,'Data yoy'!#REF!,MATCH($Y$1,'Data yoy'!#REF!,),)</f>
        <v/>
      </c>
      <c r="Z61" s="25">
        <f>VLOOKUP(B61,'Data yoy'!#REF!,MATCH($Z$1,'Data yoy'!#REF!,),)</f>
        <v/>
      </c>
      <c r="AA61" s="25">
        <f>VLOOKUP(B61,'Data yoy'!#REF!,MATCH($AA$1,'Data yoy'!#REF!,),)</f>
        <v/>
      </c>
      <c r="AB61" s="74" t="n"/>
      <c r="AC61" s="26">
        <f>B61</f>
        <v/>
      </c>
      <c r="AD61" s="27">
        <f>(VLOOKUP(AC61,B:Y,MATCH($AE$6,$B$1:$Y$1,),))</f>
        <v/>
      </c>
      <c r="AE61" s="27">
        <f>(VLOOKUP(AC61,B:Y,MATCH($AE$7,$B$1:$Y$1,),))</f>
        <v/>
      </c>
      <c r="AF61" s="27">
        <f>AD61-AE61</f>
        <v/>
      </c>
    </row>
    <row r="62" hidden="1" s="68">
      <c r="B62" s="24" t="inlineStr">
        <is>
          <t>2012-Q4</t>
        </is>
      </c>
      <c r="C62" s="25">
        <f>VLOOKUP(B62,'Data yoy'!#REF!,MATCH($C$1,'Data yoy'!#REF!,),)</f>
        <v/>
      </c>
      <c r="D62" s="25">
        <f>VLOOKUP(B62,'Data yoy'!#REF!,MATCH($D$1,'Data yoy'!#REF!,),)</f>
        <v/>
      </c>
      <c r="E62" s="25">
        <f>VLOOKUP(B62,'Data yoy'!#REF!,MATCH($E$1,'Data yoy'!#REF!,),)</f>
        <v/>
      </c>
      <c r="F62" s="25">
        <f>VLOOKUP(B62,'Data yoy'!#REF!,MATCH($F$1,'Data yoy'!#REF!,),)</f>
        <v/>
      </c>
      <c r="G62" s="25">
        <f>VLOOKUP(B62,'Data yoy'!#REF!,MATCH($G$1,'Data yoy'!#REF!,),)</f>
        <v/>
      </c>
      <c r="H62" s="25">
        <f>VLOOKUP(B62,'Data yoy'!#REF!,MATCH($H$1,'Data yoy'!#REF!,),)</f>
        <v/>
      </c>
      <c r="I62" s="25">
        <f>VLOOKUP(B62,'Data yoy'!#REF!,MATCH($I$1,'Data yoy'!#REF!,),)</f>
        <v/>
      </c>
      <c r="J62" s="25">
        <f>VLOOKUP(B62,'Data yoy'!#REF!,MATCH($J$1,'Data yoy'!#REF!,),)</f>
        <v/>
      </c>
      <c r="K62" s="25">
        <f>VLOOKUP(B62,'Data yoy'!#REF!,MATCH($K$1,'Data yoy'!#REF!,),)</f>
        <v/>
      </c>
      <c r="L62" s="25">
        <f>VLOOKUP(B62,'Data yoy'!#REF!,MATCH($L$1,'Data yoy'!#REF!,),)</f>
        <v/>
      </c>
      <c r="M62" s="25">
        <f>VLOOKUP(B62,'Data yoy'!#REF!,MATCH($M$1,'Data yoy'!#REF!,),)</f>
        <v/>
      </c>
      <c r="N62" s="25">
        <f>VLOOKUP(B62,'Data yoy'!#REF!,MATCH($N$1,'Data yoy'!#REF!,),)</f>
        <v/>
      </c>
      <c r="O62" s="25">
        <f>VLOOKUP(B62,'Data yoy'!#REF!,MATCH($C$1,'Data yoy'!#REF!,),)</f>
        <v/>
      </c>
      <c r="P62" s="25">
        <f>VLOOKUP(B62,'Data yoy'!#REF!,MATCH($P$1,'Data yoy'!#REF!,),)</f>
        <v/>
      </c>
      <c r="Q62" s="25">
        <f>VLOOKUP(B62,'Data yoy'!#REF!,MATCH($Q$1,'Data yoy'!#REF!,),)</f>
        <v/>
      </c>
      <c r="R62" s="25">
        <f>VLOOKUP(B62,'Data yoy'!#REF!,MATCH($E$1,'Data yoy'!#REF!,),)</f>
        <v/>
      </c>
      <c r="S62" s="25">
        <f>VLOOKUP(B62,'Data yoy'!#REF!,MATCH($S$1,'Data yoy'!#REF!,),)</f>
        <v/>
      </c>
      <c r="T62" s="25">
        <f>VLOOKUP(B62,'Data yoy'!#REF!,MATCH($T$1,'Data yoy'!#REF!,),)</f>
        <v/>
      </c>
      <c r="U62" s="25">
        <f>VLOOKUP(B62,'Data yoy'!#REF!,MATCH($U$1,'Data yoy'!#REF!,),)</f>
        <v/>
      </c>
      <c r="V62" s="25">
        <f>VLOOKUP(B62,'Data yoy'!#REF!,MATCH($V$1,'Data yoy'!#REF!,),)</f>
        <v/>
      </c>
      <c r="W62" s="25">
        <f>VLOOKUP(B62,'Data yoy'!#REF!,MATCH($W$1,'Data yoy'!#REF!,),)</f>
        <v/>
      </c>
      <c r="X62" s="25">
        <f>VLOOKUP(B62,'Data yoy'!#REF!,MATCH($X$1,'Data yoy'!#REF!,),)</f>
        <v/>
      </c>
      <c r="Y62" s="25">
        <f>VLOOKUP(B62,'Data yoy'!#REF!,MATCH($Y$1,'Data yoy'!#REF!,),)</f>
        <v/>
      </c>
      <c r="Z62" s="25">
        <f>VLOOKUP(B62,'Data yoy'!#REF!,MATCH($Z$1,'Data yoy'!#REF!,),)</f>
        <v/>
      </c>
      <c r="AA62" s="25">
        <f>VLOOKUP(B62,'Data yoy'!#REF!,MATCH($AA$1,'Data yoy'!#REF!,),)</f>
        <v/>
      </c>
      <c r="AB62" s="74" t="n"/>
      <c r="AC62" s="26">
        <f>B62</f>
        <v/>
      </c>
      <c r="AD62" s="27">
        <f>(VLOOKUP(AC62,B:Y,MATCH($AE$6,$B$1:$Y$1,),))</f>
        <v/>
      </c>
      <c r="AE62" s="27">
        <f>(VLOOKUP(AC62,B:Y,MATCH($AE$7,$B$1:$Y$1,),))</f>
        <v/>
      </c>
      <c r="AF62" s="27">
        <f>AD62-AE62</f>
        <v/>
      </c>
    </row>
    <row r="63" hidden="1" s="68">
      <c r="B63" s="24" t="inlineStr">
        <is>
          <t>2013-Q1</t>
        </is>
      </c>
      <c r="C63" s="25">
        <f>VLOOKUP(B63,'Data yoy'!#REF!,MATCH($C$1,'Data yoy'!#REF!,),)</f>
        <v/>
      </c>
      <c r="D63" s="25">
        <f>VLOOKUP(B63,'Data yoy'!#REF!,MATCH($D$1,'Data yoy'!#REF!,),)</f>
        <v/>
      </c>
      <c r="E63" s="25">
        <f>VLOOKUP(B63,'Data yoy'!#REF!,MATCH($E$1,'Data yoy'!#REF!,),)</f>
        <v/>
      </c>
      <c r="F63" s="25">
        <f>VLOOKUP(B63,'Data yoy'!#REF!,MATCH($F$1,'Data yoy'!#REF!,),)</f>
        <v/>
      </c>
      <c r="G63" s="25">
        <f>VLOOKUP(B63,'Data yoy'!#REF!,MATCH($G$1,'Data yoy'!#REF!,),)</f>
        <v/>
      </c>
      <c r="H63" s="25">
        <f>VLOOKUP(B63,'Data yoy'!#REF!,MATCH($H$1,'Data yoy'!#REF!,),)</f>
        <v/>
      </c>
      <c r="I63" s="25">
        <f>VLOOKUP(B63,'Data yoy'!#REF!,MATCH($I$1,'Data yoy'!#REF!,),)</f>
        <v/>
      </c>
      <c r="J63" s="25">
        <f>VLOOKUP(B63,'Data yoy'!#REF!,MATCH($J$1,'Data yoy'!#REF!,),)</f>
        <v/>
      </c>
      <c r="K63" s="25">
        <f>VLOOKUP(B63,'Data yoy'!#REF!,MATCH($K$1,'Data yoy'!#REF!,),)</f>
        <v/>
      </c>
      <c r="L63" s="25">
        <f>VLOOKUP(B63,'Data yoy'!#REF!,MATCH($L$1,'Data yoy'!#REF!,),)</f>
        <v/>
      </c>
      <c r="M63" s="25">
        <f>VLOOKUP(B63,'Data yoy'!#REF!,MATCH($M$1,'Data yoy'!#REF!,),)</f>
        <v/>
      </c>
      <c r="N63" s="25">
        <f>VLOOKUP(B63,'Data yoy'!#REF!,MATCH($N$1,'Data yoy'!#REF!,),)</f>
        <v/>
      </c>
      <c r="O63" s="25">
        <f>VLOOKUP(B63,'Data yoy'!#REF!,MATCH($C$1,'Data yoy'!#REF!,),)</f>
        <v/>
      </c>
      <c r="P63" s="25">
        <f>VLOOKUP(B63,'Data yoy'!#REF!,MATCH($P$1,'Data yoy'!#REF!,),)</f>
        <v/>
      </c>
      <c r="Q63" s="25">
        <f>VLOOKUP(B63,'Data yoy'!#REF!,MATCH($Q$1,'Data yoy'!#REF!,),)</f>
        <v/>
      </c>
      <c r="R63" s="25">
        <f>VLOOKUP(B63,'Data yoy'!#REF!,MATCH($E$1,'Data yoy'!#REF!,),)</f>
        <v/>
      </c>
      <c r="S63" s="25">
        <f>VLOOKUP(B63,'Data yoy'!#REF!,MATCH($S$1,'Data yoy'!#REF!,),)</f>
        <v/>
      </c>
      <c r="T63" s="25">
        <f>VLOOKUP(B63,'Data yoy'!#REF!,MATCH($T$1,'Data yoy'!#REF!,),)</f>
        <v/>
      </c>
      <c r="U63" s="25">
        <f>VLOOKUP(B63,'Data yoy'!#REF!,MATCH($U$1,'Data yoy'!#REF!,),)</f>
        <v/>
      </c>
      <c r="V63" s="25">
        <f>VLOOKUP(B63,'Data yoy'!#REF!,MATCH($V$1,'Data yoy'!#REF!,),)</f>
        <v/>
      </c>
      <c r="W63" s="25">
        <f>VLOOKUP(B63,'Data yoy'!#REF!,MATCH($W$1,'Data yoy'!#REF!,),)</f>
        <v/>
      </c>
      <c r="X63" s="25">
        <f>VLOOKUP(B63,'Data yoy'!#REF!,MATCH($X$1,'Data yoy'!#REF!,),)</f>
        <v/>
      </c>
      <c r="Y63" s="25">
        <f>VLOOKUP(B63,'Data yoy'!#REF!,MATCH($Y$1,'Data yoy'!#REF!,),)</f>
        <v/>
      </c>
      <c r="Z63" s="25">
        <f>VLOOKUP(B63,'Data yoy'!#REF!,MATCH($Z$1,'Data yoy'!#REF!,),)</f>
        <v/>
      </c>
      <c r="AA63" s="25">
        <f>VLOOKUP(B63,'Data yoy'!#REF!,MATCH($AA$1,'Data yoy'!#REF!,),)</f>
        <v/>
      </c>
      <c r="AB63" s="74" t="n"/>
      <c r="AC63" s="26">
        <f>B63</f>
        <v/>
      </c>
      <c r="AD63" s="27">
        <f>(VLOOKUP(AC63,B:Y,MATCH($AE$6,$B$1:$Y$1,),))</f>
        <v/>
      </c>
      <c r="AE63" s="27">
        <f>(VLOOKUP(AC63,B:Y,MATCH($AE$7,$B$1:$Y$1,),))</f>
        <v/>
      </c>
      <c r="AF63" s="27">
        <f>AD63-AE63</f>
        <v/>
      </c>
    </row>
    <row r="64" hidden="1" s="68">
      <c r="B64" s="24" t="inlineStr">
        <is>
          <t>2013-Q2</t>
        </is>
      </c>
      <c r="C64" s="25">
        <f>VLOOKUP(B64,'Data yoy'!#REF!,MATCH($C$1,'Data yoy'!#REF!,),)</f>
        <v/>
      </c>
      <c r="D64" s="25">
        <f>VLOOKUP(B64,'Data yoy'!#REF!,MATCH($D$1,'Data yoy'!#REF!,),)</f>
        <v/>
      </c>
      <c r="E64" s="25">
        <f>VLOOKUP(B64,'Data yoy'!#REF!,MATCH($E$1,'Data yoy'!#REF!,),)</f>
        <v/>
      </c>
      <c r="F64" s="25">
        <f>VLOOKUP(B64,'Data yoy'!#REF!,MATCH($F$1,'Data yoy'!#REF!,),)</f>
        <v/>
      </c>
      <c r="G64" s="25">
        <f>VLOOKUP(B64,'Data yoy'!#REF!,MATCH($G$1,'Data yoy'!#REF!,),)</f>
        <v/>
      </c>
      <c r="H64" s="25">
        <f>VLOOKUP(B64,'Data yoy'!#REF!,MATCH($H$1,'Data yoy'!#REF!,),)</f>
        <v/>
      </c>
      <c r="I64" s="25">
        <f>VLOOKUP(B64,'Data yoy'!#REF!,MATCH($I$1,'Data yoy'!#REF!,),)</f>
        <v/>
      </c>
      <c r="J64" s="25">
        <f>VLOOKUP(B64,'Data yoy'!#REF!,MATCH($J$1,'Data yoy'!#REF!,),)</f>
        <v/>
      </c>
      <c r="K64" s="25">
        <f>VLOOKUP(B64,'Data yoy'!#REF!,MATCH($K$1,'Data yoy'!#REF!,),)</f>
        <v/>
      </c>
      <c r="L64" s="25">
        <f>VLOOKUP(B64,'Data yoy'!#REF!,MATCH($L$1,'Data yoy'!#REF!,),)</f>
        <v/>
      </c>
      <c r="M64" s="25">
        <f>VLOOKUP(B64,'Data yoy'!#REF!,MATCH($M$1,'Data yoy'!#REF!,),)</f>
        <v/>
      </c>
      <c r="N64" s="25">
        <f>VLOOKUP(B64,'Data yoy'!#REF!,MATCH($N$1,'Data yoy'!#REF!,),)</f>
        <v/>
      </c>
      <c r="O64" s="25">
        <f>VLOOKUP(B64,'Data yoy'!#REF!,MATCH($C$1,'Data yoy'!#REF!,),)</f>
        <v/>
      </c>
      <c r="P64" s="25">
        <f>VLOOKUP(B64,'Data yoy'!#REF!,MATCH($P$1,'Data yoy'!#REF!,),)</f>
        <v/>
      </c>
      <c r="Q64" s="25">
        <f>VLOOKUP(B64,'Data yoy'!#REF!,MATCH($Q$1,'Data yoy'!#REF!,),)</f>
        <v/>
      </c>
      <c r="R64" s="25">
        <f>VLOOKUP(B64,'Data yoy'!#REF!,MATCH($E$1,'Data yoy'!#REF!,),)</f>
        <v/>
      </c>
      <c r="S64" s="25">
        <f>VLOOKUP(B64,'Data yoy'!#REF!,MATCH($S$1,'Data yoy'!#REF!,),)</f>
        <v/>
      </c>
      <c r="T64" s="25">
        <f>VLOOKUP(B64,'Data yoy'!#REF!,MATCH($T$1,'Data yoy'!#REF!,),)</f>
        <v/>
      </c>
      <c r="U64" s="25">
        <f>VLOOKUP(B64,'Data yoy'!#REF!,MATCH($U$1,'Data yoy'!#REF!,),)</f>
        <v/>
      </c>
      <c r="V64" s="25">
        <f>VLOOKUP(B64,'Data yoy'!#REF!,MATCH($V$1,'Data yoy'!#REF!,),)</f>
        <v/>
      </c>
      <c r="W64" s="25">
        <f>VLOOKUP(B64,'Data yoy'!#REF!,MATCH($W$1,'Data yoy'!#REF!,),)</f>
        <v/>
      </c>
      <c r="X64" s="25">
        <f>VLOOKUP(B64,'Data yoy'!#REF!,MATCH($X$1,'Data yoy'!#REF!,),)</f>
        <v/>
      </c>
      <c r="Y64" s="25">
        <f>VLOOKUP(B64,'Data yoy'!#REF!,MATCH($Y$1,'Data yoy'!#REF!,),)</f>
        <v/>
      </c>
      <c r="Z64" s="25">
        <f>VLOOKUP(B64,'Data yoy'!#REF!,MATCH($Z$1,'Data yoy'!#REF!,),)</f>
        <v/>
      </c>
      <c r="AA64" s="25">
        <f>VLOOKUP(B64,'Data yoy'!#REF!,MATCH($AA$1,'Data yoy'!#REF!,),)</f>
        <v/>
      </c>
      <c r="AB64" s="74" t="n"/>
      <c r="AC64" s="26">
        <f>B64</f>
        <v/>
      </c>
      <c r="AD64" s="27">
        <f>(VLOOKUP(AC64,B:Y,MATCH($AE$6,$B$1:$Y$1,),))</f>
        <v/>
      </c>
      <c r="AE64" s="27">
        <f>(VLOOKUP(AC64,B:Y,MATCH($AE$7,$B$1:$Y$1,),))</f>
        <v/>
      </c>
      <c r="AF64" s="27">
        <f>AD64-AE64</f>
        <v/>
      </c>
    </row>
    <row r="65" hidden="1" s="68">
      <c r="B65" s="24" t="inlineStr">
        <is>
          <t>2013-Q3</t>
        </is>
      </c>
      <c r="C65" s="25">
        <f>VLOOKUP(B65,'Data yoy'!#REF!,MATCH($C$1,'Data yoy'!#REF!,),)</f>
        <v/>
      </c>
      <c r="D65" s="25">
        <f>VLOOKUP(B65,'Data yoy'!#REF!,MATCH($D$1,'Data yoy'!#REF!,),)</f>
        <v/>
      </c>
      <c r="E65" s="25">
        <f>VLOOKUP(B65,'Data yoy'!#REF!,MATCH($E$1,'Data yoy'!#REF!,),)</f>
        <v/>
      </c>
      <c r="F65" s="25">
        <f>VLOOKUP(B65,'Data yoy'!#REF!,MATCH($F$1,'Data yoy'!#REF!,),)</f>
        <v/>
      </c>
      <c r="G65" s="25">
        <f>VLOOKUP(B65,'Data yoy'!#REF!,MATCH($G$1,'Data yoy'!#REF!,),)</f>
        <v/>
      </c>
      <c r="H65" s="25">
        <f>VLOOKUP(B65,'Data yoy'!#REF!,MATCH($H$1,'Data yoy'!#REF!,),)</f>
        <v/>
      </c>
      <c r="I65" s="25">
        <f>VLOOKUP(B65,'Data yoy'!#REF!,MATCH($I$1,'Data yoy'!#REF!,),)</f>
        <v/>
      </c>
      <c r="J65" s="25">
        <f>VLOOKUP(B65,'Data yoy'!#REF!,MATCH($J$1,'Data yoy'!#REF!,),)</f>
        <v/>
      </c>
      <c r="K65" s="25">
        <f>VLOOKUP(B65,'Data yoy'!#REF!,MATCH($K$1,'Data yoy'!#REF!,),)</f>
        <v/>
      </c>
      <c r="L65" s="25">
        <f>VLOOKUP(B65,'Data yoy'!#REF!,MATCH($L$1,'Data yoy'!#REF!,),)</f>
        <v/>
      </c>
      <c r="M65" s="25">
        <f>VLOOKUP(B65,'Data yoy'!#REF!,MATCH($M$1,'Data yoy'!#REF!,),)</f>
        <v/>
      </c>
      <c r="N65" s="25">
        <f>VLOOKUP(B65,'Data yoy'!#REF!,MATCH($N$1,'Data yoy'!#REF!,),)</f>
        <v/>
      </c>
      <c r="O65" s="25">
        <f>VLOOKUP(B65,'Data yoy'!#REF!,MATCH($C$1,'Data yoy'!#REF!,),)</f>
        <v/>
      </c>
      <c r="P65" s="25">
        <f>VLOOKUP(B65,'Data yoy'!#REF!,MATCH($P$1,'Data yoy'!#REF!,),)</f>
        <v/>
      </c>
      <c r="Q65" s="25">
        <f>VLOOKUP(B65,'Data yoy'!#REF!,MATCH($Q$1,'Data yoy'!#REF!,),)</f>
        <v/>
      </c>
      <c r="R65" s="25">
        <f>VLOOKUP(B65,'Data yoy'!#REF!,MATCH($E$1,'Data yoy'!#REF!,),)</f>
        <v/>
      </c>
      <c r="S65" s="25">
        <f>VLOOKUP(B65,'Data yoy'!#REF!,MATCH($S$1,'Data yoy'!#REF!,),)</f>
        <v/>
      </c>
      <c r="T65" s="25">
        <f>VLOOKUP(B65,'Data yoy'!#REF!,MATCH($T$1,'Data yoy'!#REF!,),)</f>
        <v/>
      </c>
      <c r="U65" s="25">
        <f>VLOOKUP(B65,'Data yoy'!#REF!,MATCH($U$1,'Data yoy'!#REF!,),)</f>
        <v/>
      </c>
      <c r="V65" s="25">
        <f>VLOOKUP(B65,'Data yoy'!#REF!,MATCH($V$1,'Data yoy'!#REF!,),)</f>
        <v/>
      </c>
      <c r="W65" s="25">
        <f>VLOOKUP(B65,'Data yoy'!#REF!,MATCH($W$1,'Data yoy'!#REF!,),)</f>
        <v/>
      </c>
      <c r="X65" s="25">
        <f>VLOOKUP(B65,'Data yoy'!#REF!,MATCH($X$1,'Data yoy'!#REF!,),)</f>
        <v/>
      </c>
      <c r="Y65" s="25">
        <f>VLOOKUP(B65,'Data yoy'!#REF!,MATCH($Y$1,'Data yoy'!#REF!,),)</f>
        <v/>
      </c>
      <c r="Z65" s="25">
        <f>VLOOKUP(B65,'Data yoy'!#REF!,MATCH($Z$1,'Data yoy'!#REF!,),)</f>
        <v/>
      </c>
      <c r="AA65" s="25">
        <f>VLOOKUP(B65,'Data yoy'!#REF!,MATCH($AA$1,'Data yoy'!#REF!,),)</f>
        <v/>
      </c>
      <c r="AB65" s="74" t="n"/>
      <c r="AC65" s="26">
        <f>B65</f>
        <v/>
      </c>
      <c r="AD65" s="27">
        <f>(VLOOKUP(AC65,B:Y,MATCH($AE$6,$B$1:$Y$1,),))</f>
        <v/>
      </c>
      <c r="AE65" s="27">
        <f>(VLOOKUP(AC65,B:Y,MATCH($AE$7,$B$1:$Y$1,),))</f>
        <v/>
      </c>
      <c r="AF65" s="27">
        <f>AD65-AE65</f>
        <v/>
      </c>
    </row>
    <row r="66" hidden="1" s="68">
      <c r="B66" s="24" t="inlineStr">
        <is>
          <t>2013-Q4</t>
        </is>
      </c>
      <c r="C66" s="25">
        <f>VLOOKUP(B66,'Data yoy'!#REF!,MATCH($C$1,'Data yoy'!#REF!,),)</f>
        <v/>
      </c>
      <c r="D66" s="25">
        <f>VLOOKUP(B66,'Data yoy'!#REF!,MATCH($D$1,'Data yoy'!#REF!,),)</f>
        <v/>
      </c>
      <c r="E66" s="25">
        <f>VLOOKUP(B66,'Data yoy'!#REF!,MATCH($E$1,'Data yoy'!#REF!,),)</f>
        <v/>
      </c>
      <c r="F66" s="25">
        <f>VLOOKUP(B66,'Data yoy'!#REF!,MATCH($F$1,'Data yoy'!#REF!,),)</f>
        <v/>
      </c>
      <c r="G66" s="25">
        <f>VLOOKUP(B66,'Data yoy'!#REF!,MATCH($G$1,'Data yoy'!#REF!,),)</f>
        <v/>
      </c>
      <c r="H66" s="25">
        <f>VLOOKUP(B66,'Data yoy'!#REF!,MATCH($H$1,'Data yoy'!#REF!,),)</f>
        <v/>
      </c>
      <c r="I66" s="25">
        <f>VLOOKUP(B66,'Data yoy'!#REF!,MATCH($I$1,'Data yoy'!#REF!,),)</f>
        <v/>
      </c>
      <c r="J66" s="25">
        <f>VLOOKUP(B66,'Data yoy'!#REF!,MATCH($J$1,'Data yoy'!#REF!,),)</f>
        <v/>
      </c>
      <c r="K66" s="25">
        <f>VLOOKUP(B66,'Data yoy'!#REF!,MATCH($K$1,'Data yoy'!#REF!,),)</f>
        <v/>
      </c>
      <c r="L66" s="25">
        <f>VLOOKUP(B66,'Data yoy'!#REF!,MATCH($L$1,'Data yoy'!#REF!,),)</f>
        <v/>
      </c>
      <c r="M66" s="25">
        <f>VLOOKUP(B66,'Data yoy'!#REF!,MATCH($M$1,'Data yoy'!#REF!,),)</f>
        <v/>
      </c>
      <c r="N66" s="25">
        <f>VLOOKUP(B66,'Data yoy'!#REF!,MATCH($N$1,'Data yoy'!#REF!,),)</f>
        <v/>
      </c>
      <c r="O66" s="25">
        <f>VLOOKUP(B66,'Data yoy'!#REF!,MATCH($C$1,'Data yoy'!#REF!,),)</f>
        <v/>
      </c>
      <c r="P66" s="25">
        <f>VLOOKUP(B66,'Data yoy'!#REF!,MATCH($P$1,'Data yoy'!#REF!,),)</f>
        <v/>
      </c>
      <c r="Q66" s="25">
        <f>VLOOKUP(B66,'Data yoy'!#REF!,MATCH($Q$1,'Data yoy'!#REF!,),)</f>
        <v/>
      </c>
      <c r="R66" s="25">
        <f>VLOOKUP(B66,'Data yoy'!#REF!,MATCH($E$1,'Data yoy'!#REF!,),)</f>
        <v/>
      </c>
      <c r="S66" s="25">
        <f>VLOOKUP(B66,'Data yoy'!#REF!,MATCH($S$1,'Data yoy'!#REF!,),)</f>
        <v/>
      </c>
      <c r="T66" s="25">
        <f>VLOOKUP(B66,'Data yoy'!#REF!,MATCH($T$1,'Data yoy'!#REF!,),)</f>
        <v/>
      </c>
      <c r="U66" s="25">
        <f>VLOOKUP(B66,'Data yoy'!#REF!,MATCH($U$1,'Data yoy'!#REF!,),)</f>
        <v/>
      </c>
      <c r="V66" s="25">
        <f>VLOOKUP(B66,'Data yoy'!#REF!,MATCH($V$1,'Data yoy'!#REF!,),)</f>
        <v/>
      </c>
      <c r="W66" s="25">
        <f>VLOOKUP(B66,'Data yoy'!#REF!,MATCH($W$1,'Data yoy'!#REF!,),)</f>
        <v/>
      </c>
      <c r="X66" s="25">
        <f>VLOOKUP(B66,'Data yoy'!#REF!,MATCH($X$1,'Data yoy'!#REF!,),)</f>
        <v/>
      </c>
      <c r="Y66" s="25">
        <f>VLOOKUP(B66,'Data yoy'!#REF!,MATCH($Y$1,'Data yoy'!#REF!,),)</f>
        <v/>
      </c>
      <c r="Z66" s="25">
        <f>VLOOKUP(B66,'Data yoy'!#REF!,MATCH($Z$1,'Data yoy'!#REF!,),)</f>
        <v/>
      </c>
      <c r="AA66" s="25">
        <f>VLOOKUP(B66,'Data yoy'!#REF!,MATCH($AA$1,'Data yoy'!#REF!,),)</f>
        <v/>
      </c>
      <c r="AB66" s="74" t="n"/>
      <c r="AC66" s="26">
        <f>B66</f>
        <v/>
      </c>
      <c r="AD66" s="27">
        <f>(VLOOKUP(AC66,B:Y,MATCH($AE$6,$B$1:$Y$1,),))</f>
        <v/>
      </c>
      <c r="AE66" s="27">
        <f>(VLOOKUP(AC66,B:Y,MATCH($AE$7,$B$1:$Y$1,),))</f>
        <v/>
      </c>
      <c r="AF66" s="27">
        <f>AD66-AE66</f>
        <v/>
      </c>
    </row>
    <row r="67" hidden="1" s="68">
      <c r="B67" s="24" t="inlineStr">
        <is>
          <t>2014-Q1</t>
        </is>
      </c>
      <c r="C67" s="25">
        <f>VLOOKUP(B67,'Data yoy'!#REF!,MATCH($C$1,'Data yoy'!#REF!,),)</f>
        <v/>
      </c>
      <c r="D67" s="25">
        <f>VLOOKUP(B67,'Data yoy'!#REF!,MATCH($D$1,'Data yoy'!#REF!,),)</f>
        <v/>
      </c>
      <c r="E67" s="25">
        <f>VLOOKUP(B67,'Data yoy'!#REF!,MATCH($E$1,'Data yoy'!#REF!,),)</f>
        <v/>
      </c>
      <c r="F67" s="25">
        <f>VLOOKUP(B67,'Data yoy'!#REF!,MATCH($F$1,'Data yoy'!#REF!,),)</f>
        <v/>
      </c>
      <c r="G67" s="25">
        <f>VLOOKUP(B67,'Data yoy'!#REF!,MATCH($G$1,'Data yoy'!#REF!,),)</f>
        <v/>
      </c>
      <c r="H67" s="25">
        <f>VLOOKUP(B67,'Data yoy'!#REF!,MATCH($H$1,'Data yoy'!#REF!,),)</f>
        <v/>
      </c>
      <c r="I67" s="25">
        <f>VLOOKUP(B67,'Data yoy'!#REF!,MATCH($I$1,'Data yoy'!#REF!,),)</f>
        <v/>
      </c>
      <c r="J67" s="25">
        <f>VLOOKUP(B67,'Data yoy'!#REF!,MATCH($J$1,'Data yoy'!#REF!,),)</f>
        <v/>
      </c>
      <c r="K67" s="25">
        <f>VLOOKUP(B67,'Data yoy'!#REF!,MATCH($K$1,'Data yoy'!#REF!,),)</f>
        <v/>
      </c>
      <c r="L67" s="25">
        <f>VLOOKUP(B67,'Data yoy'!#REF!,MATCH($L$1,'Data yoy'!#REF!,),)</f>
        <v/>
      </c>
      <c r="M67" s="25">
        <f>VLOOKUP(B67,'Data yoy'!#REF!,MATCH($M$1,'Data yoy'!#REF!,),)</f>
        <v/>
      </c>
      <c r="N67" s="25">
        <f>VLOOKUP(B67,'Data yoy'!#REF!,MATCH($N$1,'Data yoy'!#REF!,),)</f>
        <v/>
      </c>
      <c r="O67" s="25">
        <f>VLOOKUP(B67,'Data yoy'!#REF!,MATCH($C$1,'Data yoy'!#REF!,),)</f>
        <v/>
      </c>
      <c r="P67" s="25">
        <f>VLOOKUP(B67,'Data yoy'!#REF!,MATCH($P$1,'Data yoy'!#REF!,),)</f>
        <v/>
      </c>
      <c r="Q67" s="25">
        <f>VLOOKUP(B67,'Data yoy'!#REF!,MATCH($Q$1,'Data yoy'!#REF!,),)</f>
        <v/>
      </c>
      <c r="R67" s="25">
        <f>VLOOKUP(B67,'Data yoy'!#REF!,MATCH($E$1,'Data yoy'!#REF!,),)</f>
        <v/>
      </c>
      <c r="S67" s="25">
        <f>VLOOKUP(B67,'Data yoy'!#REF!,MATCH($S$1,'Data yoy'!#REF!,),)</f>
        <v/>
      </c>
      <c r="T67" s="25">
        <f>VLOOKUP(B67,'Data yoy'!#REF!,MATCH($T$1,'Data yoy'!#REF!,),)</f>
        <v/>
      </c>
      <c r="U67" s="25">
        <f>VLOOKUP(B67,'Data yoy'!#REF!,MATCH($U$1,'Data yoy'!#REF!,),)</f>
        <v/>
      </c>
      <c r="V67" s="25">
        <f>VLOOKUP(B67,'Data yoy'!#REF!,MATCH($V$1,'Data yoy'!#REF!,),)</f>
        <v/>
      </c>
      <c r="W67" s="25">
        <f>VLOOKUP(B67,'Data yoy'!#REF!,MATCH($W$1,'Data yoy'!#REF!,),)</f>
        <v/>
      </c>
      <c r="X67" s="25">
        <f>VLOOKUP(B67,'Data yoy'!#REF!,MATCH($X$1,'Data yoy'!#REF!,),)</f>
        <v/>
      </c>
      <c r="Y67" s="25">
        <f>VLOOKUP(B67,'Data yoy'!#REF!,MATCH($Y$1,'Data yoy'!#REF!,),)</f>
        <v/>
      </c>
      <c r="Z67" s="25">
        <f>VLOOKUP(B67,'Data yoy'!#REF!,MATCH($Z$1,'Data yoy'!#REF!,),)</f>
        <v/>
      </c>
      <c r="AA67" s="25">
        <f>VLOOKUP(B67,'Data yoy'!#REF!,MATCH($AA$1,'Data yoy'!#REF!,),)</f>
        <v/>
      </c>
      <c r="AB67" s="74" t="n"/>
      <c r="AC67" s="26">
        <f>B67</f>
        <v/>
      </c>
      <c r="AD67" s="27">
        <f>(VLOOKUP(AC67,B:Y,MATCH($AE$6,$B$1:$Y$1,),))</f>
        <v/>
      </c>
      <c r="AE67" s="27">
        <f>(VLOOKUP(AC67,B:Y,MATCH($AE$7,$B$1:$Y$1,),))</f>
        <v/>
      </c>
      <c r="AF67" s="27">
        <f>AD67-AE67</f>
        <v/>
      </c>
    </row>
    <row r="68" hidden="1" s="68">
      <c r="B68" s="24" t="inlineStr">
        <is>
          <t>2014-Q2</t>
        </is>
      </c>
      <c r="C68" s="25">
        <f>VLOOKUP(B68,'Data yoy'!#REF!,MATCH($C$1,'Data yoy'!#REF!,),)</f>
        <v/>
      </c>
      <c r="D68" s="25">
        <f>VLOOKUP(B68,'Data yoy'!#REF!,MATCH($D$1,'Data yoy'!#REF!,),)</f>
        <v/>
      </c>
      <c r="E68" s="25">
        <f>VLOOKUP(B68,'Data yoy'!#REF!,MATCH($E$1,'Data yoy'!#REF!,),)</f>
        <v/>
      </c>
      <c r="F68" s="25">
        <f>VLOOKUP(B68,'Data yoy'!#REF!,MATCH($F$1,'Data yoy'!#REF!,),)</f>
        <v/>
      </c>
      <c r="G68" s="25">
        <f>VLOOKUP(B68,'Data yoy'!#REF!,MATCH($G$1,'Data yoy'!#REF!,),)</f>
        <v/>
      </c>
      <c r="H68" s="25">
        <f>VLOOKUP(B68,'Data yoy'!#REF!,MATCH($H$1,'Data yoy'!#REF!,),)</f>
        <v/>
      </c>
      <c r="I68" s="25">
        <f>VLOOKUP(B68,'Data yoy'!#REF!,MATCH($I$1,'Data yoy'!#REF!,),)</f>
        <v/>
      </c>
      <c r="J68" s="25">
        <f>VLOOKUP(B68,'Data yoy'!#REF!,MATCH($J$1,'Data yoy'!#REF!,),)</f>
        <v/>
      </c>
      <c r="K68" s="25">
        <f>VLOOKUP(B68,'Data yoy'!#REF!,MATCH($K$1,'Data yoy'!#REF!,),)</f>
        <v/>
      </c>
      <c r="L68" s="25">
        <f>VLOOKUP(B68,'Data yoy'!#REF!,MATCH($L$1,'Data yoy'!#REF!,),)</f>
        <v/>
      </c>
      <c r="M68" s="25">
        <f>VLOOKUP(B68,'Data yoy'!#REF!,MATCH($M$1,'Data yoy'!#REF!,),)</f>
        <v/>
      </c>
      <c r="N68" s="25">
        <f>VLOOKUP(B68,'Data yoy'!#REF!,MATCH($N$1,'Data yoy'!#REF!,),)</f>
        <v/>
      </c>
      <c r="O68" s="25">
        <f>VLOOKUP(B68,'Data yoy'!#REF!,MATCH($C$1,'Data yoy'!#REF!,),)</f>
        <v/>
      </c>
      <c r="P68" s="25">
        <f>VLOOKUP(B68,'Data yoy'!#REF!,MATCH($P$1,'Data yoy'!#REF!,),)</f>
        <v/>
      </c>
      <c r="Q68" s="25">
        <f>VLOOKUP(B68,'Data yoy'!#REF!,MATCH($Q$1,'Data yoy'!#REF!,),)</f>
        <v/>
      </c>
      <c r="R68" s="25">
        <f>VLOOKUP(B68,'Data yoy'!#REF!,MATCH($E$1,'Data yoy'!#REF!,),)</f>
        <v/>
      </c>
      <c r="S68" s="25">
        <f>VLOOKUP(B68,'Data yoy'!#REF!,MATCH($S$1,'Data yoy'!#REF!,),)</f>
        <v/>
      </c>
      <c r="T68" s="25">
        <f>VLOOKUP(B68,'Data yoy'!#REF!,MATCH($T$1,'Data yoy'!#REF!,),)</f>
        <v/>
      </c>
      <c r="U68" s="25">
        <f>VLOOKUP(B68,'Data yoy'!#REF!,MATCH($U$1,'Data yoy'!#REF!,),)</f>
        <v/>
      </c>
      <c r="V68" s="25">
        <f>VLOOKUP(B68,'Data yoy'!#REF!,MATCH($V$1,'Data yoy'!#REF!,),)</f>
        <v/>
      </c>
      <c r="W68" s="25">
        <f>VLOOKUP(B68,'Data yoy'!#REF!,MATCH($W$1,'Data yoy'!#REF!,),)</f>
        <v/>
      </c>
      <c r="X68" s="25">
        <f>VLOOKUP(B68,'Data yoy'!#REF!,MATCH($X$1,'Data yoy'!#REF!,),)</f>
        <v/>
      </c>
      <c r="Y68" s="25">
        <f>VLOOKUP(B68,'Data yoy'!#REF!,MATCH($Y$1,'Data yoy'!#REF!,),)</f>
        <v/>
      </c>
      <c r="Z68" s="25">
        <f>VLOOKUP(B68,'Data yoy'!#REF!,MATCH($Z$1,'Data yoy'!#REF!,),)</f>
        <v/>
      </c>
      <c r="AA68" s="25">
        <f>VLOOKUP(B68,'Data yoy'!#REF!,MATCH($AA$1,'Data yoy'!#REF!,),)</f>
        <v/>
      </c>
      <c r="AB68" s="74" t="n"/>
      <c r="AC68" s="26">
        <f>B68</f>
        <v/>
      </c>
      <c r="AD68" s="27">
        <f>(VLOOKUP(AC68,B:Y,MATCH($AE$6,$B$1:$Y$1,),))</f>
        <v/>
      </c>
      <c r="AE68" s="27">
        <f>(VLOOKUP(AC68,B:Y,MATCH($AE$7,$B$1:$Y$1,),))</f>
        <v/>
      </c>
      <c r="AF68" s="27">
        <f>AD68-AE68</f>
        <v/>
      </c>
    </row>
    <row r="69" hidden="1" s="68">
      <c r="B69" s="24" t="inlineStr">
        <is>
          <t>2014-Q3</t>
        </is>
      </c>
      <c r="C69" s="25">
        <f>VLOOKUP(B69,'Data yoy'!#REF!,MATCH($C$1,'Data yoy'!#REF!,),)</f>
        <v/>
      </c>
      <c r="D69" s="25">
        <f>VLOOKUP(B69,'Data yoy'!#REF!,MATCH($D$1,'Data yoy'!#REF!,),)</f>
        <v/>
      </c>
      <c r="E69" s="25">
        <f>VLOOKUP(B69,'Data yoy'!#REF!,MATCH($E$1,'Data yoy'!#REF!,),)</f>
        <v/>
      </c>
      <c r="F69" s="25">
        <f>VLOOKUP(B69,'Data yoy'!#REF!,MATCH($F$1,'Data yoy'!#REF!,),)</f>
        <v/>
      </c>
      <c r="G69" s="25">
        <f>VLOOKUP(B69,'Data yoy'!#REF!,MATCH($G$1,'Data yoy'!#REF!,),)</f>
        <v/>
      </c>
      <c r="H69" s="25">
        <f>VLOOKUP(B69,'Data yoy'!#REF!,MATCH($H$1,'Data yoy'!#REF!,),)</f>
        <v/>
      </c>
      <c r="I69" s="25">
        <f>VLOOKUP(B69,'Data yoy'!#REF!,MATCH($I$1,'Data yoy'!#REF!,),)</f>
        <v/>
      </c>
      <c r="J69" s="25">
        <f>VLOOKUP(B69,'Data yoy'!#REF!,MATCH($J$1,'Data yoy'!#REF!,),)</f>
        <v/>
      </c>
      <c r="K69" s="25">
        <f>VLOOKUP(B69,'Data yoy'!#REF!,MATCH($K$1,'Data yoy'!#REF!,),)</f>
        <v/>
      </c>
      <c r="L69" s="25">
        <f>VLOOKUP(B69,'Data yoy'!#REF!,MATCH($L$1,'Data yoy'!#REF!,),)</f>
        <v/>
      </c>
      <c r="M69" s="25">
        <f>VLOOKUP(B69,'Data yoy'!#REF!,MATCH($M$1,'Data yoy'!#REF!,),)</f>
        <v/>
      </c>
      <c r="N69" s="25">
        <f>VLOOKUP(B69,'Data yoy'!#REF!,MATCH($N$1,'Data yoy'!#REF!,),)</f>
        <v/>
      </c>
      <c r="O69" s="25">
        <f>VLOOKUP(B69,'Data yoy'!#REF!,MATCH($C$1,'Data yoy'!#REF!,),)</f>
        <v/>
      </c>
      <c r="P69" s="25">
        <f>VLOOKUP(B69,'Data yoy'!#REF!,MATCH($P$1,'Data yoy'!#REF!,),)</f>
        <v/>
      </c>
      <c r="Q69" s="25">
        <f>VLOOKUP(B69,'Data yoy'!#REF!,MATCH($Q$1,'Data yoy'!#REF!,),)</f>
        <v/>
      </c>
      <c r="R69" s="25">
        <f>VLOOKUP(B69,'Data yoy'!#REF!,MATCH($E$1,'Data yoy'!#REF!,),)</f>
        <v/>
      </c>
      <c r="S69" s="25">
        <f>VLOOKUP(B69,'Data yoy'!#REF!,MATCH($S$1,'Data yoy'!#REF!,),)</f>
        <v/>
      </c>
      <c r="T69" s="25">
        <f>VLOOKUP(B69,'Data yoy'!#REF!,MATCH($T$1,'Data yoy'!#REF!,),)</f>
        <v/>
      </c>
      <c r="U69" s="25">
        <f>VLOOKUP(B69,'Data yoy'!#REF!,MATCH($U$1,'Data yoy'!#REF!,),)</f>
        <v/>
      </c>
      <c r="V69" s="25">
        <f>VLOOKUP(B69,'Data yoy'!#REF!,MATCH($V$1,'Data yoy'!#REF!,),)</f>
        <v/>
      </c>
      <c r="W69" s="25">
        <f>VLOOKUP(B69,'Data yoy'!#REF!,MATCH($W$1,'Data yoy'!#REF!,),)</f>
        <v/>
      </c>
      <c r="X69" s="25">
        <f>VLOOKUP(B69,'Data yoy'!#REF!,MATCH($X$1,'Data yoy'!#REF!,),)</f>
        <v/>
      </c>
      <c r="Y69" s="25">
        <f>VLOOKUP(B69,'Data yoy'!#REF!,MATCH($Y$1,'Data yoy'!#REF!,),)</f>
        <v/>
      </c>
      <c r="Z69" s="25">
        <f>VLOOKUP(B69,'Data yoy'!#REF!,MATCH($Z$1,'Data yoy'!#REF!,),)</f>
        <v/>
      </c>
      <c r="AA69" s="25">
        <f>VLOOKUP(B69,'Data yoy'!#REF!,MATCH($AA$1,'Data yoy'!#REF!,),)</f>
        <v/>
      </c>
      <c r="AB69" s="74" t="n"/>
      <c r="AC69" s="26">
        <f>B69</f>
        <v/>
      </c>
      <c r="AD69" s="27">
        <f>(VLOOKUP(AC69,B:Y,MATCH($AE$6,$B$1:$Y$1,),))</f>
        <v/>
      </c>
      <c r="AE69" s="27">
        <f>(VLOOKUP(AC69,B:Y,MATCH($AE$7,$B$1:$Y$1,),))</f>
        <v/>
      </c>
      <c r="AF69" s="27">
        <f>AD69-AE69</f>
        <v/>
      </c>
    </row>
    <row r="70" hidden="1" s="68">
      <c r="B70" s="24" t="inlineStr">
        <is>
          <t>2014-Q4</t>
        </is>
      </c>
      <c r="C70" s="25">
        <f>VLOOKUP(B70,'Data yoy'!#REF!,MATCH($C$1,'Data yoy'!#REF!,),)</f>
        <v/>
      </c>
      <c r="D70" s="25">
        <f>VLOOKUP(B70,'Data yoy'!#REF!,MATCH($D$1,'Data yoy'!#REF!,),)</f>
        <v/>
      </c>
      <c r="E70" s="25">
        <f>VLOOKUP(B70,'Data yoy'!#REF!,MATCH($E$1,'Data yoy'!#REF!,),)</f>
        <v/>
      </c>
      <c r="F70" s="25">
        <f>VLOOKUP(B70,'Data yoy'!#REF!,MATCH($F$1,'Data yoy'!#REF!,),)</f>
        <v/>
      </c>
      <c r="G70" s="25">
        <f>VLOOKUP(B70,'Data yoy'!#REF!,MATCH($G$1,'Data yoy'!#REF!,),)</f>
        <v/>
      </c>
      <c r="H70" s="25">
        <f>VLOOKUP(B70,'Data yoy'!#REF!,MATCH($H$1,'Data yoy'!#REF!,),)</f>
        <v/>
      </c>
      <c r="I70" s="25">
        <f>VLOOKUP(B70,'Data yoy'!#REF!,MATCH($I$1,'Data yoy'!#REF!,),)</f>
        <v/>
      </c>
      <c r="J70" s="25">
        <f>VLOOKUP(B70,'Data yoy'!#REF!,MATCH($J$1,'Data yoy'!#REF!,),)</f>
        <v/>
      </c>
      <c r="K70" s="25">
        <f>VLOOKUP(B70,'Data yoy'!#REF!,MATCH($K$1,'Data yoy'!#REF!,),)</f>
        <v/>
      </c>
      <c r="L70" s="25">
        <f>VLOOKUP(B70,'Data yoy'!#REF!,MATCH($L$1,'Data yoy'!#REF!,),)</f>
        <v/>
      </c>
      <c r="M70" s="25">
        <f>VLOOKUP(B70,'Data yoy'!#REF!,MATCH($M$1,'Data yoy'!#REF!,),)</f>
        <v/>
      </c>
      <c r="N70" s="25">
        <f>VLOOKUP(B70,'Data yoy'!#REF!,MATCH($N$1,'Data yoy'!#REF!,),)</f>
        <v/>
      </c>
      <c r="O70" s="25">
        <f>VLOOKUP(B70,'Data yoy'!#REF!,MATCH($C$1,'Data yoy'!#REF!,),)</f>
        <v/>
      </c>
      <c r="P70" s="25">
        <f>VLOOKUP(B70,'Data yoy'!#REF!,MATCH($P$1,'Data yoy'!#REF!,),)</f>
        <v/>
      </c>
      <c r="Q70" s="25">
        <f>VLOOKUP(B70,'Data yoy'!#REF!,MATCH($Q$1,'Data yoy'!#REF!,),)</f>
        <v/>
      </c>
      <c r="R70" s="25">
        <f>VLOOKUP(B70,'Data yoy'!#REF!,MATCH($E$1,'Data yoy'!#REF!,),)</f>
        <v/>
      </c>
      <c r="S70" s="25">
        <f>VLOOKUP(B70,'Data yoy'!#REF!,MATCH($S$1,'Data yoy'!#REF!,),)</f>
        <v/>
      </c>
      <c r="T70" s="25">
        <f>VLOOKUP(B70,'Data yoy'!#REF!,MATCH($T$1,'Data yoy'!#REF!,),)</f>
        <v/>
      </c>
      <c r="U70" s="25">
        <f>VLOOKUP(B70,'Data yoy'!#REF!,MATCH($U$1,'Data yoy'!#REF!,),)</f>
        <v/>
      </c>
      <c r="V70" s="25">
        <f>VLOOKUP(B70,'Data yoy'!#REF!,MATCH($V$1,'Data yoy'!#REF!,),)</f>
        <v/>
      </c>
      <c r="W70" s="25">
        <f>VLOOKUP(B70,'Data yoy'!#REF!,MATCH($W$1,'Data yoy'!#REF!,),)</f>
        <v/>
      </c>
      <c r="X70" s="25">
        <f>VLOOKUP(B70,'Data yoy'!#REF!,MATCH($X$1,'Data yoy'!#REF!,),)</f>
        <v/>
      </c>
      <c r="Y70" s="25">
        <f>VLOOKUP(B70,'Data yoy'!#REF!,MATCH($Y$1,'Data yoy'!#REF!,),)</f>
        <v/>
      </c>
      <c r="Z70" s="25">
        <f>VLOOKUP(B70,'Data yoy'!#REF!,MATCH($Z$1,'Data yoy'!#REF!,),)</f>
        <v/>
      </c>
      <c r="AA70" s="25">
        <f>VLOOKUP(B70,'Data yoy'!#REF!,MATCH($AA$1,'Data yoy'!#REF!,),)</f>
        <v/>
      </c>
      <c r="AB70" s="74" t="n"/>
      <c r="AC70" s="26">
        <f>B70</f>
        <v/>
      </c>
      <c r="AD70" s="27">
        <f>(VLOOKUP(AC70,B:Y,MATCH($AE$6,$B$1:$Y$1,),))</f>
        <v/>
      </c>
      <c r="AE70" s="27">
        <f>(VLOOKUP(AC70,B:Y,MATCH($AE$7,$B$1:$Y$1,),))</f>
        <v/>
      </c>
      <c r="AF70" s="27">
        <f>AD70-AE70</f>
        <v/>
      </c>
    </row>
    <row r="71">
      <c r="B71" s="24" t="inlineStr">
        <is>
          <t>2015-Q1</t>
        </is>
      </c>
      <c r="C71" s="25">
        <f>VLOOKUP(B71,'Data yoy'!$A:$AW,MATCH($C$1,'Data yoy'!$A$1:$AW$1,),)</f>
        <v/>
      </c>
      <c r="D71" s="25">
        <f>VLOOKUP(B71,'Data yoy'!$A:$AW,MATCH($D$1,'Data yoy'!$A$1:$AW$1,),)</f>
        <v/>
      </c>
      <c r="E71" s="25">
        <f>VLOOKUP(B71,'Data yoy'!$A:$AW,MATCH($E$1,'Data yoy'!$A$1:$AW$1,),)</f>
        <v/>
      </c>
      <c r="F71" s="25">
        <f>VLOOKUP(B71,'Data yoy'!$A:$AW,MATCH($F$1,'Data yoy'!$A$1:$AW$1,),)</f>
        <v/>
      </c>
      <c r="G71" s="25">
        <f>VLOOKUP(B71,'Data yoy'!$A:$AW,MATCH($G$1,'Data yoy'!$A$1:$AW$1,),)</f>
        <v/>
      </c>
      <c r="H71" s="25">
        <f>VLOOKUP(B71,'Data yoy'!$A:$AW,MATCH($H$1,'Data yoy'!$A$1:$AW$1,),)</f>
        <v/>
      </c>
      <c r="I71" s="25">
        <f>VLOOKUP(B71,'Data yoy'!$A:$AW,MATCH($I$1,'Data yoy'!$A$1:$AW$1,),)</f>
        <v/>
      </c>
      <c r="J71" s="25">
        <f>VLOOKUP(B71,'Data yoy'!$A:$AW,MATCH($J$1,'Data yoy'!$A$1:$AW$1,),)</f>
        <v/>
      </c>
      <c r="K71" s="25">
        <f>VLOOKUP(B71,'Data yoy'!$A:$AW,MATCH($K$1,'Data yoy'!$A$1:$AW$1,),)</f>
        <v/>
      </c>
      <c r="L71" s="25">
        <f>VLOOKUP(B71,'Data yoy'!$A:$AW,MATCH($L$1,'Data yoy'!$A$1:$AW$1,),)</f>
        <v/>
      </c>
      <c r="M71" s="25">
        <f>VLOOKUP(B71,'Data yoy'!$A:$AW,MATCH($M$1,'Data yoy'!$A$1:$AW$1,),)</f>
        <v/>
      </c>
      <c r="N71" s="25">
        <f>VLOOKUP(B71,'Data yoy'!$A:$AW,MATCH($N$1,'Data yoy'!$A$1:$AW$1,),)</f>
        <v/>
      </c>
      <c r="O71" s="25">
        <f>VLOOKUP(B71,'Data yoy'!$A:$AW,MATCH($O$1,'Data yoy'!$A$1:$AW$1,),)</f>
        <v/>
      </c>
      <c r="P71" s="25">
        <f>VLOOKUP(B71,'Data yoy'!$A:$AW,MATCH($P$1,'Data yoy'!$A$1:$AW$1,),)</f>
        <v/>
      </c>
      <c r="Q71" s="25">
        <f>VLOOKUP(B71,'Data yoy'!$A:$AW,MATCH($Q$1,'Data yoy'!$A$1:$AW$1,),)</f>
        <v/>
      </c>
      <c r="R71" s="25">
        <f>VLOOKUP(B71,'Data yoy'!$A:$AW,MATCH($R$1,'Data yoy'!$A$1:$AW$1,),)</f>
        <v/>
      </c>
      <c r="S71" s="25">
        <f>VLOOKUP(B71,'Data yoy'!$A:$AW,MATCH($S$1,'Data yoy'!$A$1:$AW$1,),)</f>
        <v/>
      </c>
      <c r="T71" s="25">
        <f>VLOOKUP(B71,'Data yoy'!$A:$AW,MATCH($T$1,'Data yoy'!$A$1:$AW$1,),)</f>
        <v/>
      </c>
      <c r="U71" s="25">
        <f>VLOOKUP(B71,'Data yoy'!$A:$AW,MATCH($U$1,'Data yoy'!$A$1:$AW$1,),)</f>
        <v/>
      </c>
      <c r="V71" s="25">
        <f>VLOOKUP(B71,'Data yoy'!$A:$AW,MATCH($V$1,'Data yoy'!$A$1:$AW$1,),)</f>
        <v/>
      </c>
      <c r="W71" s="25">
        <f>VLOOKUP(B71,'Data yoy'!$A:$AW,MATCH($W$1,'Data yoy'!$A$1:$AW$1,),)</f>
        <v/>
      </c>
      <c r="X71" s="25">
        <f>VLOOKUP(B71,'Data yoy'!$A:$AW,MATCH($X$1,'Data yoy'!$A$1:$AW$1,),)</f>
        <v/>
      </c>
      <c r="Y71" s="25">
        <f>VLOOKUP(B71,'Data yoy'!$A:$AW,MATCH($Y$1,'Data yoy'!$A$1:$AW$1,),)</f>
        <v/>
      </c>
      <c r="Z71" s="25">
        <f>VLOOKUP(B71,'Data yoy'!$A:$AW,MATCH($Z$1,'Data yoy'!$A$1:$AW$1,),)</f>
        <v/>
      </c>
      <c r="AA71" s="25">
        <f>VLOOKUP(B71,'Data yoy'!$A:$AW,MATCH($AA$1,'Data yoy'!$A$1:$AW$1,),)</f>
        <v/>
      </c>
      <c r="AB71" s="74" t="n"/>
      <c r="AC71" s="26">
        <f>B71</f>
        <v/>
      </c>
      <c r="AD71" s="27">
        <f>(VLOOKUP(AC71,B:Y,MATCH($AE$6,$B$1:$Y$1,),))</f>
        <v/>
      </c>
      <c r="AE71" s="27">
        <f>(VLOOKUP(AC71,B:Y,MATCH($AE$7,$B$1:$Y$1,),))</f>
        <v/>
      </c>
      <c r="AF71" s="27">
        <f>AD71-AE71</f>
        <v/>
      </c>
    </row>
    <row r="72">
      <c r="B72" s="24" t="inlineStr">
        <is>
          <t>2015-Q2</t>
        </is>
      </c>
      <c r="C72" s="25">
        <f>VLOOKUP(B72,'Data yoy'!$A:$AW,MATCH($C$1,'Data yoy'!$A$1:$AW$1,),)</f>
        <v/>
      </c>
      <c r="D72" s="25">
        <f>VLOOKUP(B72,'Data yoy'!$A:$AW,MATCH($D$1,'Data yoy'!$A$1:$AW$1,),)</f>
        <v/>
      </c>
      <c r="E72" s="25">
        <f>VLOOKUP(B72,'Data yoy'!$A:$AW,MATCH($E$1,'Data yoy'!$A$1:$AW$1,),)</f>
        <v/>
      </c>
      <c r="F72" s="25">
        <f>VLOOKUP(B72,'Data yoy'!$A:$AW,MATCH($F$1,'Data yoy'!$A$1:$AW$1,),)</f>
        <v/>
      </c>
      <c r="G72" s="25">
        <f>VLOOKUP(B72,'Data yoy'!$A:$AW,MATCH($G$1,'Data yoy'!$A$1:$AW$1,),)</f>
        <v/>
      </c>
      <c r="H72" s="25">
        <f>VLOOKUP(B72,'Data yoy'!$A:$AW,MATCH($H$1,'Data yoy'!$A$1:$AW$1,),)</f>
        <v/>
      </c>
      <c r="I72" s="25">
        <f>VLOOKUP(B72,'Data yoy'!$A:$AW,MATCH($I$1,'Data yoy'!$A$1:$AW$1,),)</f>
        <v/>
      </c>
      <c r="J72" s="25">
        <f>VLOOKUP(B72,'Data yoy'!$A:$AW,MATCH($J$1,'Data yoy'!$A$1:$AW$1,),)</f>
        <v/>
      </c>
      <c r="K72" s="25">
        <f>VLOOKUP(B72,'Data yoy'!$A:$AW,MATCH($K$1,'Data yoy'!$A$1:$AW$1,),)</f>
        <v/>
      </c>
      <c r="L72" s="25">
        <f>VLOOKUP(B72,'Data yoy'!$A:$AW,MATCH($L$1,'Data yoy'!$A$1:$AW$1,),)</f>
        <v/>
      </c>
      <c r="M72" s="25">
        <f>VLOOKUP(B72,'Data yoy'!$A:$AW,MATCH($M$1,'Data yoy'!$A$1:$AW$1,),)</f>
        <v/>
      </c>
      <c r="N72" s="25">
        <f>VLOOKUP(B72,'Data yoy'!$A:$AW,MATCH($N$1,'Data yoy'!$A$1:$AW$1,),)</f>
        <v/>
      </c>
      <c r="O72" s="25">
        <f>VLOOKUP(B72,'Data yoy'!$A:$AW,MATCH($O$1,'Data yoy'!$A$1:$AW$1,),)</f>
        <v/>
      </c>
      <c r="P72" s="25">
        <f>VLOOKUP(B72,'Data yoy'!$A:$AW,MATCH($P$1,'Data yoy'!$A$1:$AW$1,),)</f>
        <v/>
      </c>
      <c r="Q72" s="25">
        <f>VLOOKUP(B72,'Data yoy'!$A:$AW,MATCH($Q$1,'Data yoy'!$A$1:$AW$1,),)</f>
        <v/>
      </c>
      <c r="R72" s="25">
        <f>VLOOKUP(B72,'Data yoy'!$A:$AW,MATCH($R$1,'Data yoy'!$A$1:$AW$1,),)</f>
        <v/>
      </c>
      <c r="S72" s="25">
        <f>VLOOKUP(B72,'Data yoy'!$A:$AW,MATCH($S$1,'Data yoy'!$A$1:$AW$1,),)</f>
        <v/>
      </c>
      <c r="T72" s="25">
        <f>VLOOKUP(B72,'Data yoy'!$A:$AW,MATCH($T$1,'Data yoy'!$A$1:$AW$1,),)</f>
        <v/>
      </c>
      <c r="U72" s="25">
        <f>VLOOKUP(B72,'Data yoy'!$A:$AW,MATCH($U$1,'Data yoy'!$A$1:$AW$1,),)</f>
        <v/>
      </c>
      <c r="V72" s="25">
        <f>VLOOKUP(B72,'Data yoy'!$A:$AW,MATCH($V$1,'Data yoy'!$A$1:$AW$1,),)</f>
        <v/>
      </c>
      <c r="W72" s="25">
        <f>VLOOKUP(B72,'Data yoy'!$A:$AW,MATCH($W$1,'Data yoy'!$A$1:$AW$1,),)</f>
        <v/>
      </c>
      <c r="X72" s="25">
        <f>VLOOKUP(B72,'Data yoy'!$A:$AW,MATCH($X$1,'Data yoy'!$A$1:$AW$1,),)</f>
        <v/>
      </c>
      <c r="Y72" s="25">
        <f>VLOOKUP(B72,'Data yoy'!$A:$AW,MATCH($Y$1,'Data yoy'!$A$1:$AW$1,),)</f>
        <v/>
      </c>
      <c r="Z72" s="25">
        <f>VLOOKUP(B72,'Data yoy'!$A:$AW,MATCH($Z$1,'Data yoy'!$A$1:$AW$1,),)</f>
        <v/>
      </c>
      <c r="AA72" s="25">
        <f>VLOOKUP(B72,'Data yoy'!$A:$AW,MATCH($AA$1,'Data yoy'!$A$1:$AW$1,),)</f>
        <v/>
      </c>
      <c r="AB72" s="74" t="n"/>
      <c r="AC72" s="26">
        <f>B72</f>
        <v/>
      </c>
      <c r="AD72" s="27">
        <f>(VLOOKUP(AC72,B:Y,MATCH($AE$6,$B$1:$Y$1,),))</f>
        <v/>
      </c>
      <c r="AE72" s="27">
        <f>(VLOOKUP(AC72,B:Y,MATCH($AE$7,$B$1:$Y$1,),))</f>
        <v/>
      </c>
      <c r="AF72" s="27">
        <f>AD72-AE72</f>
        <v/>
      </c>
    </row>
    <row r="73">
      <c r="B73" s="24" t="inlineStr">
        <is>
          <t>2015-Q3</t>
        </is>
      </c>
      <c r="C73" s="25">
        <f>VLOOKUP(B73,'Data yoy'!$A:$AW,MATCH($C$1,'Data yoy'!$A$1:$AW$1,),)</f>
        <v/>
      </c>
      <c r="D73" s="25">
        <f>VLOOKUP(B73,'Data yoy'!$A:$AW,MATCH($D$1,'Data yoy'!$A$1:$AW$1,),)</f>
        <v/>
      </c>
      <c r="E73" s="25">
        <f>VLOOKUP(B73,'Data yoy'!$A:$AW,MATCH($E$1,'Data yoy'!$A$1:$AW$1,),)</f>
        <v/>
      </c>
      <c r="F73" s="25">
        <f>VLOOKUP(B73,'Data yoy'!$A:$AW,MATCH($F$1,'Data yoy'!$A$1:$AW$1,),)</f>
        <v/>
      </c>
      <c r="G73" s="25">
        <f>VLOOKUP(B73,'Data yoy'!$A:$AW,MATCH($G$1,'Data yoy'!$A$1:$AW$1,),)</f>
        <v/>
      </c>
      <c r="H73" s="25">
        <f>VLOOKUP(B73,'Data yoy'!$A:$AW,MATCH($H$1,'Data yoy'!$A$1:$AW$1,),)</f>
        <v/>
      </c>
      <c r="I73" s="25">
        <f>VLOOKUP(B73,'Data yoy'!$A:$AW,MATCH($I$1,'Data yoy'!$A$1:$AW$1,),)</f>
        <v/>
      </c>
      <c r="J73" s="25">
        <f>VLOOKUP(B73,'Data yoy'!$A:$AW,MATCH($J$1,'Data yoy'!$A$1:$AW$1,),)</f>
        <v/>
      </c>
      <c r="K73" s="25">
        <f>VLOOKUP(B73,'Data yoy'!$A:$AW,MATCH($K$1,'Data yoy'!$A$1:$AW$1,),)</f>
        <v/>
      </c>
      <c r="L73" s="25">
        <f>VLOOKUP(B73,'Data yoy'!$A:$AW,MATCH($L$1,'Data yoy'!$A$1:$AW$1,),)</f>
        <v/>
      </c>
      <c r="M73" s="25">
        <f>VLOOKUP(B73,'Data yoy'!$A:$AW,MATCH($M$1,'Data yoy'!$A$1:$AW$1,),)</f>
        <v/>
      </c>
      <c r="N73" s="25">
        <f>VLOOKUP(B73,'Data yoy'!$A:$AW,MATCH($N$1,'Data yoy'!$A$1:$AW$1,),)</f>
        <v/>
      </c>
      <c r="O73" s="25">
        <f>VLOOKUP(B73,'Data yoy'!$A:$AW,MATCH($O$1,'Data yoy'!$A$1:$AW$1,),)</f>
        <v/>
      </c>
      <c r="P73" s="25">
        <f>VLOOKUP(B73,'Data yoy'!$A:$AW,MATCH($P$1,'Data yoy'!$A$1:$AW$1,),)</f>
        <v/>
      </c>
      <c r="Q73" s="25">
        <f>VLOOKUP(B73,'Data yoy'!$A:$AW,MATCH($Q$1,'Data yoy'!$A$1:$AW$1,),)</f>
        <v/>
      </c>
      <c r="R73" s="25">
        <f>VLOOKUP(B73,'Data yoy'!$A:$AW,MATCH($R$1,'Data yoy'!$A$1:$AW$1,),)</f>
        <v/>
      </c>
      <c r="S73" s="25">
        <f>VLOOKUP(B73,'Data yoy'!$A:$AW,MATCH($S$1,'Data yoy'!$A$1:$AW$1,),)</f>
        <v/>
      </c>
      <c r="T73" s="25">
        <f>VLOOKUP(B73,'Data yoy'!$A:$AW,MATCH($T$1,'Data yoy'!$A$1:$AW$1,),)</f>
        <v/>
      </c>
      <c r="U73" s="25">
        <f>VLOOKUP(B73,'Data yoy'!$A:$AW,MATCH($U$1,'Data yoy'!$A$1:$AW$1,),)</f>
        <v/>
      </c>
      <c r="V73" s="25">
        <f>VLOOKUP(B73,'Data yoy'!$A:$AW,MATCH($V$1,'Data yoy'!$A$1:$AW$1,),)</f>
        <v/>
      </c>
      <c r="W73" s="25">
        <f>VLOOKUP(B73,'Data yoy'!$A:$AW,MATCH($W$1,'Data yoy'!$A$1:$AW$1,),)</f>
        <v/>
      </c>
      <c r="X73" s="25">
        <f>VLOOKUP(B73,'Data yoy'!$A:$AW,MATCH($X$1,'Data yoy'!$A$1:$AW$1,),)</f>
        <v/>
      </c>
      <c r="Y73" s="25">
        <f>VLOOKUP(B73,'Data yoy'!$A:$AW,MATCH($Y$1,'Data yoy'!$A$1:$AW$1,),)</f>
        <v/>
      </c>
      <c r="Z73" s="25">
        <f>VLOOKUP(B73,'Data yoy'!$A:$AW,MATCH($Z$1,'Data yoy'!$A$1:$AW$1,),)</f>
        <v/>
      </c>
      <c r="AA73" s="25">
        <f>VLOOKUP(B73,'Data yoy'!$A:$AW,MATCH($AA$1,'Data yoy'!$A$1:$AW$1,),)</f>
        <v/>
      </c>
      <c r="AB73" s="74" t="n"/>
      <c r="AC73" s="26">
        <f>B73</f>
        <v/>
      </c>
      <c r="AD73" s="27">
        <f>(VLOOKUP(AC73,B:Y,MATCH($AE$6,$B$1:$Y$1,),))</f>
        <v/>
      </c>
      <c r="AE73" s="27">
        <f>(VLOOKUP(AC73,B:Y,MATCH($AE$7,$B$1:$Y$1,),))</f>
        <v/>
      </c>
      <c r="AF73" s="27">
        <f>AD73-AE73</f>
        <v/>
      </c>
    </row>
    <row r="74">
      <c r="B74" s="24" t="inlineStr">
        <is>
          <t>2015-Q4</t>
        </is>
      </c>
      <c r="C74" s="25">
        <f>VLOOKUP(B74,'Data yoy'!$A:$AW,MATCH($C$1,'Data yoy'!$A$1:$AW$1,),)</f>
        <v/>
      </c>
      <c r="D74" s="25">
        <f>VLOOKUP(B74,'Data yoy'!$A:$AW,MATCH($D$1,'Data yoy'!$A$1:$AW$1,),)</f>
        <v/>
      </c>
      <c r="E74" s="25">
        <f>VLOOKUP(B74,'Data yoy'!$A:$AW,MATCH($E$1,'Data yoy'!$A$1:$AW$1,),)</f>
        <v/>
      </c>
      <c r="F74" s="25">
        <f>VLOOKUP(B74,'Data yoy'!$A:$AW,MATCH($F$1,'Data yoy'!$A$1:$AW$1,),)</f>
        <v/>
      </c>
      <c r="G74" s="25">
        <f>VLOOKUP(B74,'Data yoy'!$A:$AW,MATCH($G$1,'Data yoy'!$A$1:$AW$1,),)</f>
        <v/>
      </c>
      <c r="H74" s="25">
        <f>VLOOKUP(B74,'Data yoy'!$A:$AW,MATCH($H$1,'Data yoy'!$A$1:$AW$1,),)</f>
        <v/>
      </c>
      <c r="I74" s="25">
        <f>VLOOKUP(B74,'Data yoy'!$A:$AW,MATCH($I$1,'Data yoy'!$A$1:$AW$1,),)</f>
        <v/>
      </c>
      <c r="J74" s="25">
        <f>VLOOKUP(B74,'Data yoy'!$A:$AW,MATCH($J$1,'Data yoy'!$A$1:$AW$1,),)</f>
        <v/>
      </c>
      <c r="K74" s="25">
        <f>VLOOKUP(B74,'Data yoy'!$A:$AW,MATCH($K$1,'Data yoy'!$A$1:$AW$1,),)</f>
        <v/>
      </c>
      <c r="L74" s="25">
        <f>VLOOKUP(B74,'Data yoy'!$A:$AW,MATCH($L$1,'Data yoy'!$A$1:$AW$1,),)</f>
        <v/>
      </c>
      <c r="M74" s="25">
        <f>VLOOKUP(B74,'Data yoy'!$A:$AW,MATCH($M$1,'Data yoy'!$A$1:$AW$1,),)</f>
        <v/>
      </c>
      <c r="N74" s="25">
        <f>VLOOKUP(B74,'Data yoy'!$A:$AW,MATCH($N$1,'Data yoy'!$A$1:$AW$1,),)</f>
        <v/>
      </c>
      <c r="O74" s="25">
        <f>VLOOKUP(B74,'Data yoy'!$A:$AW,MATCH($O$1,'Data yoy'!$A$1:$AW$1,),)</f>
        <v/>
      </c>
      <c r="P74" s="25">
        <f>VLOOKUP(B74,'Data yoy'!$A:$AW,MATCH($P$1,'Data yoy'!$A$1:$AW$1,),)</f>
        <v/>
      </c>
      <c r="Q74" s="25">
        <f>VLOOKUP(B74,'Data yoy'!$A:$AW,MATCH($Q$1,'Data yoy'!$A$1:$AW$1,),)</f>
        <v/>
      </c>
      <c r="R74" s="25">
        <f>VLOOKUP(B74,'Data yoy'!$A:$AW,MATCH($R$1,'Data yoy'!$A$1:$AW$1,),)</f>
        <v/>
      </c>
      <c r="S74" s="25">
        <f>VLOOKUP(B74,'Data yoy'!$A:$AW,MATCH($S$1,'Data yoy'!$A$1:$AW$1,),)</f>
        <v/>
      </c>
      <c r="T74" s="25">
        <f>VLOOKUP(B74,'Data yoy'!$A:$AW,MATCH($T$1,'Data yoy'!$A$1:$AW$1,),)</f>
        <v/>
      </c>
      <c r="U74" s="25">
        <f>VLOOKUP(B74,'Data yoy'!$A:$AW,MATCH($U$1,'Data yoy'!$A$1:$AW$1,),)</f>
        <v/>
      </c>
      <c r="V74" s="25">
        <f>VLOOKUP(B74,'Data yoy'!$A:$AW,MATCH($V$1,'Data yoy'!$A$1:$AW$1,),)</f>
        <v/>
      </c>
      <c r="W74" s="25">
        <f>VLOOKUP(B74,'Data yoy'!$A:$AW,MATCH($W$1,'Data yoy'!$A$1:$AW$1,),)</f>
        <v/>
      </c>
      <c r="X74" s="25">
        <f>VLOOKUP(B74,'Data yoy'!$A:$AW,MATCH($X$1,'Data yoy'!$A$1:$AW$1,),)</f>
        <v/>
      </c>
      <c r="Y74" s="25">
        <f>VLOOKUP(B74,'Data yoy'!$A:$AW,MATCH($Y$1,'Data yoy'!$A$1:$AW$1,),)</f>
        <v/>
      </c>
      <c r="Z74" s="25">
        <f>VLOOKUP(B74,'Data yoy'!$A:$AW,MATCH($Z$1,'Data yoy'!$A$1:$AW$1,),)</f>
        <v/>
      </c>
      <c r="AA74" s="25">
        <f>VLOOKUP(B74,'Data yoy'!$A:$AW,MATCH($AA$1,'Data yoy'!$A$1:$AW$1,),)</f>
        <v/>
      </c>
      <c r="AB74" s="74" t="n"/>
      <c r="AC74" s="26">
        <f>B74</f>
        <v/>
      </c>
      <c r="AD74" s="27">
        <f>(VLOOKUP(AC74,B:Y,MATCH($AE$6,$B$1:$Y$1,),))</f>
        <v/>
      </c>
      <c r="AE74" s="27">
        <f>(VLOOKUP(AC74,B:Y,MATCH($AE$7,$B$1:$Y$1,),))</f>
        <v/>
      </c>
      <c r="AF74" s="27">
        <f>AD74-AE74</f>
        <v/>
      </c>
    </row>
    <row r="75">
      <c r="B75" s="24" t="inlineStr">
        <is>
          <t>2016-Q1</t>
        </is>
      </c>
      <c r="C75" s="25">
        <f>VLOOKUP(B75,'Data yoy'!$A:$AW,MATCH($C$1,'Data yoy'!$A$1:$AW$1,),)</f>
        <v/>
      </c>
      <c r="D75" s="25">
        <f>VLOOKUP(B75,'Data yoy'!$A:$AW,MATCH($D$1,'Data yoy'!$A$1:$AW$1,),)</f>
        <v/>
      </c>
      <c r="E75" s="25">
        <f>VLOOKUP(B75,'Data yoy'!$A:$AW,MATCH($E$1,'Data yoy'!$A$1:$AW$1,),)</f>
        <v/>
      </c>
      <c r="F75" s="25">
        <f>VLOOKUP(B75,'Data yoy'!$A:$AW,MATCH($F$1,'Data yoy'!$A$1:$AW$1,),)</f>
        <v/>
      </c>
      <c r="G75" s="25">
        <f>VLOOKUP(B75,'Data yoy'!$A:$AW,MATCH($G$1,'Data yoy'!$A$1:$AW$1,),)</f>
        <v/>
      </c>
      <c r="H75" s="25">
        <f>VLOOKUP(B75,'Data yoy'!$A:$AW,MATCH($H$1,'Data yoy'!$A$1:$AW$1,),)</f>
        <v/>
      </c>
      <c r="I75" s="25">
        <f>VLOOKUP(B75,'Data yoy'!$A:$AW,MATCH($I$1,'Data yoy'!$A$1:$AW$1,),)</f>
        <v/>
      </c>
      <c r="J75" s="25">
        <f>VLOOKUP(B75,'Data yoy'!$A:$AW,MATCH($J$1,'Data yoy'!$A$1:$AW$1,),)</f>
        <v/>
      </c>
      <c r="K75" s="25">
        <f>VLOOKUP(B75,'Data yoy'!$A:$AW,MATCH($K$1,'Data yoy'!$A$1:$AW$1,),)</f>
        <v/>
      </c>
      <c r="L75" s="25">
        <f>VLOOKUP(B75,'Data yoy'!$A:$AW,MATCH($L$1,'Data yoy'!$A$1:$AW$1,),)</f>
        <v/>
      </c>
      <c r="M75" s="25">
        <f>VLOOKUP(B75,'Data yoy'!$A:$AW,MATCH($M$1,'Data yoy'!$A$1:$AW$1,),)</f>
        <v/>
      </c>
      <c r="N75" s="25">
        <f>VLOOKUP(B75,'Data yoy'!$A:$AW,MATCH($N$1,'Data yoy'!$A$1:$AW$1,),)</f>
        <v/>
      </c>
      <c r="O75" s="25">
        <f>VLOOKUP(B75,'Data yoy'!$A:$AW,MATCH($O$1,'Data yoy'!$A$1:$AW$1,),)</f>
        <v/>
      </c>
      <c r="P75" s="25">
        <f>VLOOKUP(B75,'Data yoy'!$A:$AW,MATCH($P$1,'Data yoy'!$A$1:$AW$1,),)</f>
        <v/>
      </c>
      <c r="Q75" s="25">
        <f>VLOOKUP(B75,'Data yoy'!$A:$AW,MATCH($Q$1,'Data yoy'!$A$1:$AW$1,),)</f>
        <v/>
      </c>
      <c r="R75" s="25">
        <f>VLOOKUP(B75,'Data yoy'!$A:$AW,MATCH($R$1,'Data yoy'!$A$1:$AW$1,),)</f>
        <v/>
      </c>
      <c r="S75" s="25">
        <f>VLOOKUP(B75,'Data yoy'!$A:$AW,MATCH($S$1,'Data yoy'!$A$1:$AW$1,),)</f>
        <v/>
      </c>
      <c r="T75" s="25">
        <f>VLOOKUP(B75,'Data yoy'!$A:$AW,MATCH($T$1,'Data yoy'!$A$1:$AW$1,),)</f>
        <v/>
      </c>
      <c r="U75" s="25">
        <f>VLOOKUP(B75,'Data yoy'!$A:$AW,MATCH($U$1,'Data yoy'!$A$1:$AW$1,),)</f>
        <v/>
      </c>
      <c r="V75" s="25">
        <f>VLOOKUP(B75,'Data yoy'!$A:$AW,MATCH($V$1,'Data yoy'!$A$1:$AW$1,),)</f>
        <v/>
      </c>
      <c r="W75" s="25">
        <f>VLOOKUP(B75,'Data yoy'!$A:$AW,MATCH($W$1,'Data yoy'!$A$1:$AW$1,),)</f>
        <v/>
      </c>
      <c r="X75" s="25">
        <f>VLOOKUP(B75,'Data yoy'!$A:$AW,MATCH($X$1,'Data yoy'!$A$1:$AW$1,),)</f>
        <v/>
      </c>
      <c r="Y75" s="25">
        <f>VLOOKUP(B75,'Data yoy'!$A:$AW,MATCH($Y$1,'Data yoy'!$A$1:$AW$1,),)</f>
        <v/>
      </c>
      <c r="Z75" s="25">
        <f>VLOOKUP(B75,'Data yoy'!$A:$AW,MATCH($Z$1,'Data yoy'!$A$1:$AW$1,),)</f>
        <v/>
      </c>
      <c r="AA75" s="25">
        <f>VLOOKUP(B75,'Data yoy'!$A:$AW,MATCH($AA$1,'Data yoy'!$A$1:$AW$1,),)</f>
        <v/>
      </c>
      <c r="AB75" s="74" t="n"/>
      <c r="AC75" s="26">
        <f>B75</f>
        <v/>
      </c>
      <c r="AD75" s="27">
        <f>(VLOOKUP(AC75,B:Y,MATCH($AE$6,$B$1:$Y$1,),))</f>
        <v/>
      </c>
      <c r="AE75" s="27">
        <f>(VLOOKUP(AC75,B:Y,MATCH($AE$7,$B$1:$Y$1,),))</f>
        <v/>
      </c>
      <c r="AF75" s="27">
        <f>AD75-AE75</f>
        <v/>
      </c>
    </row>
    <row r="76">
      <c r="B76" s="24" t="inlineStr">
        <is>
          <t>2016-Q2</t>
        </is>
      </c>
      <c r="C76" s="25">
        <f>VLOOKUP(B76,'Data yoy'!$A:$AW,MATCH($C$1,'Data yoy'!$A$1:$AW$1,),)</f>
        <v/>
      </c>
      <c r="D76" s="25">
        <f>VLOOKUP(B76,'Data yoy'!$A:$AW,MATCH($D$1,'Data yoy'!$A$1:$AW$1,),)</f>
        <v/>
      </c>
      <c r="E76" s="25">
        <f>VLOOKUP(B76,'Data yoy'!$A:$AW,MATCH($E$1,'Data yoy'!$A$1:$AW$1,),)</f>
        <v/>
      </c>
      <c r="F76" s="25">
        <f>VLOOKUP(B76,'Data yoy'!$A:$AW,MATCH($F$1,'Data yoy'!$A$1:$AW$1,),)</f>
        <v/>
      </c>
      <c r="G76" s="25">
        <f>VLOOKUP(B76,'Data yoy'!$A:$AW,MATCH($G$1,'Data yoy'!$A$1:$AW$1,),)</f>
        <v/>
      </c>
      <c r="H76" s="25">
        <f>VLOOKUP(B76,'Data yoy'!$A:$AW,MATCH($H$1,'Data yoy'!$A$1:$AW$1,),)</f>
        <v/>
      </c>
      <c r="I76" s="25">
        <f>VLOOKUP(B76,'Data yoy'!$A:$AW,MATCH($I$1,'Data yoy'!$A$1:$AW$1,),)</f>
        <v/>
      </c>
      <c r="J76" s="25">
        <f>VLOOKUP(B76,'Data yoy'!$A:$AW,MATCH($J$1,'Data yoy'!$A$1:$AW$1,),)</f>
        <v/>
      </c>
      <c r="K76" s="25">
        <f>VLOOKUP(B76,'Data yoy'!$A:$AW,MATCH($K$1,'Data yoy'!$A$1:$AW$1,),)</f>
        <v/>
      </c>
      <c r="L76" s="25">
        <f>VLOOKUP(B76,'Data yoy'!$A:$AW,MATCH($L$1,'Data yoy'!$A$1:$AW$1,),)</f>
        <v/>
      </c>
      <c r="M76" s="25">
        <f>VLOOKUP(B76,'Data yoy'!$A:$AW,MATCH($M$1,'Data yoy'!$A$1:$AW$1,),)</f>
        <v/>
      </c>
      <c r="N76" s="25">
        <f>VLOOKUP(B76,'Data yoy'!$A:$AW,MATCH($N$1,'Data yoy'!$A$1:$AW$1,),)</f>
        <v/>
      </c>
      <c r="O76" s="25">
        <f>VLOOKUP(B76,'Data yoy'!$A:$AW,MATCH($O$1,'Data yoy'!$A$1:$AW$1,),)</f>
        <v/>
      </c>
      <c r="P76" s="25">
        <f>VLOOKUP(B76,'Data yoy'!$A:$AW,MATCH($P$1,'Data yoy'!$A$1:$AW$1,),)</f>
        <v/>
      </c>
      <c r="Q76" s="25">
        <f>VLOOKUP(B76,'Data yoy'!$A:$AW,MATCH($Q$1,'Data yoy'!$A$1:$AW$1,),)</f>
        <v/>
      </c>
      <c r="R76" s="25">
        <f>VLOOKUP(B76,'Data yoy'!$A:$AW,MATCH($R$1,'Data yoy'!$A$1:$AW$1,),)</f>
        <v/>
      </c>
      <c r="S76" s="25">
        <f>VLOOKUP(B76,'Data yoy'!$A:$AW,MATCH($S$1,'Data yoy'!$A$1:$AW$1,),)</f>
        <v/>
      </c>
      <c r="T76" s="25">
        <f>VLOOKUP(B76,'Data yoy'!$A:$AW,MATCH($T$1,'Data yoy'!$A$1:$AW$1,),)</f>
        <v/>
      </c>
      <c r="U76" s="25">
        <f>VLOOKUP(B76,'Data yoy'!$A:$AW,MATCH($U$1,'Data yoy'!$A$1:$AW$1,),)</f>
        <v/>
      </c>
      <c r="V76" s="25">
        <f>VLOOKUP(B76,'Data yoy'!$A:$AW,MATCH($V$1,'Data yoy'!$A$1:$AW$1,),)</f>
        <v/>
      </c>
      <c r="W76" s="25">
        <f>VLOOKUP(B76,'Data yoy'!$A:$AW,MATCH($W$1,'Data yoy'!$A$1:$AW$1,),)</f>
        <v/>
      </c>
      <c r="X76" s="25">
        <f>VLOOKUP(B76,'Data yoy'!$A:$AW,MATCH($X$1,'Data yoy'!$A$1:$AW$1,),)</f>
        <v/>
      </c>
      <c r="Y76" s="25">
        <f>VLOOKUP(B76,'Data yoy'!$A:$AW,MATCH($Y$1,'Data yoy'!$A$1:$AW$1,),)</f>
        <v/>
      </c>
      <c r="Z76" s="25">
        <f>VLOOKUP(B76,'Data yoy'!$A:$AW,MATCH($Z$1,'Data yoy'!$A$1:$AW$1,),)</f>
        <v/>
      </c>
      <c r="AA76" s="25">
        <f>VLOOKUP(B76,'Data yoy'!$A:$AW,MATCH($AA$1,'Data yoy'!$A$1:$AW$1,),)</f>
        <v/>
      </c>
      <c r="AB76" s="74" t="n"/>
      <c r="AC76" s="26">
        <f>B76</f>
        <v/>
      </c>
      <c r="AD76" s="27">
        <f>(VLOOKUP(AC76,B:Y,MATCH($AE$6,$B$1:$Y$1,),))</f>
        <v/>
      </c>
      <c r="AE76" s="27">
        <f>(VLOOKUP(AC76,B:Y,MATCH($AE$7,$B$1:$Y$1,),))</f>
        <v/>
      </c>
      <c r="AF76" s="27">
        <f>AD76-AE76</f>
        <v/>
      </c>
    </row>
    <row r="77">
      <c r="B77" s="24" t="inlineStr">
        <is>
          <t>2016-Q3</t>
        </is>
      </c>
      <c r="C77" s="25">
        <f>VLOOKUP(B77,'Data yoy'!$A:$AW,MATCH($C$1,'Data yoy'!$A$1:$AW$1,),)</f>
        <v/>
      </c>
      <c r="D77" s="25">
        <f>VLOOKUP(B77,'Data yoy'!$A:$AW,MATCH($D$1,'Data yoy'!$A$1:$AW$1,),)</f>
        <v/>
      </c>
      <c r="E77" s="25">
        <f>VLOOKUP(B77,'Data yoy'!$A:$AW,MATCH($E$1,'Data yoy'!$A$1:$AW$1,),)</f>
        <v/>
      </c>
      <c r="F77" s="25">
        <f>VLOOKUP(B77,'Data yoy'!$A:$AW,MATCH($F$1,'Data yoy'!$A$1:$AW$1,),)</f>
        <v/>
      </c>
      <c r="G77" s="25">
        <f>VLOOKUP(B77,'Data yoy'!$A:$AW,MATCH($G$1,'Data yoy'!$A$1:$AW$1,),)</f>
        <v/>
      </c>
      <c r="H77" s="25">
        <f>VLOOKUP(B77,'Data yoy'!$A:$AW,MATCH($H$1,'Data yoy'!$A$1:$AW$1,),)</f>
        <v/>
      </c>
      <c r="I77" s="25">
        <f>VLOOKUP(B77,'Data yoy'!$A:$AW,MATCH($I$1,'Data yoy'!$A$1:$AW$1,),)</f>
        <v/>
      </c>
      <c r="J77" s="25">
        <f>VLOOKUP(B77,'Data yoy'!$A:$AW,MATCH($J$1,'Data yoy'!$A$1:$AW$1,),)</f>
        <v/>
      </c>
      <c r="K77" s="25">
        <f>VLOOKUP(B77,'Data yoy'!$A:$AW,MATCH($K$1,'Data yoy'!$A$1:$AW$1,),)</f>
        <v/>
      </c>
      <c r="L77" s="25">
        <f>VLOOKUP(B77,'Data yoy'!$A:$AW,MATCH($L$1,'Data yoy'!$A$1:$AW$1,),)</f>
        <v/>
      </c>
      <c r="M77" s="25">
        <f>VLOOKUP(B77,'Data yoy'!$A:$AW,MATCH($M$1,'Data yoy'!$A$1:$AW$1,),)</f>
        <v/>
      </c>
      <c r="N77" s="25">
        <f>VLOOKUP(B77,'Data yoy'!$A:$AW,MATCH($N$1,'Data yoy'!$A$1:$AW$1,),)</f>
        <v/>
      </c>
      <c r="O77" s="25">
        <f>VLOOKUP(B77,'Data yoy'!$A:$AW,MATCH($O$1,'Data yoy'!$A$1:$AW$1,),)</f>
        <v/>
      </c>
      <c r="P77" s="25">
        <f>VLOOKUP(B77,'Data yoy'!$A:$AW,MATCH($P$1,'Data yoy'!$A$1:$AW$1,),)</f>
        <v/>
      </c>
      <c r="Q77" s="25">
        <f>VLOOKUP(B77,'Data yoy'!$A:$AW,MATCH($Q$1,'Data yoy'!$A$1:$AW$1,),)</f>
        <v/>
      </c>
      <c r="R77" s="25">
        <f>VLOOKUP(B77,'Data yoy'!$A:$AW,MATCH($R$1,'Data yoy'!$A$1:$AW$1,),)</f>
        <v/>
      </c>
      <c r="S77" s="25">
        <f>VLOOKUP(B77,'Data yoy'!$A:$AW,MATCH($S$1,'Data yoy'!$A$1:$AW$1,),)</f>
        <v/>
      </c>
      <c r="T77" s="25">
        <f>VLOOKUP(B77,'Data yoy'!$A:$AW,MATCH($T$1,'Data yoy'!$A$1:$AW$1,),)</f>
        <v/>
      </c>
      <c r="U77" s="25">
        <f>VLOOKUP(B77,'Data yoy'!$A:$AW,MATCH($U$1,'Data yoy'!$A$1:$AW$1,),)</f>
        <v/>
      </c>
      <c r="V77" s="25">
        <f>VLOOKUP(B77,'Data yoy'!$A:$AW,MATCH($V$1,'Data yoy'!$A$1:$AW$1,),)</f>
        <v/>
      </c>
      <c r="W77" s="25">
        <f>VLOOKUP(B77,'Data yoy'!$A:$AW,MATCH($W$1,'Data yoy'!$A$1:$AW$1,),)</f>
        <v/>
      </c>
      <c r="X77" s="25">
        <f>VLOOKUP(B77,'Data yoy'!$A:$AW,MATCH($X$1,'Data yoy'!$A$1:$AW$1,),)</f>
        <v/>
      </c>
      <c r="Y77" s="25">
        <f>VLOOKUP(B77,'Data yoy'!$A:$AW,MATCH($Y$1,'Data yoy'!$A$1:$AW$1,),)</f>
        <v/>
      </c>
      <c r="Z77" s="25">
        <f>VLOOKUP(B77,'Data yoy'!$A:$AW,MATCH($Z$1,'Data yoy'!$A$1:$AW$1,),)</f>
        <v/>
      </c>
      <c r="AA77" s="25">
        <f>VLOOKUP(B77,'Data yoy'!$A:$AW,MATCH($AA$1,'Data yoy'!$A$1:$AW$1,),)</f>
        <v/>
      </c>
      <c r="AB77" s="74" t="n"/>
      <c r="AC77" s="26">
        <f>B77</f>
        <v/>
      </c>
      <c r="AD77" s="27">
        <f>(VLOOKUP(AC77,B:Y,MATCH($AE$6,$B$1:$Y$1,),))</f>
        <v/>
      </c>
      <c r="AE77" s="27">
        <f>(VLOOKUP(AC77,B:Y,MATCH($AE$7,$B$1:$Y$1,),))</f>
        <v/>
      </c>
      <c r="AF77" s="27">
        <f>AD77-AE77</f>
        <v/>
      </c>
    </row>
    <row r="78">
      <c r="B78" s="24" t="inlineStr">
        <is>
          <t>2016-Q4</t>
        </is>
      </c>
      <c r="C78" s="25">
        <f>VLOOKUP(B78,'Data yoy'!$A:$AW,MATCH($C$1,'Data yoy'!$A$1:$AW$1,),)</f>
        <v/>
      </c>
      <c r="D78" s="25">
        <f>VLOOKUP(B78,'Data yoy'!$A:$AW,MATCH($D$1,'Data yoy'!$A$1:$AW$1,),)</f>
        <v/>
      </c>
      <c r="E78" s="25">
        <f>VLOOKUP(B78,'Data yoy'!$A:$AW,MATCH($E$1,'Data yoy'!$A$1:$AW$1,),)</f>
        <v/>
      </c>
      <c r="F78" s="25">
        <f>VLOOKUP(B78,'Data yoy'!$A:$AW,MATCH($F$1,'Data yoy'!$A$1:$AW$1,),)</f>
        <v/>
      </c>
      <c r="G78" s="25">
        <f>VLOOKUP(B78,'Data yoy'!$A:$AW,MATCH($G$1,'Data yoy'!$A$1:$AW$1,),)</f>
        <v/>
      </c>
      <c r="H78" s="25">
        <f>VLOOKUP(B78,'Data yoy'!$A:$AW,MATCH($H$1,'Data yoy'!$A$1:$AW$1,),)</f>
        <v/>
      </c>
      <c r="I78" s="25">
        <f>VLOOKUP(B78,'Data yoy'!$A:$AW,MATCH($I$1,'Data yoy'!$A$1:$AW$1,),)</f>
        <v/>
      </c>
      <c r="J78" s="25">
        <f>VLOOKUP(B78,'Data yoy'!$A:$AW,MATCH($J$1,'Data yoy'!$A$1:$AW$1,),)</f>
        <v/>
      </c>
      <c r="K78" s="25">
        <f>VLOOKUP(B78,'Data yoy'!$A:$AW,MATCH($K$1,'Data yoy'!$A$1:$AW$1,),)</f>
        <v/>
      </c>
      <c r="L78" s="25">
        <f>VLOOKUP(B78,'Data yoy'!$A:$AW,MATCH($L$1,'Data yoy'!$A$1:$AW$1,),)</f>
        <v/>
      </c>
      <c r="M78" s="25">
        <f>VLOOKUP(B78,'Data yoy'!$A:$AW,MATCH($M$1,'Data yoy'!$A$1:$AW$1,),)</f>
        <v/>
      </c>
      <c r="N78" s="25">
        <f>VLOOKUP(B78,'Data yoy'!$A:$AW,MATCH($N$1,'Data yoy'!$A$1:$AW$1,),)</f>
        <v/>
      </c>
      <c r="O78" s="25">
        <f>VLOOKUP(B78,'Data yoy'!$A:$AW,MATCH($O$1,'Data yoy'!$A$1:$AW$1,),)</f>
        <v/>
      </c>
      <c r="P78" s="25">
        <f>VLOOKUP(B78,'Data yoy'!$A:$AW,MATCH($P$1,'Data yoy'!$A$1:$AW$1,),)</f>
        <v/>
      </c>
      <c r="Q78" s="25">
        <f>VLOOKUP(B78,'Data yoy'!$A:$AW,MATCH($Q$1,'Data yoy'!$A$1:$AW$1,),)</f>
        <v/>
      </c>
      <c r="R78" s="25">
        <f>VLOOKUP(B78,'Data yoy'!$A:$AW,MATCH($R$1,'Data yoy'!$A$1:$AW$1,),)</f>
        <v/>
      </c>
      <c r="S78" s="25">
        <f>VLOOKUP(B78,'Data yoy'!$A:$AW,MATCH($S$1,'Data yoy'!$A$1:$AW$1,),)</f>
        <v/>
      </c>
      <c r="T78" s="25">
        <f>VLOOKUP(B78,'Data yoy'!$A:$AW,MATCH($T$1,'Data yoy'!$A$1:$AW$1,),)</f>
        <v/>
      </c>
      <c r="U78" s="25">
        <f>VLOOKUP(B78,'Data yoy'!$A:$AW,MATCH($U$1,'Data yoy'!$A$1:$AW$1,),)</f>
        <v/>
      </c>
      <c r="V78" s="25">
        <f>VLOOKUP(B78,'Data yoy'!$A:$AW,MATCH($V$1,'Data yoy'!$A$1:$AW$1,),)</f>
        <v/>
      </c>
      <c r="W78" s="25">
        <f>VLOOKUP(B78,'Data yoy'!$A:$AW,MATCH($W$1,'Data yoy'!$A$1:$AW$1,),)</f>
        <v/>
      </c>
      <c r="X78" s="25">
        <f>VLOOKUP(B78,'Data yoy'!$A:$AW,MATCH($X$1,'Data yoy'!$A$1:$AW$1,),)</f>
        <v/>
      </c>
      <c r="Y78" s="25">
        <f>VLOOKUP(B78,'Data yoy'!$A:$AW,MATCH($Y$1,'Data yoy'!$A$1:$AW$1,),)</f>
        <v/>
      </c>
      <c r="Z78" s="25">
        <f>VLOOKUP(B78,'Data yoy'!$A:$AW,MATCH($Z$1,'Data yoy'!$A$1:$AW$1,),)</f>
        <v/>
      </c>
      <c r="AA78" s="25">
        <f>VLOOKUP(B78,'Data yoy'!$A:$AW,MATCH($AA$1,'Data yoy'!$A$1:$AW$1,),)</f>
        <v/>
      </c>
      <c r="AB78" s="74" t="n"/>
      <c r="AC78" s="26">
        <f>B78</f>
        <v/>
      </c>
      <c r="AD78" s="27">
        <f>(VLOOKUP(AC78,B:Y,MATCH($AE$6,$B$1:$Y$1,),))</f>
        <v/>
      </c>
      <c r="AE78" s="27">
        <f>(VLOOKUP(AC78,B:Y,MATCH($AE$7,$B$1:$Y$1,),))</f>
        <v/>
      </c>
      <c r="AF78" s="27">
        <f>AD78-AE78</f>
        <v/>
      </c>
    </row>
    <row r="79">
      <c r="B79" s="24" t="inlineStr">
        <is>
          <t>2017-Q1</t>
        </is>
      </c>
      <c r="C79" s="25">
        <f>VLOOKUP(B79,'Data yoy'!$A:$AW,MATCH($C$1,'Data yoy'!$A$1:$AW$1,),)</f>
        <v/>
      </c>
      <c r="D79" s="25">
        <f>VLOOKUP(B79,'Data yoy'!$A:$AW,MATCH($D$1,'Data yoy'!$A$1:$AW$1,),)</f>
        <v/>
      </c>
      <c r="E79" s="25">
        <f>VLOOKUP(B79,'Data yoy'!$A:$AW,MATCH($E$1,'Data yoy'!$A$1:$AW$1,),)</f>
        <v/>
      </c>
      <c r="F79" s="25">
        <f>VLOOKUP(B79,'Data yoy'!$A:$AW,MATCH($F$1,'Data yoy'!$A$1:$AW$1,),)</f>
        <v/>
      </c>
      <c r="G79" s="25">
        <f>VLOOKUP(B79,'Data yoy'!$A:$AW,MATCH($G$1,'Data yoy'!$A$1:$AW$1,),)</f>
        <v/>
      </c>
      <c r="H79" s="25">
        <f>VLOOKUP(B79,'Data yoy'!$A:$AW,MATCH($H$1,'Data yoy'!$A$1:$AW$1,),)</f>
        <v/>
      </c>
      <c r="I79" s="25">
        <f>VLOOKUP(B79,'Data yoy'!$A:$AW,MATCH($I$1,'Data yoy'!$A$1:$AW$1,),)</f>
        <v/>
      </c>
      <c r="J79" s="25">
        <f>VLOOKUP(B79,'Data yoy'!$A:$AW,MATCH($J$1,'Data yoy'!$A$1:$AW$1,),)</f>
        <v/>
      </c>
      <c r="K79" s="25">
        <f>VLOOKUP(B79,'Data yoy'!$A:$AW,MATCH($K$1,'Data yoy'!$A$1:$AW$1,),)</f>
        <v/>
      </c>
      <c r="L79" s="25">
        <f>VLOOKUP(B79,'Data yoy'!$A:$AW,MATCH($L$1,'Data yoy'!$A$1:$AW$1,),)</f>
        <v/>
      </c>
      <c r="M79" s="25">
        <f>VLOOKUP(B79,'Data yoy'!$A:$AW,MATCH($M$1,'Data yoy'!$A$1:$AW$1,),)</f>
        <v/>
      </c>
      <c r="N79" s="25">
        <f>VLOOKUP(B79,'Data yoy'!$A:$AW,MATCH($N$1,'Data yoy'!$A$1:$AW$1,),)</f>
        <v/>
      </c>
      <c r="O79" s="25">
        <f>VLOOKUP(B79,'Data yoy'!$A:$AW,MATCH($O$1,'Data yoy'!$A$1:$AW$1,),)</f>
        <v/>
      </c>
      <c r="P79" s="25">
        <f>VLOOKUP(B79,'Data yoy'!$A:$AW,MATCH($P$1,'Data yoy'!$A$1:$AW$1,),)</f>
        <v/>
      </c>
      <c r="Q79" s="25">
        <f>VLOOKUP(B79,'Data yoy'!$A:$AW,MATCH($Q$1,'Data yoy'!$A$1:$AW$1,),)</f>
        <v/>
      </c>
      <c r="R79" s="25">
        <f>VLOOKUP(B79,'Data yoy'!$A:$AW,MATCH($R$1,'Data yoy'!$A$1:$AW$1,),)</f>
        <v/>
      </c>
      <c r="S79" s="25">
        <f>VLOOKUP(B79,'Data yoy'!$A:$AW,MATCH($S$1,'Data yoy'!$A$1:$AW$1,),)</f>
        <v/>
      </c>
      <c r="T79" s="25">
        <f>VLOOKUP(B79,'Data yoy'!$A:$AW,MATCH($T$1,'Data yoy'!$A$1:$AW$1,),)</f>
        <v/>
      </c>
      <c r="U79" s="25">
        <f>VLOOKUP(B79,'Data yoy'!$A:$AW,MATCH($U$1,'Data yoy'!$A$1:$AW$1,),)</f>
        <v/>
      </c>
      <c r="V79" s="25">
        <f>VLOOKUP(B79,'Data yoy'!$A:$AW,MATCH($V$1,'Data yoy'!$A$1:$AW$1,),)</f>
        <v/>
      </c>
      <c r="W79" s="25">
        <f>VLOOKUP(B79,'Data yoy'!$A:$AW,MATCH($W$1,'Data yoy'!$A$1:$AW$1,),)</f>
        <v/>
      </c>
      <c r="X79" s="25">
        <f>VLOOKUP(B79,'Data yoy'!$A:$AW,MATCH($X$1,'Data yoy'!$A$1:$AW$1,),)</f>
        <v/>
      </c>
      <c r="Y79" s="25">
        <f>VLOOKUP(B79,'Data yoy'!$A:$AW,MATCH($Y$1,'Data yoy'!$A$1:$AW$1,),)</f>
        <v/>
      </c>
      <c r="Z79" s="25">
        <f>VLOOKUP(B79,'Data yoy'!$A:$AW,MATCH($Z$1,'Data yoy'!$A$1:$AW$1,),)</f>
        <v/>
      </c>
      <c r="AA79" s="25">
        <f>VLOOKUP(B79,'Data yoy'!$A:$AW,MATCH($AA$1,'Data yoy'!$A$1:$AW$1,),)</f>
        <v/>
      </c>
      <c r="AB79" s="74" t="n"/>
      <c r="AC79" s="26">
        <f>B79</f>
        <v/>
      </c>
      <c r="AD79" s="27">
        <f>(VLOOKUP(AC79,B:Y,MATCH($AE$6,$B$1:$Y$1,),))</f>
        <v/>
      </c>
      <c r="AE79" s="27">
        <f>(VLOOKUP(AC79,B:Y,MATCH($AE$7,$B$1:$Y$1,),))</f>
        <v/>
      </c>
      <c r="AF79" s="27">
        <f>AD79-AE79</f>
        <v/>
      </c>
    </row>
    <row r="80">
      <c r="B80" s="24" t="inlineStr">
        <is>
          <t>2017-Q2</t>
        </is>
      </c>
      <c r="C80" s="25">
        <f>VLOOKUP(B80,'Data yoy'!$A:$AW,MATCH($C$1,'Data yoy'!$A$1:$AW$1,),)</f>
        <v/>
      </c>
      <c r="D80" s="25">
        <f>VLOOKUP(B80,'Data yoy'!$A:$AW,MATCH($D$1,'Data yoy'!$A$1:$AW$1,),)</f>
        <v/>
      </c>
      <c r="E80" s="25">
        <f>VLOOKUP(B80,'Data yoy'!$A:$AW,MATCH($E$1,'Data yoy'!$A$1:$AW$1,),)</f>
        <v/>
      </c>
      <c r="F80" s="25">
        <f>VLOOKUP(B80,'Data yoy'!$A:$AW,MATCH($F$1,'Data yoy'!$A$1:$AW$1,),)</f>
        <v/>
      </c>
      <c r="G80" s="25">
        <f>VLOOKUP(B80,'Data yoy'!$A:$AW,MATCH($G$1,'Data yoy'!$A$1:$AW$1,),)</f>
        <v/>
      </c>
      <c r="H80" s="25">
        <f>VLOOKUP(B80,'Data yoy'!$A:$AW,MATCH($H$1,'Data yoy'!$A$1:$AW$1,),)</f>
        <v/>
      </c>
      <c r="I80" s="25">
        <f>VLOOKUP(B80,'Data yoy'!$A:$AW,MATCH($I$1,'Data yoy'!$A$1:$AW$1,),)</f>
        <v/>
      </c>
      <c r="J80" s="25">
        <f>VLOOKUP(B80,'Data yoy'!$A:$AW,MATCH($J$1,'Data yoy'!$A$1:$AW$1,),)</f>
        <v/>
      </c>
      <c r="K80" s="25">
        <f>VLOOKUP(B80,'Data yoy'!$A:$AW,MATCH($K$1,'Data yoy'!$A$1:$AW$1,),)</f>
        <v/>
      </c>
      <c r="L80" s="25">
        <f>VLOOKUP(B80,'Data yoy'!$A:$AW,MATCH($L$1,'Data yoy'!$A$1:$AW$1,),)</f>
        <v/>
      </c>
      <c r="M80" s="25">
        <f>VLOOKUP(B80,'Data yoy'!$A:$AW,MATCH($M$1,'Data yoy'!$A$1:$AW$1,),)</f>
        <v/>
      </c>
      <c r="N80" s="25">
        <f>VLOOKUP(B80,'Data yoy'!$A:$AW,MATCH($N$1,'Data yoy'!$A$1:$AW$1,),)</f>
        <v/>
      </c>
      <c r="O80" s="25">
        <f>VLOOKUP(B80,'Data yoy'!$A:$AW,MATCH($O$1,'Data yoy'!$A$1:$AW$1,),)</f>
        <v/>
      </c>
      <c r="P80" s="25">
        <f>VLOOKUP(B80,'Data yoy'!$A:$AW,MATCH($P$1,'Data yoy'!$A$1:$AW$1,),)</f>
        <v/>
      </c>
      <c r="Q80" s="25">
        <f>VLOOKUP(B80,'Data yoy'!$A:$AW,MATCH($Q$1,'Data yoy'!$A$1:$AW$1,),)</f>
        <v/>
      </c>
      <c r="R80" s="25">
        <f>VLOOKUP(B80,'Data yoy'!$A:$AW,MATCH($R$1,'Data yoy'!$A$1:$AW$1,),)</f>
        <v/>
      </c>
      <c r="S80" s="25">
        <f>VLOOKUP(B80,'Data yoy'!$A:$AW,MATCH($S$1,'Data yoy'!$A$1:$AW$1,),)</f>
        <v/>
      </c>
      <c r="T80" s="25">
        <f>VLOOKUP(B80,'Data yoy'!$A:$AW,MATCH($T$1,'Data yoy'!$A$1:$AW$1,),)</f>
        <v/>
      </c>
      <c r="U80" s="25">
        <f>VLOOKUP(B80,'Data yoy'!$A:$AW,MATCH($U$1,'Data yoy'!$A$1:$AW$1,),)</f>
        <v/>
      </c>
      <c r="V80" s="25">
        <f>VLOOKUP(B80,'Data yoy'!$A:$AW,MATCH($V$1,'Data yoy'!$A$1:$AW$1,),)</f>
        <v/>
      </c>
      <c r="W80" s="25">
        <f>VLOOKUP(B80,'Data yoy'!$A:$AW,MATCH($W$1,'Data yoy'!$A$1:$AW$1,),)</f>
        <v/>
      </c>
      <c r="X80" s="25">
        <f>VLOOKUP(B80,'Data yoy'!$A:$AW,MATCH($X$1,'Data yoy'!$A$1:$AW$1,),)</f>
        <v/>
      </c>
      <c r="Y80" s="25">
        <f>VLOOKUP(B80,'Data yoy'!$A:$AW,MATCH($Y$1,'Data yoy'!$A$1:$AW$1,),)</f>
        <v/>
      </c>
      <c r="Z80" s="25">
        <f>VLOOKUP(B80,'Data yoy'!$A:$AW,MATCH($Z$1,'Data yoy'!$A$1:$AW$1,),)</f>
        <v/>
      </c>
      <c r="AA80" s="25">
        <f>VLOOKUP(B80,'Data yoy'!$A:$AW,MATCH($AA$1,'Data yoy'!$A$1:$AW$1,),)</f>
        <v/>
      </c>
      <c r="AB80" s="74" t="n"/>
      <c r="AC80" s="26">
        <f>B80</f>
        <v/>
      </c>
      <c r="AD80" s="27">
        <f>(VLOOKUP(AC80,B:Y,MATCH($AE$6,$B$1:$Y$1,),))</f>
        <v/>
      </c>
      <c r="AE80" s="27">
        <f>(VLOOKUP(AC80,B:Y,MATCH($AE$7,$B$1:$Y$1,),))</f>
        <v/>
      </c>
      <c r="AF80" s="27">
        <f>AD80-AE80</f>
        <v/>
      </c>
    </row>
    <row r="81">
      <c r="B81" s="24" t="inlineStr">
        <is>
          <t>2017-Q3</t>
        </is>
      </c>
      <c r="C81" s="25">
        <f>VLOOKUP(B81,'Data yoy'!$A:$AW,MATCH($C$1,'Data yoy'!$A$1:$AW$1,),)</f>
        <v/>
      </c>
      <c r="D81" s="25">
        <f>VLOOKUP(B81,'Data yoy'!$A:$AW,MATCH($D$1,'Data yoy'!$A$1:$AW$1,),)</f>
        <v/>
      </c>
      <c r="E81" s="25">
        <f>VLOOKUP(B81,'Data yoy'!$A:$AW,MATCH($E$1,'Data yoy'!$A$1:$AW$1,),)</f>
        <v/>
      </c>
      <c r="F81" s="25">
        <f>VLOOKUP(B81,'Data yoy'!$A:$AW,MATCH($F$1,'Data yoy'!$A$1:$AW$1,),)</f>
        <v/>
      </c>
      <c r="G81" s="25">
        <f>VLOOKUP(B81,'Data yoy'!$A:$AW,MATCH($G$1,'Data yoy'!$A$1:$AW$1,),)</f>
        <v/>
      </c>
      <c r="H81" s="25">
        <f>VLOOKUP(B81,'Data yoy'!$A:$AW,MATCH($H$1,'Data yoy'!$A$1:$AW$1,),)</f>
        <v/>
      </c>
      <c r="I81" s="25">
        <f>VLOOKUP(B81,'Data yoy'!$A:$AW,MATCH($I$1,'Data yoy'!$A$1:$AW$1,),)</f>
        <v/>
      </c>
      <c r="J81" s="25">
        <f>VLOOKUP(B81,'Data yoy'!$A:$AW,MATCH($J$1,'Data yoy'!$A$1:$AW$1,),)</f>
        <v/>
      </c>
      <c r="K81" s="25">
        <f>VLOOKUP(B81,'Data yoy'!$A:$AW,MATCH($K$1,'Data yoy'!$A$1:$AW$1,),)</f>
        <v/>
      </c>
      <c r="L81" s="25">
        <f>VLOOKUP(B81,'Data yoy'!$A:$AW,MATCH($L$1,'Data yoy'!$A$1:$AW$1,),)</f>
        <v/>
      </c>
      <c r="M81" s="25">
        <f>VLOOKUP(B81,'Data yoy'!$A:$AW,MATCH($M$1,'Data yoy'!$A$1:$AW$1,),)</f>
        <v/>
      </c>
      <c r="N81" s="25">
        <f>VLOOKUP(B81,'Data yoy'!$A:$AW,MATCH($N$1,'Data yoy'!$A$1:$AW$1,),)</f>
        <v/>
      </c>
      <c r="O81" s="25">
        <f>VLOOKUP(B81,'Data yoy'!$A:$AW,MATCH($O$1,'Data yoy'!$A$1:$AW$1,),)</f>
        <v/>
      </c>
      <c r="P81" s="25">
        <f>VLOOKUP(B81,'Data yoy'!$A:$AW,MATCH($P$1,'Data yoy'!$A$1:$AW$1,),)</f>
        <v/>
      </c>
      <c r="Q81" s="25">
        <f>VLOOKUP(B81,'Data yoy'!$A:$AW,MATCH($Q$1,'Data yoy'!$A$1:$AW$1,),)</f>
        <v/>
      </c>
      <c r="R81" s="25">
        <f>VLOOKUP(B81,'Data yoy'!$A:$AW,MATCH($R$1,'Data yoy'!$A$1:$AW$1,),)</f>
        <v/>
      </c>
      <c r="S81" s="25">
        <f>VLOOKUP(B81,'Data yoy'!$A:$AW,MATCH($S$1,'Data yoy'!$A$1:$AW$1,),)</f>
        <v/>
      </c>
      <c r="T81" s="25">
        <f>VLOOKUP(B81,'Data yoy'!$A:$AW,MATCH($T$1,'Data yoy'!$A$1:$AW$1,),)</f>
        <v/>
      </c>
      <c r="U81" s="25">
        <f>VLOOKUP(B81,'Data yoy'!$A:$AW,MATCH($U$1,'Data yoy'!$A$1:$AW$1,),)</f>
        <v/>
      </c>
      <c r="V81" s="25">
        <f>VLOOKUP(B81,'Data yoy'!$A:$AW,MATCH($V$1,'Data yoy'!$A$1:$AW$1,),)</f>
        <v/>
      </c>
      <c r="W81" s="25">
        <f>VLOOKUP(B81,'Data yoy'!$A:$AW,MATCH($W$1,'Data yoy'!$A$1:$AW$1,),)</f>
        <v/>
      </c>
      <c r="X81" s="25">
        <f>VLOOKUP(B81,'Data yoy'!$A:$AW,MATCH($X$1,'Data yoy'!$A$1:$AW$1,),)</f>
        <v/>
      </c>
      <c r="Y81" s="25">
        <f>VLOOKUP(B81,'Data yoy'!$A:$AW,MATCH($Y$1,'Data yoy'!$A$1:$AW$1,),)</f>
        <v/>
      </c>
      <c r="Z81" s="25">
        <f>VLOOKUP(B81,'Data yoy'!$A:$AW,MATCH($Z$1,'Data yoy'!$A$1:$AW$1,),)</f>
        <v/>
      </c>
      <c r="AA81" s="25">
        <f>VLOOKUP(B81,'Data yoy'!$A:$AW,MATCH($AA$1,'Data yoy'!$A$1:$AW$1,),)</f>
        <v/>
      </c>
      <c r="AB81" s="74" t="n"/>
      <c r="AC81" s="26">
        <f>B81</f>
        <v/>
      </c>
      <c r="AD81" s="27">
        <f>(VLOOKUP(AC81,B:Y,MATCH($AE$6,$B$1:$Y$1,),))</f>
        <v/>
      </c>
      <c r="AE81" s="27">
        <f>(VLOOKUP(AC81,B:Y,MATCH($AE$7,$B$1:$Y$1,),))</f>
        <v/>
      </c>
      <c r="AF81" s="27">
        <f>AD81-AE81</f>
        <v/>
      </c>
    </row>
    <row r="82">
      <c r="B82" s="24" t="inlineStr">
        <is>
          <t>2017-Q4</t>
        </is>
      </c>
      <c r="C82" s="25">
        <f>VLOOKUP(B82,'Data yoy'!$A:$AW,MATCH($C$1,'Data yoy'!$A$1:$AW$1,),)</f>
        <v/>
      </c>
      <c r="D82" s="25">
        <f>VLOOKUP(B82,'Data yoy'!$A:$AW,MATCH($D$1,'Data yoy'!$A$1:$AW$1,),)</f>
        <v/>
      </c>
      <c r="E82" s="25">
        <f>VLOOKUP(B82,'Data yoy'!$A:$AW,MATCH($E$1,'Data yoy'!$A$1:$AW$1,),)</f>
        <v/>
      </c>
      <c r="F82" s="25">
        <f>VLOOKUP(B82,'Data yoy'!$A:$AW,MATCH($F$1,'Data yoy'!$A$1:$AW$1,),)</f>
        <v/>
      </c>
      <c r="G82" s="25">
        <f>VLOOKUP(B82,'Data yoy'!$A:$AW,MATCH($G$1,'Data yoy'!$A$1:$AW$1,),)</f>
        <v/>
      </c>
      <c r="H82" s="25">
        <f>VLOOKUP(B82,'Data yoy'!$A:$AW,MATCH($H$1,'Data yoy'!$A$1:$AW$1,),)</f>
        <v/>
      </c>
      <c r="I82" s="25">
        <f>VLOOKUP(B82,'Data yoy'!$A:$AW,MATCH($I$1,'Data yoy'!$A$1:$AW$1,),)</f>
        <v/>
      </c>
      <c r="J82" s="25">
        <f>VLOOKUP(B82,'Data yoy'!$A:$AW,MATCH($J$1,'Data yoy'!$A$1:$AW$1,),)</f>
        <v/>
      </c>
      <c r="K82" s="25">
        <f>VLOOKUP(B82,'Data yoy'!$A:$AW,MATCH($K$1,'Data yoy'!$A$1:$AW$1,),)</f>
        <v/>
      </c>
      <c r="L82" s="25">
        <f>VLOOKUP(B82,'Data yoy'!$A:$AW,MATCH($L$1,'Data yoy'!$A$1:$AW$1,),)</f>
        <v/>
      </c>
      <c r="M82" s="25">
        <f>VLOOKUP(B82,'Data yoy'!$A:$AW,MATCH($M$1,'Data yoy'!$A$1:$AW$1,),)</f>
        <v/>
      </c>
      <c r="N82" s="25">
        <f>VLOOKUP(B82,'Data yoy'!$A:$AW,MATCH($N$1,'Data yoy'!$A$1:$AW$1,),)</f>
        <v/>
      </c>
      <c r="O82" s="25">
        <f>VLOOKUP(B82,'Data yoy'!$A:$AW,MATCH($O$1,'Data yoy'!$A$1:$AW$1,),)</f>
        <v/>
      </c>
      <c r="P82" s="25">
        <f>VLOOKUP(B82,'Data yoy'!$A:$AW,MATCH($P$1,'Data yoy'!$A$1:$AW$1,),)</f>
        <v/>
      </c>
      <c r="Q82" s="25">
        <f>VLOOKUP(B82,'Data yoy'!$A:$AW,MATCH($Q$1,'Data yoy'!$A$1:$AW$1,),)</f>
        <v/>
      </c>
      <c r="R82" s="25">
        <f>VLOOKUP(B82,'Data yoy'!$A:$AW,MATCH($R$1,'Data yoy'!$A$1:$AW$1,),)</f>
        <v/>
      </c>
      <c r="S82" s="25">
        <f>VLOOKUP(B82,'Data yoy'!$A:$AW,MATCH($S$1,'Data yoy'!$A$1:$AW$1,),)</f>
        <v/>
      </c>
      <c r="T82" s="25">
        <f>VLOOKUP(B82,'Data yoy'!$A:$AW,MATCH($T$1,'Data yoy'!$A$1:$AW$1,),)</f>
        <v/>
      </c>
      <c r="U82" s="25">
        <f>VLOOKUP(B82,'Data yoy'!$A:$AW,MATCH($U$1,'Data yoy'!$A$1:$AW$1,),)</f>
        <v/>
      </c>
      <c r="V82" s="25">
        <f>VLOOKUP(B82,'Data yoy'!$A:$AW,MATCH($V$1,'Data yoy'!$A$1:$AW$1,),)</f>
        <v/>
      </c>
      <c r="W82" s="25">
        <f>VLOOKUP(B82,'Data yoy'!$A:$AW,MATCH($W$1,'Data yoy'!$A$1:$AW$1,),)</f>
        <v/>
      </c>
      <c r="X82" s="25">
        <f>VLOOKUP(B82,'Data yoy'!$A:$AW,MATCH($X$1,'Data yoy'!$A$1:$AW$1,),)</f>
        <v/>
      </c>
      <c r="Y82" s="25">
        <f>VLOOKUP(B82,'Data yoy'!$A:$AW,MATCH($Y$1,'Data yoy'!$A$1:$AW$1,),)</f>
        <v/>
      </c>
      <c r="Z82" s="25">
        <f>VLOOKUP(B82,'Data yoy'!$A:$AW,MATCH($Z$1,'Data yoy'!$A$1:$AW$1,),)</f>
        <v/>
      </c>
      <c r="AA82" s="25">
        <f>VLOOKUP(B82,'Data yoy'!$A:$AW,MATCH($AA$1,'Data yoy'!$A$1:$AW$1,),)</f>
        <v/>
      </c>
      <c r="AB82" s="74" t="n"/>
      <c r="AC82" s="26">
        <f>B82</f>
        <v/>
      </c>
      <c r="AD82" s="27">
        <f>(VLOOKUP(AC82,B:Y,MATCH($AE$6,$B$1:$Y$1,),))</f>
        <v/>
      </c>
      <c r="AE82" s="27">
        <f>(VLOOKUP(AC82,B:Y,MATCH($AE$7,$B$1:$Y$1,),))</f>
        <v/>
      </c>
      <c r="AF82" s="27">
        <f>AD82-AE82</f>
        <v/>
      </c>
    </row>
    <row r="83">
      <c r="B83" s="24" t="inlineStr">
        <is>
          <t>2018-Q1</t>
        </is>
      </c>
      <c r="C83" s="25">
        <f>VLOOKUP(B83,'Data yoy'!$A:$AW,MATCH($C$1,'Data yoy'!$A$1:$AW$1,),)</f>
        <v/>
      </c>
      <c r="D83" s="25">
        <f>VLOOKUP(B83,'Data yoy'!$A:$AW,MATCH($D$1,'Data yoy'!$A$1:$AW$1,),)</f>
        <v/>
      </c>
      <c r="E83" s="25">
        <f>VLOOKUP(B83,'Data yoy'!$A:$AW,MATCH($E$1,'Data yoy'!$A$1:$AW$1,),)</f>
        <v/>
      </c>
      <c r="F83" s="25">
        <f>VLOOKUP(B83,'Data yoy'!$A:$AW,MATCH($F$1,'Data yoy'!$A$1:$AW$1,),)</f>
        <v/>
      </c>
      <c r="G83" s="25">
        <f>VLOOKUP(B83,'Data yoy'!$A:$AW,MATCH($G$1,'Data yoy'!$A$1:$AW$1,),)</f>
        <v/>
      </c>
      <c r="H83" s="25">
        <f>VLOOKUP(B83,'Data yoy'!$A:$AW,MATCH($H$1,'Data yoy'!$A$1:$AW$1,),)</f>
        <v/>
      </c>
      <c r="I83" s="25">
        <f>VLOOKUP(B83,'Data yoy'!$A:$AW,MATCH($I$1,'Data yoy'!$A$1:$AW$1,),)</f>
        <v/>
      </c>
      <c r="J83" s="25">
        <f>VLOOKUP(B83,'Data yoy'!$A:$AW,MATCH($J$1,'Data yoy'!$A$1:$AW$1,),)</f>
        <v/>
      </c>
      <c r="K83" s="25">
        <f>VLOOKUP(B83,'Data yoy'!$A:$AW,MATCH($K$1,'Data yoy'!$A$1:$AW$1,),)</f>
        <v/>
      </c>
      <c r="L83" s="25">
        <f>VLOOKUP(B83,'Data yoy'!$A:$AW,MATCH($L$1,'Data yoy'!$A$1:$AW$1,),)</f>
        <v/>
      </c>
      <c r="M83" s="25">
        <f>VLOOKUP(B83,'Data yoy'!$A:$AW,MATCH($M$1,'Data yoy'!$A$1:$AW$1,),)</f>
        <v/>
      </c>
      <c r="N83" s="25">
        <f>VLOOKUP(B83,'Data yoy'!$A:$AW,MATCH($N$1,'Data yoy'!$A$1:$AW$1,),)</f>
        <v/>
      </c>
      <c r="O83" s="25">
        <f>VLOOKUP(B83,'Data yoy'!$A:$AW,MATCH($O$1,'Data yoy'!$A$1:$AW$1,),)</f>
        <v/>
      </c>
      <c r="P83" s="25">
        <f>VLOOKUP(B83,'Data yoy'!$A:$AW,MATCH($P$1,'Data yoy'!$A$1:$AW$1,),)</f>
        <v/>
      </c>
      <c r="Q83" s="25">
        <f>VLOOKUP(B83,'Data yoy'!$A:$AW,MATCH($Q$1,'Data yoy'!$A$1:$AW$1,),)</f>
        <v/>
      </c>
      <c r="R83" s="25">
        <f>VLOOKUP(B83,'Data yoy'!$A:$AW,MATCH($R$1,'Data yoy'!$A$1:$AW$1,),)</f>
        <v/>
      </c>
      <c r="S83" s="25">
        <f>VLOOKUP(B83,'Data yoy'!$A:$AW,MATCH($S$1,'Data yoy'!$A$1:$AW$1,),)</f>
        <v/>
      </c>
      <c r="T83" s="25">
        <f>VLOOKUP(B83,'Data yoy'!$A:$AW,MATCH($T$1,'Data yoy'!$A$1:$AW$1,),)</f>
        <v/>
      </c>
      <c r="U83" s="25">
        <f>VLOOKUP(B83,'Data yoy'!$A:$AW,MATCH($U$1,'Data yoy'!$A$1:$AW$1,),)</f>
        <v/>
      </c>
      <c r="V83" s="25">
        <f>VLOOKUP(B83,'Data yoy'!$A:$AW,MATCH($V$1,'Data yoy'!$A$1:$AW$1,),)</f>
        <v/>
      </c>
      <c r="W83" s="25">
        <f>VLOOKUP(B83,'Data yoy'!$A:$AW,MATCH($W$1,'Data yoy'!$A$1:$AW$1,),)</f>
        <v/>
      </c>
      <c r="X83" s="25">
        <f>VLOOKUP(B83,'Data yoy'!$A:$AW,MATCH($X$1,'Data yoy'!$A$1:$AW$1,),)</f>
        <v/>
      </c>
      <c r="Y83" s="25">
        <f>VLOOKUP(B83,'Data yoy'!$A:$AW,MATCH($Y$1,'Data yoy'!$A$1:$AW$1,),)</f>
        <v/>
      </c>
      <c r="Z83" s="25">
        <f>VLOOKUP(B83,'Data yoy'!$A:$AW,MATCH($Z$1,'Data yoy'!$A$1:$AW$1,),)</f>
        <v/>
      </c>
      <c r="AA83" s="25">
        <f>VLOOKUP(B83,'Data yoy'!$A:$AW,MATCH($AA$1,'Data yoy'!$A$1:$AW$1,),)</f>
        <v/>
      </c>
      <c r="AB83" s="74" t="n"/>
      <c r="AC83" s="26">
        <f>B83</f>
        <v/>
      </c>
      <c r="AD83" s="27">
        <f>(VLOOKUP(AC83,B:Y,MATCH($AE$6,$B$1:$Y$1,),))</f>
        <v/>
      </c>
      <c r="AE83" s="27">
        <f>(VLOOKUP(AC83,B:Y,MATCH($AE$7,$B$1:$Y$1,),))</f>
        <v/>
      </c>
      <c r="AF83" s="27">
        <f>AD83-AE83</f>
        <v/>
      </c>
    </row>
    <row r="84" customFormat="1" s="74">
      <c r="B84" s="24" t="inlineStr">
        <is>
          <t>2018-Q2</t>
        </is>
      </c>
      <c r="C84" s="25">
        <f>VLOOKUP(B84,'Data yoy'!$A:$AW,MATCH($C$1,'Data yoy'!$A$1:$AW$1,),)</f>
        <v/>
      </c>
      <c r="D84" s="25">
        <f>VLOOKUP(B84,'Data yoy'!$A:$AW,MATCH($D$1,'Data yoy'!$A$1:$AW$1,),)</f>
        <v/>
      </c>
      <c r="E84" s="25">
        <f>VLOOKUP(B84,'Data yoy'!$A:$AW,MATCH($E$1,'Data yoy'!$A$1:$AW$1,),)</f>
        <v/>
      </c>
      <c r="F84" s="25">
        <f>VLOOKUP(B84,'Data yoy'!$A:$AW,MATCH($F$1,'Data yoy'!$A$1:$AW$1,),)</f>
        <v/>
      </c>
      <c r="G84" s="25">
        <f>VLOOKUP(B84,'Data yoy'!$A:$AW,MATCH($G$1,'Data yoy'!$A$1:$AW$1,),)</f>
        <v/>
      </c>
      <c r="H84" s="25">
        <f>VLOOKUP(B84,'Data yoy'!$A:$AW,MATCH($H$1,'Data yoy'!$A$1:$AW$1,),)</f>
        <v/>
      </c>
      <c r="I84" s="25">
        <f>VLOOKUP(B84,'Data yoy'!$A:$AW,MATCH($I$1,'Data yoy'!$A$1:$AW$1,),)</f>
        <v/>
      </c>
      <c r="J84" s="25">
        <f>VLOOKUP(B84,'Data yoy'!$A:$AW,MATCH($J$1,'Data yoy'!$A$1:$AW$1,),)</f>
        <v/>
      </c>
      <c r="K84" s="25">
        <f>VLOOKUP(B84,'Data yoy'!$A:$AW,MATCH($K$1,'Data yoy'!$A$1:$AW$1,),)</f>
        <v/>
      </c>
      <c r="L84" s="25">
        <f>VLOOKUP(B84,'Data yoy'!$A:$AW,MATCH($L$1,'Data yoy'!$A$1:$AW$1,),)</f>
        <v/>
      </c>
      <c r="M84" s="25">
        <f>VLOOKUP(B84,'Data yoy'!$A:$AW,MATCH($M$1,'Data yoy'!$A$1:$AW$1,),)</f>
        <v/>
      </c>
      <c r="N84" s="25">
        <f>VLOOKUP(B84,'Data yoy'!$A:$AW,MATCH($N$1,'Data yoy'!$A$1:$AW$1,),)</f>
        <v/>
      </c>
      <c r="O84" s="25">
        <f>VLOOKUP(B84,'Data yoy'!$A:$AW,MATCH($O$1,'Data yoy'!$A$1:$AW$1,),)</f>
        <v/>
      </c>
      <c r="P84" s="25">
        <f>VLOOKUP(B84,'Data yoy'!$A:$AW,MATCH($P$1,'Data yoy'!$A$1:$AW$1,),)</f>
        <v/>
      </c>
      <c r="Q84" s="25">
        <f>VLOOKUP(B84,'Data yoy'!$A:$AW,MATCH($Q$1,'Data yoy'!$A$1:$AW$1,),)</f>
        <v/>
      </c>
      <c r="R84" s="25">
        <f>VLOOKUP(B84,'Data yoy'!$A:$AW,MATCH($R$1,'Data yoy'!$A$1:$AW$1,),)</f>
        <v/>
      </c>
      <c r="S84" s="25">
        <f>VLOOKUP(B84,'Data yoy'!$A:$AW,MATCH($S$1,'Data yoy'!$A$1:$AW$1,),)</f>
        <v/>
      </c>
      <c r="T84" s="25">
        <f>VLOOKUP(B84,'Data yoy'!$A:$AW,MATCH($T$1,'Data yoy'!$A$1:$AW$1,),)</f>
        <v/>
      </c>
      <c r="U84" s="25">
        <f>VLOOKUP(B84,'Data yoy'!$A:$AW,MATCH($U$1,'Data yoy'!$A$1:$AW$1,),)</f>
        <v/>
      </c>
      <c r="V84" s="25">
        <f>VLOOKUP(B84,'Data yoy'!$A:$AW,MATCH($V$1,'Data yoy'!$A$1:$AW$1,),)</f>
        <v/>
      </c>
      <c r="W84" s="25">
        <f>VLOOKUP(B84,'Data yoy'!$A:$AW,MATCH($W$1,'Data yoy'!$A$1:$AW$1,),)</f>
        <v/>
      </c>
      <c r="X84" s="25">
        <f>VLOOKUP(B84,'Data yoy'!$A:$AW,MATCH($X$1,'Data yoy'!$A$1:$AW$1,),)</f>
        <v/>
      </c>
      <c r="Y84" s="25">
        <f>VLOOKUP(B84,'Data yoy'!$A:$AW,MATCH($Y$1,'Data yoy'!$A$1:$AW$1,),)</f>
        <v/>
      </c>
      <c r="Z84" s="25">
        <f>VLOOKUP(B84,'Data yoy'!$A:$AW,MATCH($Z$1,'Data yoy'!$A$1:$AW$1,),)</f>
        <v/>
      </c>
      <c r="AA84" s="25">
        <f>VLOOKUP(B84,'Data yoy'!$A:$AW,MATCH($AA$1,'Data yoy'!$A$1:$AW$1,),)</f>
        <v/>
      </c>
      <c r="AC84" s="26">
        <f>B84</f>
        <v/>
      </c>
      <c r="AD84" s="27">
        <f>(VLOOKUP(AC84,B:Y,MATCH($AE$6,$B$1:$Y$1,),))</f>
        <v/>
      </c>
      <c r="AE84" s="27">
        <f>(VLOOKUP(AC84,B:Y,MATCH($AE$7,$B$1:$Y$1,),))</f>
        <v/>
      </c>
      <c r="AF84" s="27">
        <f>AD84-AE84</f>
        <v/>
      </c>
    </row>
    <row r="85" customFormat="1" s="74">
      <c r="B85" s="24" t="inlineStr">
        <is>
          <t>2018-Q3</t>
        </is>
      </c>
      <c r="C85" s="25">
        <f>VLOOKUP(B85,'Data yoy'!$A:$AW,MATCH($C$1,'Data yoy'!$A$1:$AW$1,),)</f>
        <v/>
      </c>
      <c r="D85" s="25">
        <f>VLOOKUP(B85,'Data yoy'!$A:$AW,MATCH($D$1,'Data yoy'!$A$1:$AW$1,),)</f>
        <v/>
      </c>
      <c r="E85" s="25">
        <f>VLOOKUP(B85,'Data yoy'!$A:$AW,MATCH($E$1,'Data yoy'!$A$1:$AW$1,),)</f>
        <v/>
      </c>
      <c r="F85" s="25">
        <f>VLOOKUP(B85,'Data yoy'!$A:$AW,MATCH($F$1,'Data yoy'!$A$1:$AW$1,),)</f>
        <v/>
      </c>
      <c r="G85" s="25">
        <f>VLOOKUP(B85,'Data yoy'!$A:$AW,MATCH($G$1,'Data yoy'!$A$1:$AW$1,),)</f>
        <v/>
      </c>
      <c r="H85" s="25">
        <f>VLOOKUP(B85,'Data yoy'!$A:$AW,MATCH($H$1,'Data yoy'!$A$1:$AW$1,),)</f>
        <v/>
      </c>
      <c r="I85" s="25">
        <f>VLOOKUP(B85,'Data yoy'!$A:$AW,MATCH($I$1,'Data yoy'!$A$1:$AW$1,),)</f>
        <v/>
      </c>
      <c r="J85" s="25">
        <f>VLOOKUP(B85,'Data yoy'!$A:$AW,MATCH($J$1,'Data yoy'!$A$1:$AW$1,),)</f>
        <v/>
      </c>
      <c r="K85" s="25">
        <f>VLOOKUP(B85,'Data yoy'!$A:$AW,MATCH($K$1,'Data yoy'!$A$1:$AW$1,),)</f>
        <v/>
      </c>
      <c r="L85" s="25">
        <f>VLOOKUP(B85,'Data yoy'!$A:$AW,MATCH($L$1,'Data yoy'!$A$1:$AW$1,),)</f>
        <v/>
      </c>
      <c r="M85" s="25">
        <f>VLOOKUP(B85,'Data yoy'!$A:$AW,MATCH($M$1,'Data yoy'!$A$1:$AW$1,),)</f>
        <v/>
      </c>
      <c r="N85" s="25">
        <f>VLOOKUP(B85,'Data yoy'!$A:$AW,MATCH($N$1,'Data yoy'!$A$1:$AW$1,),)</f>
        <v/>
      </c>
      <c r="O85" s="25">
        <f>VLOOKUP(B85,'Data yoy'!$A:$AW,MATCH($O$1,'Data yoy'!$A$1:$AW$1,),)</f>
        <v/>
      </c>
      <c r="P85" s="25">
        <f>VLOOKUP(B85,'Data yoy'!$A:$AW,MATCH($P$1,'Data yoy'!$A$1:$AW$1,),)</f>
        <v/>
      </c>
      <c r="Q85" s="25">
        <f>VLOOKUP(B85,'Data yoy'!$A:$AW,MATCH($Q$1,'Data yoy'!$A$1:$AW$1,),)</f>
        <v/>
      </c>
      <c r="R85" s="25">
        <f>VLOOKUP(B85,'Data yoy'!$A:$AW,MATCH($R$1,'Data yoy'!$A$1:$AW$1,),)</f>
        <v/>
      </c>
      <c r="S85" s="25">
        <f>VLOOKUP(B85,'Data yoy'!$A:$AW,MATCH($S$1,'Data yoy'!$A$1:$AW$1,),)</f>
        <v/>
      </c>
      <c r="T85" s="25">
        <f>VLOOKUP(B85,'Data yoy'!$A:$AW,MATCH($T$1,'Data yoy'!$A$1:$AW$1,),)</f>
        <v/>
      </c>
      <c r="U85" s="25">
        <f>VLOOKUP(B85,'Data yoy'!$A:$AW,MATCH($U$1,'Data yoy'!$A$1:$AW$1,),)</f>
        <v/>
      </c>
      <c r="V85" s="25">
        <f>VLOOKUP(B85,'Data yoy'!$A:$AW,MATCH($V$1,'Data yoy'!$A$1:$AW$1,),)</f>
        <v/>
      </c>
      <c r="W85" s="25">
        <f>VLOOKUP(B85,'Data yoy'!$A:$AW,MATCH($W$1,'Data yoy'!$A$1:$AW$1,),)</f>
        <v/>
      </c>
      <c r="X85" s="25">
        <f>VLOOKUP(B85,'Data yoy'!$A:$AW,MATCH($X$1,'Data yoy'!$A$1:$AW$1,),)</f>
        <v/>
      </c>
      <c r="Y85" s="25">
        <f>VLOOKUP(B85,'Data yoy'!$A:$AW,MATCH($Y$1,'Data yoy'!$A$1:$AW$1,),)</f>
        <v/>
      </c>
      <c r="Z85" s="25">
        <f>VLOOKUP(B85,'Data yoy'!$A:$AW,MATCH($Z$1,'Data yoy'!$A$1:$AW$1,),)</f>
        <v/>
      </c>
      <c r="AA85" s="25">
        <f>VLOOKUP(B85,'Data yoy'!$A:$AW,MATCH($AA$1,'Data yoy'!$A$1:$AW$1,),)</f>
        <v/>
      </c>
      <c r="AC85" s="26">
        <f>B85</f>
        <v/>
      </c>
      <c r="AD85" s="27">
        <f>(VLOOKUP(AC85,B:Y,MATCH($AE$6,$B$1:$Y$1,),))</f>
        <v/>
      </c>
      <c r="AE85" s="27">
        <f>(VLOOKUP(AC85,B:Y,MATCH($AE$7,$B$1:$Y$1,),))</f>
        <v/>
      </c>
      <c r="AF85" s="27">
        <f>AD85-AE85</f>
        <v/>
      </c>
    </row>
    <row r="86" customFormat="1" s="74">
      <c r="B86" s="24" t="inlineStr">
        <is>
          <t>2018-Q4</t>
        </is>
      </c>
      <c r="C86" s="25">
        <f>VLOOKUP(B86,'Data yoy'!$A:$AW,MATCH($C$1,'Data yoy'!$A$1:$AW$1,),)</f>
        <v/>
      </c>
      <c r="D86" s="25">
        <f>VLOOKUP(B86,'Data yoy'!$A:$AW,MATCH($D$1,'Data yoy'!$A$1:$AW$1,),)</f>
        <v/>
      </c>
      <c r="E86" s="25">
        <f>VLOOKUP(B86,'Data yoy'!$A:$AW,MATCH($E$1,'Data yoy'!$A$1:$AW$1,),)</f>
        <v/>
      </c>
      <c r="F86" s="25">
        <f>VLOOKUP(B86,'Data yoy'!$A:$AW,MATCH($F$1,'Data yoy'!$A$1:$AW$1,),)</f>
        <v/>
      </c>
      <c r="G86" s="25">
        <f>VLOOKUP(B86,'Data yoy'!$A:$AW,MATCH($G$1,'Data yoy'!$A$1:$AW$1,),)</f>
        <v/>
      </c>
      <c r="H86" s="25">
        <f>VLOOKUP(B86,'Data yoy'!$A:$AW,MATCH($H$1,'Data yoy'!$A$1:$AW$1,),)</f>
        <v/>
      </c>
      <c r="I86" s="25">
        <f>VLOOKUP(B86,'Data yoy'!$A:$AW,MATCH($I$1,'Data yoy'!$A$1:$AW$1,),)</f>
        <v/>
      </c>
      <c r="J86" s="25">
        <f>VLOOKUP(B86,'Data yoy'!$A:$AW,MATCH($J$1,'Data yoy'!$A$1:$AW$1,),)</f>
        <v/>
      </c>
      <c r="K86" s="25">
        <f>VLOOKUP(B86,'Data yoy'!$A:$AW,MATCH($K$1,'Data yoy'!$A$1:$AW$1,),)</f>
        <v/>
      </c>
      <c r="L86" s="25">
        <f>VLOOKUP(B86,'Data yoy'!$A:$AW,MATCH($L$1,'Data yoy'!$A$1:$AW$1,),)</f>
        <v/>
      </c>
      <c r="M86" s="25">
        <f>VLOOKUP(B86,'Data yoy'!$A:$AW,MATCH($M$1,'Data yoy'!$A$1:$AW$1,),)</f>
        <v/>
      </c>
      <c r="N86" s="25">
        <f>VLOOKUP(B86,'Data yoy'!$A:$AW,MATCH($N$1,'Data yoy'!$A$1:$AW$1,),)</f>
        <v/>
      </c>
      <c r="O86" s="25">
        <f>VLOOKUP(B86,'Data yoy'!$A:$AW,MATCH($O$1,'Data yoy'!$A$1:$AW$1,),)</f>
        <v/>
      </c>
      <c r="P86" s="25">
        <f>VLOOKUP(B86,'Data yoy'!$A:$AW,MATCH($P$1,'Data yoy'!$A$1:$AW$1,),)</f>
        <v/>
      </c>
      <c r="Q86" s="25">
        <f>VLOOKUP(B86,'Data yoy'!$A:$AW,MATCH($Q$1,'Data yoy'!$A$1:$AW$1,),)</f>
        <v/>
      </c>
      <c r="R86" s="25">
        <f>VLOOKUP(B86,'Data yoy'!$A:$AW,MATCH($R$1,'Data yoy'!$A$1:$AW$1,),)</f>
        <v/>
      </c>
      <c r="S86" s="25">
        <f>VLOOKUP(B86,'Data yoy'!$A:$AW,MATCH($S$1,'Data yoy'!$A$1:$AW$1,),)</f>
        <v/>
      </c>
      <c r="T86" s="25">
        <f>VLOOKUP(B86,'Data yoy'!$A:$AW,MATCH($T$1,'Data yoy'!$A$1:$AW$1,),)</f>
        <v/>
      </c>
      <c r="U86" s="25">
        <f>VLOOKUP(B86,'Data yoy'!$A:$AW,MATCH($U$1,'Data yoy'!$A$1:$AW$1,),)</f>
        <v/>
      </c>
      <c r="V86" s="25">
        <f>VLOOKUP(B86,'Data yoy'!$A:$AW,MATCH($V$1,'Data yoy'!$A$1:$AW$1,),)</f>
        <v/>
      </c>
      <c r="W86" s="25">
        <f>VLOOKUP(B86,'Data yoy'!$A:$AW,MATCH($W$1,'Data yoy'!$A$1:$AW$1,),)</f>
        <v/>
      </c>
      <c r="X86" s="25">
        <f>VLOOKUP(B86,'Data yoy'!$A:$AW,MATCH($X$1,'Data yoy'!$A$1:$AW$1,),)</f>
        <v/>
      </c>
      <c r="Y86" s="25">
        <f>VLOOKUP(B86,'Data yoy'!$A:$AW,MATCH($Y$1,'Data yoy'!$A$1:$AW$1,),)</f>
        <v/>
      </c>
      <c r="Z86" s="25">
        <f>VLOOKUP(B86,'Data yoy'!$A:$AW,MATCH($Z$1,'Data yoy'!$A$1:$AW$1,),)</f>
        <v/>
      </c>
      <c r="AA86" s="25">
        <f>VLOOKUP(B86,'Data yoy'!$A:$AW,MATCH($AA$1,'Data yoy'!$A$1:$AW$1,),)</f>
        <v/>
      </c>
      <c r="AC86" s="26">
        <f>B86</f>
        <v/>
      </c>
      <c r="AD86" s="27">
        <f>(VLOOKUP(AC86,B:Y,MATCH($AE$6,$B$1:$Y$1,),))</f>
        <v/>
      </c>
      <c r="AE86" s="27">
        <f>(VLOOKUP(AC86,B:Y,MATCH($AE$7,$B$1:$Y$1,),))</f>
        <v/>
      </c>
      <c r="AF86" s="27">
        <f>AD86-AE86</f>
        <v/>
      </c>
    </row>
    <row r="87" customFormat="1" s="74">
      <c r="B87" s="24" t="inlineStr">
        <is>
          <t>2019-Q1</t>
        </is>
      </c>
      <c r="C87" s="25">
        <f>VLOOKUP(B87,'Data yoy'!$A:$AW,MATCH($C$1,'Data yoy'!$A$1:$AW$1,),)</f>
        <v/>
      </c>
      <c r="D87" s="25">
        <f>VLOOKUP(B87,'Data yoy'!$A:$AW,MATCH($D$1,'Data yoy'!$A$1:$AW$1,),)</f>
        <v/>
      </c>
      <c r="E87" s="25">
        <f>VLOOKUP(B87,'Data yoy'!$A:$AW,MATCH($E$1,'Data yoy'!$A$1:$AW$1,),)</f>
        <v/>
      </c>
      <c r="F87" s="25">
        <f>VLOOKUP(B87,'Data yoy'!$A:$AW,MATCH($F$1,'Data yoy'!$A$1:$AW$1,),)</f>
        <v/>
      </c>
      <c r="G87" s="25">
        <f>VLOOKUP(B87,'Data yoy'!$A:$AW,MATCH($G$1,'Data yoy'!$A$1:$AW$1,),)</f>
        <v/>
      </c>
      <c r="H87" s="25">
        <f>VLOOKUP(B87,'Data yoy'!$A:$AW,MATCH($H$1,'Data yoy'!$A$1:$AW$1,),)</f>
        <v/>
      </c>
      <c r="I87" s="25">
        <f>VLOOKUP(B87,'Data yoy'!$A:$AW,MATCH($I$1,'Data yoy'!$A$1:$AW$1,),)</f>
        <v/>
      </c>
      <c r="J87" s="25">
        <f>VLOOKUP(B87,'Data yoy'!$A:$AW,MATCH($J$1,'Data yoy'!$A$1:$AW$1,),)</f>
        <v/>
      </c>
      <c r="K87" s="25">
        <f>VLOOKUP(B87,'Data yoy'!$A:$AW,MATCH($K$1,'Data yoy'!$A$1:$AW$1,),)</f>
        <v/>
      </c>
      <c r="L87" s="25">
        <f>VLOOKUP(B87,'Data yoy'!$A:$AW,MATCH($L$1,'Data yoy'!$A$1:$AW$1,),)</f>
        <v/>
      </c>
      <c r="M87" s="25">
        <f>VLOOKUP(B87,'Data yoy'!$A:$AW,MATCH($M$1,'Data yoy'!$A$1:$AW$1,),)</f>
        <v/>
      </c>
      <c r="N87" s="25">
        <f>VLOOKUP(B87,'Data yoy'!$A:$AW,MATCH($N$1,'Data yoy'!$A$1:$AW$1,),)</f>
        <v/>
      </c>
      <c r="O87" s="25">
        <f>VLOOKUP(B87,'Data yoy'!$A:$AW,MATCH($O$1,'Data yoy'!$A$1:$AW$1,),)</f>
        <v/>
      </c>
      <c r="P87" s="25">
        <f>VLOOKUP(B87,'Data yoy'!$A:$AW,MATCH($P$1,'Data yoy'!$A$1:$AW$1,),)</f>
        <v/>
      </c>
      <c r="Q87" s="25">
        <f>VLOOKUP(B87,'Data yoy'!$A:$AW,MATCH($Q$1,'Data yoy'!$A$1:$AW$1,),)</f>
        <v/>
      </c>
      <c r="R87" s="25">
        <f>VLOOKUP(B87,'Data yoy'!$A:$AW,MATCH($R$1,'Data yoy'!$A$1:$AW$1,),)</f>
        <v/>
      </c>
      <c r="S87" s="25">
        <f>VLOOKUP(B87,'Data yoy'!$A:$AW,MATCH($S$1,'Data yoy'!$A$1:$AW$1,),)</f>
        <v/>
      </c>
      <c r="T87" s="25">
        <f>VLOOKUP(B87,'Data yoy'!$A:$AW,MATCH($T$1,'Data yoy'!$A$1:$AW$1,),)</f>
        <v/>
      </c>
      <c r="U87" s="25">
        <f>VLOOKUP(B87,'Data yoy'!$A:$AW,MATCH($U$1,'Data yoy'!$A$1:$AW$1,),)</f>
        <v/>
      </c>
      <c r="V87" s="25">
        <f>VLOOKUP(B87,'Data yoy'!$A:$AW,MATCH($V$1,'Data yoy'!$A$1:$AW$1,),)</f>
        <v/>
      </c>
      <c r="W87" s="25">
        <f>VLOOKUP(B87,'Data yoy'!$A:$AW,MATCH($W$1,'Data yoy'!$A$1:$AW$1,),)</f>
        <v/>
      </c>
      <c r="X87" s="25">
        <f>VLOOKUP(B87,'Data yoy'!$A:$AW,MATCH($X$1,'Data yoy'!$A$1:$AW$1,),)</f>
        <v/>
      </c>
      <c r="Y87" s="25">
        <f>VLOOKUP(B87,'Data yoy'!$A:$AW,MATCH($Y$1,'Data yoy'!$A$1:$AW$1,),)</f>
        <v/>
      </c>
      <c r="Z87" s="25">
        <f>VLOOKUP(B87,'Data yoy'!$A:$AW,MATCH($Z$1,'Data yoy'!$A$1:$AW$1,),)</f>
        <v/>
      </c>
      <c r="AA87" s="25">
        <f>VLOOKUP(B87,'Data yoy'!$A:$AW,MATCH($AA$1,'Data yoy'!$A$1:$AW$1,),)</f>
        <v/>
      </c>
      <c r="AC87" s="26">
        <f>B87</f>
        <v/>
      </c>
      <c r="AD87" s="27">
        <f>(VLOOKUP(AC87,B:Y,MATCH($AE$6,$B$1:$Y$1,),))</f>
        <v/>
      </c>
      <c r="AE87" s="27">
        <f>(VLOOKUP(AC87,B:Y,MATCH($AE$7,$B$1:$Y$1,),))</f>
        <v/>
      </c>
      <c r="AF87" s="27">
        <f>AD87-AE87</f>
        <v/>
      </c>
    </row>
    <row r="88" customFormat="1" s="74">
      <c r="B88" s="24" t="inlineStr">
        <is>
          <t>2019-Q2</t>
        </is>
      </c>
      <c r="C88" s="25">
        <f>VLOOKUP(B88,'Data yoy'!$A:$AW,MATCH($C$1,'Data yoy'!$A$1:$AW$1,),)</f>
        <v/>
      </c>
      <c r="D88" s="25">
        <f>VLOOKUP(B88,'Data yoy'!$A:$AW,MATCH($D$1,'Data yoy'!$A$1:$AW$1,),)</f>
        <v/>
      </c>
      <c r="E88" s="25">
        <f>VLOOKUP(B88,'Data yoy'!$A:$AW,MATCH($E$1,'Data yoy'!$A$1:$AW$1,),)</f>
        <v/>
      </c>
      <c r="F88" s="25">
        <f>VLOOKUP(B88,'Data yoy'!$A:$AW,MATCH($F$1,'Data yoy'!$A$1:$AW$1,),)</f>
        <v/>
      </c>
      <c r="G88" s="25">
        <f>VLOOKUP(B88,'Data yoy'!$A:$AW,MATCH($G$1,'Data yoy'!$A$1:$AW$1,),)</f>
        <v/>
      </c>
      <c r="H88" s="25">
        <f>VLOOKUP(B88,'Data yoy'!$A:$AW,MATCH($H$1,'Data yoy'!$A$1:$AW$1,),)</f>
        <v/>
      </c>
      <c r="I88" s="25">
        <f>VLOOKUP(B88,'Data yoy'!$A:$AW,MATCH($I$1,'Data yoy'!$A$1:$AW$1,),)</f>
        <v/>
      </c>
      <c r="J88" s="25">
        <f>VLOOKUP(B88,'Data yoy'!$A:$AW,MATCH($J$1,'Data yoy'!$A$1:$AW$1,),)</f>
        <v/>
      </c>
      <c r="K88" s="25">
        <f>VLOOKUP(B88,'Data yoy'!$A:$AW,MATCH($K$1,'Data yoy'!$A$1:$AW$1,),)</f>
        <v/>
      </c>
      <c r="L88" s="25">
        <f>VLOOKUP(B88,'Data yoy'!$A:$AW,MATCH($L$1,'Data yoy'!$A$1:$AW$1,),)</f>
        <v/>
      </c>
      <c r="M88" s="25">
        <f>VLOOKUP(B88,'Data yoy'!$A:$AW,MATCH($M$1,'Data yoy'!$A$1:$AW$1,),)</f>
        <v/>
      </c>
      <c r="N88" s="25">
        <f>VLOOKUP(B88,'Data yoy'!$A:$AW,MATCH($N$1,'Data yoy'!$A$1:$AW$1,),)</f>
        <v/>
      </c>
      <c r="O88" s="25">
        <f>VLOOKUP(B88,'Data yoy'!$A:$AW,MATCH($O$1,'Data yoy'!$A$1:$AW$1,),)</f>
        <v/>
      </c>
      <c r="P88" s="25">
        <f>VLOOKUP(B88,'Data yoy'!$A:$AW,MATCH($P$1,'Data yoy'!$A$1:$AW$1,),)</f>
        <v/>
      </c>
      <c r="Q88" s="25">
        <f>VLOOKUP(B88,'Data yoy'!$A:$AW,MATCH($Q$1,'Data yoy'!$A$1:$AW$1,),)</f>
        <v/>
      </c>
      <c r="R88" s="25">
        <f>VLOOKUP(B88,'Data yoy'!$A:$AW,MATCH($R$1,'Data yoy'!$A$1:$AW$1,),)</f>
        <v/>
      </c>
      <c r="S88" s="25">
        <f>VLOOKUP(B88,'Data yoy'!$A:$AW,MATCH($S$1,'Data yoy'!$A$1:$AW$1,),)</f>
        <v/>
      </c>
      <c r="T88" s="25">
        <f>VLOOKUP(B88,'Data yoy'!$A:$AW,MATCH($T$1,'Data yoy'!$A$1:$AW$1,),)</f>
        <v/>
      </c>
      <c r="U88" s="25">
        <f>VLOOKUP(B88,'Data yoy'!$A:$AW,MATCH($U$1,'Data yoy'!$A$1:$AW$1,),)</f>
        <v/>
      </c>
      <c r="V88" s="25">
        <f>VLOOKUP(B88,'Data yoy'!$A:$AW,MATCH($V$1,'Data yoy'!$A$1:$AW$1,),)</f>
        <v/>
      </c>
      <c r="W88" s="25">
        <f>VLOOKUP(B88,'Data yoy'!$A:$AW,MATCH($W$1,'Data yoy'!$A$1:$AW$1,),)</f>
        <v/>
      </c>
      <c r="X88" s="25">
        <f>VLOOKUP(B88,'Data yoy'!$A:$AW,MATCH($X$1,'Data yoy'!$A$1:$AW$1,),)</f>
        <v/>
      </c>
      <c r="Y88" s="25">
        <f>VLOOKUP(B88,'Data yoy'!$A:$AW,MATCH($Y$1,'Data yoy'!$A$1:$AW$1,),)</f>
        <v/>
      </c>
      <c r="Z88" s="25">
        <f>VLOOKUP(B88,'Data yoy'!$A:$AW,MATCH($Z$1,'Data yoy'!$A$1:$AW$1,),)</f>
        <v/>
      </c>
      <c r="AA88" s="25">
        <f>VLOOKUP(B88,'Data yoy'!$A:$AW,MATCH($AA$1,'Data yoy'!$A$1:$AW$1,),)</f>
        <v/>
      </c>
      <c r="AC88" s="26">
        <f>B88</f>
        <v/>
      </c>
      <c r="AD88" s="27">
        <f>(VLOOKUP(AC88,B:Y,MATCH($AE$6,$B$1:$Y$1,),))</f>
        <v/>
      </c>
      <c r="AE88" s="27">
        <f>(VLOOKUP(AC88,B:Y,MATCH($AE$7,$B$1:$Y$1,),))</f>
        <v/>
      </c>
      <c r="AF88" s="27">
        <f>AD88-AE88</f>
        <v/>
      </c>
    </row>
    <row r="89" customFormat="1" s="74">
      <c r="B89" s="24" t="inlineStr">
        <is>
          <t>2019-Q3</t>
        </is>
      </c>
      <c r="C89" s="25">
        <f>VLOOKUP(B89,'Data yoy'!$A:$AW,MATCH($C$1,'Data yoy'!$A$1:$AW$1,),)</f>
        <v/>
      </c>
      <c r="D89" s="25">
        <f>VLOOKUP(B89,'Data yoy'!$A:$AW,MATCH($D$1,'Data yoy'!$A$1:$AW$1,),)</f>
        <v/>
      </c>
      <c r="E89" s="25">
        <f>VLOOKUP(B89,'Data yoy'!$A:$AW,MATCH($E$1,'Data yoy'!$A$1:$AW$1,),)</f>
        <v/>
      </c>
      <c r="F89" s="25">
        <f>VLOOKUP(B89,'Data yoy'!$A:$AW,MATCH($F$1,'Data yoy'!$A$1:$AW$1,),)</f>
        <v/>
      </c>
      <c r="G89" s="25">
        <f>VLOOKUP(B89,'Data yoy'!$A:$AW,MATCH($G$1,'Data yoy'!$A$1:$AW$1,),)</f>
        <v/>
      </c>
      <c r="H89" s="25">
        <f>VLOOKUP(B89,'Data yoy'!$A:$AW,MATCH($H$1,'Data yoy'!$A$1:$AW$1,),)</f>
        <v/>
      </c>
      <c r="I89" s="25">
        <f>VLOOKUP(B89,'Data yoy'!$A:$AW,MATCH($I$1,'Data yoy'!$A$1:$AW$1,),)</f>
        <v/>
      </c>
      <c r="J89" s="25">
        <f>VLOOKUP(B89,'Data yoy'!$A:$AW,MATCH($J$1,'Data yoy'!$A$1:$AW$1,),)</f>
        <v/>
      </c>
      <c r="K89" s="25">
        <f>VLOOKUP(B89,'Data yoy'!$A:$AW,MATCH($K$1,'Data yoy'!$A$1:$AW$1,),)</f>
        <v/>
      </c>
      <c r="L89" s="25">
        <f>VLOOKUP(B89,'Data yoy'!$A:$AW,MATCH($L$1,'Data yoy'!$A$1:$AW$1,),)</f>
        <v/>
      </c>
      <c r="M89" s="25">
        <f>VLOOKUP(B89,'Data yoy'!$A:$AW,MATCH($M$1,'Data yoy'!$A$1:$AW$1,),)</f>
        <v/>
      </c>
      <c r="N89" s="25">
        <f>VLOOKUP(B89,'Data yoy'!$A:$AW,MATCH($N$1,'Data yoy'!$A$1:$AW$1,),)</f>
        <v/>
      </c>
      <c r="O89" s="25">
        <f>VLOOKUP(B89,'Data yoy'!$A:$AW,MATCH($O$1,'Data yoy'!$A$1:$AW$1,),)</f>
        <v/>
      </c>
      <c r="P89" s="25">
        <f>VLOOKUP(B89,'Data yoy'!$A:$AW,MATCH($P$1,'Data yoy'!$A$1:$AW$1,),)</f>
        <v/>
      </c>
      <c r="Q89" s="25">
        <f>VLOOKUP(B89,'Data yoy'!$A:$AW,MATCH($Q$1,'Data yoy'!$A$1:$AW$1,),)</f>
        <v/>
      </c>
      <c r="R89" s="25">
        <f>VLOOKUP(B89,'Data yoy'!$A:$AW,MATCH($R$1,'Data yoy'!$A$1:$AW$1,),)</f>
        <v/>
      </c>
      <c r="S89" s="25">
        <f>VLOOKUP(B89,'Data yoy'!$A:$AW,MATCH($S$1,'Data yoy'!$A$1:$AW$1,),)</f>
        <v/>
      </c>
      <c r="T89" s="25">
        <f>VLOOKUP(B89,'Data yoy'!$A:$AW,MATCH($T$1,'Data yoy'!$A$1:$AW$1,),)</f>
        <v/>
      </c>
      <c r="U89" s="25">
        <f>VLOOKUP(B89,'Data yoy'!$A:$AW,MATCH($U$1,'Data yoy'!$A$1:$AW$1,),)</f>
        <v/>
      </c>
      <c r="V89" s="25">
        <f>VLOOKUP(B89,'Data yoy'!$A:$AW,MATCH($V$1,'Data yoy'!$A$1:$AW$1,),)</f>
        <v/>
      </c>
      <c r="W89" s="25">
        <f>VLOOKUP(B89,'Data yoy'!$A:$AW,MATCH($W$1,'Data yoy'!$A$1:$AW$1,),)</f>
        <v/>
      </c>
      <c r="X89" s="25">
        <f>VLOOKUP(B89,'Data yoy'!$A:$AW,MATCH($X$1,'Data yoy'!$A$1:$AW$1,),)</f>
        <v/>
      </c>
      <c r="Y89" s="25">
        <f>VLOOKUP(B89,'Data yoy'!$A:$AW,MATCH($Y$1,'Data yoy'!$A$1:$AW$1,),)</f>
        <v/>
      </c>
      <c r="Z89" s="25">
        <f>VLOOKUP(B89,'Data yoy'!$A:$AW,MATCH($Z$1,'Data yoy'!$A$1:$AW$1,),)</f>
        <v/>
      </c>
      <c r="AA89" s="25">
        <f>VLOOKUP(B89,'Data yoy'!$A:$AW,MATCH($AA$1,'Data yoy'!$A$1:$AW$1,),)</f>
        <v/>
      </c>
      <c r="AC89" s="26">
        <f>B89</f>
        <v/>
      </c>
      <c r="AD89" s="27">
        <f>(VLOOKUP(AC89,B:Y,MATCH($AE$6,$B$1:$Y$1,),))</f>
        <v/>
      </c>
      <c r="AE89" s="27">
        <f>(VLOOKUP(AC89,B:Y,MATCH($AE$7,$B$1:$Y$1,),))</f>
        <v/>
      </c>
      <c r="AF89" s="27">
        <f>AD89-AE89</f>
        <v/>
      </c>
    </row>
    <row r="90" customFormat="1" s="74">
      <c r="B90" s="24" t="inlineStr">
        <is>
          <t>2019-Q4</t>
        </is>
      </c>
      <c r="C90" s="25">
        <f>VLOOKUP(B90,'Data yoy'!$A:$AW,MATCH($C$1,'Data yoy'!$A$1:$AW$1,),)</f>
        <v/>
      </c>
      <c r="D90" s="25">
        <f>VLOOKUP(B90,'Data yoy'!$A:$AW,MATCH($D$1,'Data yoy'!$A$1:$AW$1,),)</f>
        <v/>
      </c>
      <c r="E90" s="25">
        <f>VLOOKUP(B90,'Data yoy'!$A:$AW,MATCH($E$1,'Data yoy'!$A$1:$AW$1,),)</f>
        <v/>
      </c>
      <c r="F90" s="25">
        <f>VLOOKUP(B90,'Data yoy'!$A:$AW,MATCH($F$1,'Data yoy'!$A$1:$AW$1,),)</f>
        <v/>
      </c>
      <c r="G90" s="25">
        <f>VLOOKUP(B90,'Data yoy'!$A:$AW,MATCH($G$1,'Data yoy'!$A$1:$AW$1,),)</f>
        <v/>
      </c>
      <c r="H90" s="25">
        <f>VLOOKUP(B90,'Data yoy'!$A:$AW,MATCH($H$1,'Data yoy'!$A$1:$AW$1,),)</f>
        <v/>
      </c>
      <c r="I90" s="25">
        <f>VLOOKUP(B90,'Data yoy'!$A:$AW,MATCH($I$1,'Data yoy'!$A$1:$AW$1,),)</f>
        <v/>
      </c>
      <c r="J90" s="25">
        <f>VLOOKUP(B90,'Data yoy'!$A:$AW,MATCH($J$1,'Data yoy'!$A$1:$AW$1,),)</f>
        <v/>
      </c>
      <c r="K90" s="25">
        <f>VLOOKUP(B90,'Data yoy'!$A:$AW,MATCH($K$1,'Data yoy'!$A$1:$AW$1,),)</f>
        <v/>
      </c>
      <c r="L90" s="25">
        <f>VLOOKUP(B90,'Data yoy'!$A:$AW,MATCH($L$1,'Data yoy'!$A$1:$AW$1,),)</f>
        <v/>
      </c>
      <c r="M90" s="25">
        <f>VLOOKUP(B90,'Data yoy'!$A:$AW,MATCH($M$1,'Data yoy'!$A$1:$AW$1,),)</f>
        <v/>
      </c>
      <c r="N90" s="25">
        <f>VLOOKUP(B90,'Data yoy'!$A:$AW,MATCH($N$1,'Data yoy'!$A$1:$AW$1,),)</f>
        <v/>
      </c>
      <c r="O90" s="25">
        <f>VLOOKUP(B90,'Data yoy'!$A:$AW,MATCH($O$1,'Data yoy'!$A$1:$AW$1,),)</f>
        <v/>
      </c>
      <c r="P90" s="25">
        <f>VLOOKUP(B90,'Data yoy'!$A:$AW,MATCH($P$1,'Data yoy'!$A$1:$AW$1,),)</f>
        <v/>
      </c>
      <c r="Q90" s="25">
        <f>VLOOKUP(B90,'Data yoy'!$A:$AW,MATCH($Q$1,'Data yoy'!$A$1:$AW$1,),)</f>
        <v/>
      </c>
      <c r="R90" s="25">
        <f>VLOOKUP(B90,'Data yoy'!$A:$AW,MATCH($R$1,'Data yoy'!$A$1:$AW$1,),)</f>
        <v/>
      </c>
      <c r="S90" s="25">
        <f>VLOOKUP(B90,'Data yoy'!$A:$AW,MATCH($S$1,'Data yoy'!$A$1:$AW$1,),)</f>
        <v/>
      </c>
      <c r="T90" s="25">
        <f>VLOOKUP(B90,'Data yoy'!$A:$AW,MATCH($T$1,'Data yoy'!$A$1:$AW$1,),)</f>
        <v/>
      </c>
      <c r="U90" s="25">
        <f>VLOOKUP(B90,'Data yoy'!$A:$AW,MATCH($U$1,'Data yoy'!$A$1:$AW$1,),)</f>
        <v/>
      </c>
      <c r="V90" s="25">
        <f>VLOOKUP(B90,'Data yoy'!$A:$AW,MATCH($V$1,'Data yoy'!$A$1:$AW$1,),)</f>
        <v/>
      </c>
      <c r="W90" s="25">
        <f>VLOOKUP(B90,'Data yoy'!$A:$AW,MATCH($W$1,'Data yoy'!$A$1:$AW$1,),)</f>
        <v/>
      </c>
      <c r="X90" s="25">
        <f>VLOOKUP(B90,'Data yoy'!$A:$AW,MATCH($X$1,'Data yoy'!$A$1:$AW$1,),)</f>
        <v/>
      </c>
      <c r="Y90" s="25">
        <f>VLOOKUP(B90,'Data yoy'!$A:$AW,MATCH($Y$1,'Data yoy'!$A$1:$AW$1,),)</f>
        <v/>
      </c>
      <c r="Z90" s="25">
        <f>VLOOKUP(B90,'Data yoy'!$A:$AW,MATCH($Z$1,'Data yoy'!$A$1:$AW$1,),)</f>
        <v/>
      </c>
      <c r="AA90" s="25">
        <f>VLOOKUP(B90,'Data yoy'!$A:$AW,MATCH($AA$1,'Data yoy'!$A$1:$AW$1,),)</f>
        <v/>
      </c>
      <c r="AC90" s="26">
        <f>B90</f>
        <v/>
      </c>
      <c r="AD90" s="27">
        <f>(VLOOKUP(AC90,B:Y,MATCH($AE$6,$B$1:$Y$1,),))</f>
        <v/>
      </c>
      <c r="AE90" s="27">
        <f>(VLOOKUP(AC90,B:Y,MATCH($AE$7,$B$1:$Y$1,),))</f>
        <v/>
      </c>
      <c r="AF90" s="27">
        <f>AD90-AE90</f>
        <v/>
      </c>
    </row>
    <row r="91" customFormat="1" s="74">
      <c r="B91" s="24" t="inlineStr">
        <is>
          <t>2020-Q1</t>
        </is>
      </c>
      <c r="C91" s="25">
        <f>VLOOKUP(B91,'Data yoy'!$A:$AW,MATCH($C$1,'Data yoy'!$A$1:$AW$1,),)</f>
        <v/>
      </c>
      <c r="D91" s="25">
        <f>VLOOKUP(B91,'Data yoy'!$A:$AW,MATCH($D$1,'Data yoy'!$A$1:$AW$1,),)</f>
        <v/>
      </c>
      <c r="E91" s="25">
        <f>VLOOKUP(B91,'Data yoy'!$A:$AW,MATCH($E$1,'Data yoy'!$A$1:$AW$1,),)</f>
        <v/>
      </c>
      <c r="F91" s="25">
        <f>VLOOKUP(B91,'Data yoy'!$A:$AW,MATCH($F$1,'Data yoy'!$A$1:$AW$1,),)</f>
        <v/>
      </c>
      <c r="G91" s="25">
        <f>VLOOKUP(B91,'Data yoy'!$A:$AW,MATCH($G$1,'Data yoy'!$A$1:$AW$1,),)</f>
        <v/>
      </c>
      <c r="H91" s="25">
        <f>VLOOKUP(B91,'Data yoy'!$A:$AW,MATCH($H$1,'Data yoy'!$A$1:$AW$1,),)</f>
        <v/>
      </c>
      <c r="I91" s="25">
        <f>VLOOKUP(B91,'Data yoy'!$A:$AW,MATCH($I$1,'Data yoy'!$A$1:$AW$1,),)</f>
        <v/>
      </c>
      <c r="J91" s="25">
        <f>VLOOKUP(B91,'Data yoy'!$A:$AW,MATCH($J$1,'Data yoy'!$A$1:$AW$1,),)</f>
        <v/>
      </c>
      <c r="K91" s="25">
        <f>VLOOKUP(B91,'Data yoy'!$A:$AW,MATCH($K$1,'Data yoy'!$A$1:$AW$1,),)</f>
        <v/>
      </c>
      <c r="L91" s="25">
        <f>VLOOKUP(B91,'Data yoy'!$A:$AW,MATCH($L$1,'Data yoy'!$A$1:$AW$1,),)</f>
        <v/>
      </c>
      <c r="M91" s="25">
        <f>VLOOKUP(B91,'Data yoy'!$A:$AW,MATCH($M$1,'Data yoy'!$A$1:$AW$1,),)</f>
        <v/>
      </c>
      <c r="N91" s="25">
        <f>VLOOKUP(B91,'Data yoy'!$A:$AW,MATCH($N$1,'Data yoy'!$A$1:$AW$1,),)</f>
        <v/>
      </c>
      <c r="O91" s="25">
        <f>VLOOKUP(B91,'Data yoy'!$A:$AW,MATCH($O$1,'Data yoy'!$A$1:$AW$1,),)</f>
        <v/>
      </c>
      <c r="P91" s="25">
        <f>VLOOKUP(B91,'Data yoy'!$A:$AW,MATCH($P$1,'Data yoy'!$A$1:$AW$1,),)</f>
        <v/>
      </c>
      <c r="Q91" s="25">
        <f>VLOOKUP(B91,'Data yoy'!$A:$AW,MATCH($Q$1,'Data yoy'!$A$1:$AW$1,),)</f>
        <v/>
      </c>
      <c r="R91" s="25">
        <f>VLOOKUP(B91,'Data yoy'!$A:$AW,MATCH($R$1,'Data yoy'!$A$1:$AW$1,),)</f>
        <v/>
      </c>
      <c r="S91" s="25">
        <f>VLOOKUP(B91,'Data yoy'!$A:$AW,MATCH($S$1,'Data yoy'!$A$1:$AW$1,),)</f>
        <v/>
      </c>
      <c r="T91" s="25">
        <f>VLOOKUP(B91,'Data yoy'!$A:$AW,MATCH($T$1,'Data yoy'!$A$1:$AW$1,),)</f>
        <v/>
      </c>
      <c r="U91" s="25">
        <f>VLOOKUP(B91,'Data yoy'!$A:$AW,MATCH($U$1,'Data yoy'!$A$1:$AW$1,),)</f>
        <v/>
      </c>
      <c r="V91" s="25">
        <f>VLOOKUP(B91,'Data yoy'!$A:$AW,MATCH($V$1,'Data yoy'!$A$1:$AW$1,),)</f>
        <v/>
      </c>
      <c r="W91" s="25">
        <f>VLOOKUP(B91,'Data yoy'!$A:$AW,MATCH($W$1,'Data yoy'!$A$1:$AW$1,),)</f>
        <v/>
      </c>
      <c r="X91" s="25">
        <f>VLOOKUP(B91,'Data yoy'!$A:$AW,MATCH($X$1,'Data yoy'!$A$1:$AW$1,),)</f>
        <v/>
      </c>
      <c r="Y91" s="25">
        <f>VLOOKUP(B91,'Data yoy'!$A:$AW,MATCH($Y$1,'Data yoy'!$A$1:$AW$1,),)</f>
        <v/>
      </c>
      <c r="Z91" s="25">
        <f>VLOOKUP(B91,'Data yoy'!$A:$AW,MATCH($Z$1,'Data yoy'!$A$1:$AW$1,),)</f>
        <v/>
      </c>
      <c r="AA91" s="25">
        <f>VLOOKUP(B91,'Data yoy'!$A:$AW,MATCH($AA$1,'Data yoy'!$A$1:$AW$1,),)</f>
        <v/>
      </c>
      <c r="AC91" s="26">
        <f>B91</f>
        <v/>
      </c>
      <c r="AD91" s="27">
        <f>(VLOOKUP(AC91,B:Y,MATCH($AE$6,$B$1:$Y$1,),))</f>
        <v/>
      </c>
      <c r="AE91" s="27">
        <f>(VLOOKUP(AC91,B:Y,MATCH($AE$7,$B$1:$Y$1,),))</f>
        <v/>
      </c>
      <c r="AF91" s="27">
        <f>AD91-AE91</f>
        <v/>
      </c>
    </row>
    <row r="92" customFormat="1" s="74">
      <c r="B92" s="24" t="inlineStr">
        <is>
          <t>2020-Q2</t>
        </is>
      </c>
      <c r="C92" s="25">
        <f>VLOOKUP(B92,'Data yoy'!$A:$AW,MATCH($C$1,'Data yoy'!$A$1:$AW$1,),)</f>
        <v/>
      </c>
      <c r="D92" s="25">
        <f>VLOOKUP(B92,'Data yoy'!$A:$AW,MATCH($D$1,'Data yoy'!$A$1:$AW$1,),)</f>
        <v/>
      </c>
      <c r="E92" s="25">
        <f>VLOOKUP(B92,'Data yoy'!$A:$AW,MATCH($E$1,'Data yoy'!$A$1:$AW$1,),)</f>
        <v/>
      </c>
      <c r="F92" s="25">
        <f>VLOOKUP(B92,'Data yoy'!$A:$AW,MATCH($F$1,'Data yoy'!$A$1:$AW$1,),)</f>
        <v/>
      </c>
      <c r="G92" s="25">
        <f>VLOOKUP(B92,'Data yoy'!$A:$AW,MATCH($G$1,'Data yoy'!$A$1:$AW$1,),)</f>
        <v/>
      </c>
      <c r="H92" s="25">
        <f>VLOOKUP(B92,'Data yoy'!$A:$AW,MATCH($H$1,'Data yoy'!$A$1:$AW$1,),)</f>
        <v/>
      </c>
      <c r="I92" s="25">
        <f>VLOOKUP(B92,'Data yoy'!$A:$AW,MATCH($I$1,'Data yoy'!$A$1:$AW$1,),)</f>
        <v/>
      </c>
      <c r="J92" s="25">
        <f>VLOOKUP(B92,'Data yoy'!$A:$AW,MATCH($J$1,'Data yoy'!$A$1:$AW$1,),)</f>
        <v/>
      </c>
      <c r="K92" s="25">
        <f>VLOOKUP(B92,'Data yoy'!$A:$AW,MATCH($K$1,'Data yoy'!$A$1:$AW$1,),)</f>
        <v/>
      </c>
      <c r="L92" s="25">
        <f>VLOOKUP(B92,'Data yoy'!$A:$AW,MATCH($L$1,'Data yoy'!$A$1:$AW$1,),)</f>
        <v/>
      </c>
      <c r="M92" s="25">
        <f>VLOOKUP(B92,'Data yoy'!$A:$AW,MATCH($M$1,'Data yoy'!$A$1:$AW$1,),)</f>
        <v/>
      </c>
      <c r="N92" s="25">
        <f>VLOOKUP(B92,'Data yoy'!$A:$AW,MATCH($N$1,'Data yoy'!$A$1:$AW$1,),)</f>
        <v/>
      </c>
      <c r="O92" s="25">
        <f>VLOOKUP(B92,'Data yoy'!$A:$AW,MATCH($O$1,'Data yoy'!$A$1:$AW$1,),)</f>
        <v/>
      </c>
      <c r="P92" s="25">
        <f>VLOOKUP(B92,'Data yoy'!$A:$AW,MATCH($P$1,'Data yoy'!$A$1:$AW$1,),)</f>
        <v/>
      </c>
      <c r="Q92" s="25">
        <f>VLOOKUP(B92,'Data yoy'!$A:$AW,MATCH($Q$1,'Data yoy'!$A$1:$AW$1,),)</f>
        <v/>
      </c>
      <c r="R92" s="25">
        <f>VLOOKUP(B92,'Data yoy'!$A:$AW,MATCH($R$1,'Data yoy'!$A$1:$AW$1,),)</f>
        <v/>
      </c>
      <c r="S92" s="25">
        <f>VLOOKUP(B92,'Data yoy'!$A:$AW,MATCH($S$1,'Data yoy'!$A$1:$AW$1,),)</f>
        <v/>
      </c>
      <c r="T92" s="25">
        <f>VLOOKUP(B92,'Data yoy'!$A:$AW,MATCH($T$1,'Data yoy'!$A$1:$AW$1,),)</f>
        <v/>
      </c>
      <c r="U92" s="25">
        <f>VLOOKUP(B92,'Data yoy'!$A:$AW,MATCH($U$1,'Data yoy'!$A$1:$AW$1,),)</f>
        <v/>
      </c>
      <c r="V92" s="25">
        <f>VLOOKUP(B92,'Data yoy'!$A:$AW,MATCH($V$1,'Data yoy'!$A$1:$AW$1,),)</f>
        <v/>
      </c>
      <c r="W92" s="25">
        <f>VLOOKUP(B92,'Data yoy'!$A:$AW,MATCH($W$1,'Data yoy'!$A$1:$AW$1,),)</f>
        <v/>
      </c>
      <c r="X92" s="25">
        <f>VLOOKUP(B92,'Data yoy'!$A:$AW,MATCH($X$1,'Data yoy'!$A$1:$AW$1,),)</f>
        <v/>
      </c>
      <c r="Y92" s="25">
        <f>VLOOKUP(B92,'Data yoy'!$A:$AW,MATCH($Y$1,'Data yoy'!$A$1:$AW$1,),)</f>
        <v/>
      </c>
      <c r="Z92" s="25">
        <f>VLOOKUP(B92,'Data yoy'!$A:$AW,MATCH($Z$1,'Data yoy'!$A$1:$AW$1,),)</f>
        <v/>
      </c>
      <c r="AA92" s="25">
        <f>VLOOKUP(B92,'Data yoy'!$A:$AW,MATCH($AA$1,'Data yoy'!$A$1:$AW$1,),)</f>
        <v/>
      </c>
      <c r="AC92" s="26">
        <f>B92</f>
        <v/>
      </c>
      <c r="AD92" s="27">
        <f>(VLOOKUP(AC92,B:Y,MATCH($AE$6,$B$1:$Y$1,),))</f>
        <v/>
      </c>
      <c r="AE92" s="27">
        <f>(VLOOKUP(AC92,B:Y,MATCH($AE$7,$B$1:$Y$1,),))</f>
        <v/>
      </c>
      <c r="AF92" s="27">
        <f>AD92-AE92</f>
        <v/>
      </c>
    </row>
    <row r="93" customFormat="1" s="74">
      <c r="B93" s="24" t="inlineStr">
        <is>
          <t>2020-Q3</t>
        </is>
      </c>
      <c r="C93" s="25">
        <f>VLOOKUP(B93,'Data yoy'!$A:$AW,MATCH($C$1,'Data yoy'!$A$1:$AW$1,),)</f>
        <v/>
      </c>
      <c r="D93" s="25">
        <f>VLOOKUP(B93,'Data yoy'!$A:$AW,MATCH($D$1,'Data yoy'!$A$1:$AW$1,),)</f>
        <v/>
      </c>
      <c r="E93" s="25">
        <f>VLOOKUP(B93,'Data yoy'!$A:$AW,MATCH($E$1,'Data yoy'!$A$1:$AW$1,),)</f>
        <v/>
      </c>
      <c r="F93" s="25">
        <f>VLOOKUP(B93,'Data yoy'!$A:$AW,MATCH($F$1,'Data yoy'!$A$1:$AW$1,),)</f>
        <v/>
      </c>
      <c r="G93" s="25">
        <f>VLOOKUP(B93,'Data yoy'!$A:$AW,MATCH($G$1,'Data yoy'!$A$1:$AW$1,),)</f>
        <v/>
      </c>
      <c r="H93" s="25">
        <f>VLOOKUP(B93,'Data yoy'!$A:$AW,MATCH($H$1,'Data yoy'!$A$1:$AW$1,),)</f>
        <v/>
      </c>
      <c r="I93" s="25">
        <f>VLOOKUP(B93,'Data yoy'!$A:$AW,MATCH($I$1,'Data yoy'!$A$1:$AW$1,),)</f>
        <v/>
      </c>
      <c r="J93" s="25">
        <f>VLOOKUP(B93,'Data yoy'!$A:$AW,MATCH($J$1,'Data yoy'!$A$1:$AW$1,),)</f>
        <v/>
      </c>
      <c r="K93" s="25">
        <f>VLOOKUP(B93,'Data yoy'!$A:$AW,MATCH($K$1,'Data yoy'!$A$1:$AW$1,),)</f>
        <v/>
      </c>
      <c r="L93" s="25">
        <f>VLOOKUP(B93,'Data yoy'!$A:$AW,MATCH($L$1,'Data yoy'!$A$1:$AW$1,),)</f>
        <v/>
      </c>
      <c r="M93" s="25">
        <f>VLOOKUP(B93,'Data yoy'!$A:$AW,MATCH($M$1,'Data yoy'!$A$1:$AW$1,),)</f>
        <v/>
      </c>
      <c r="N93" s="25">
        <f>VLOOKUP(B93,'Data yoy'!$A:$AW,MATCH($N$1,'Data yoy'!$A$1:$AW$1,),)</f>
        <v/>
      </c>
      <c r="O93" s="25">
        <f>VLOOKUP(B93,'Data yoy'!$A:$AW,MATCH($O$1,'Data yoy'!$A$1:$AW$1,),)</f>
        <v/>
      </c>
      <c r="P93" s="25">
        <f>VLOOKUP(B93,'Data yoy'!$A:$AW,MATCH($P$1,'Data yoy'!$A$1:$AW$1,),)</f>
        <v/>
      </c>
      <c r="Q93" s="25">
        <f>VLOOKUP(B93,'Data yoy'!$A:$AW,MATCH($Q$1,'Data yoy'!$A$1:$AW$1,),)</f>
        <v/>
      </c>
      <c r="R93" s="25">
        <f>VLOOKUP(B93,'Data yoy'!$A:$AW,MATCH($R$1,'Data yoy'!$A$1:$AW$1,),)</f>
        <v/>
      </c>
      <c r="S93" s="25">
        <f>VLOOKUP(B93,'Data yoy'!$A:$AW,MATCH($S$1,'Data yoy'!$A$1:$AW$1,),)</f>
        <v/>
      </c>
      <c r="T93" s="25">
        <f>VLOOKUP(B93,'Data yoy'!$A:$AW,MATCH($T$1,'Data yoy'!$A$1:$AW$1,),)</f>
        <v/>
      </c>
      <c r="U93" s="25">
        <f>VLOOKUP(B93,'Data yoy'!$A:$AW,MATCH($U$1,'Data yoy'!$A$1:$AW$1,),)</f>
        <v/>
      </c>
      <c r="V93" s="25">
        <f>VLOOKUP(B93,'Data yoy'!$A:$AW,MATCH($V$1,'Data yoy'!$A$1:$AW$1,),)</f>
        <v/>
      </c>
      <c r="W93" s="25">
        <f>VLOOKUP(B93,'Data yoy'!$A:$AW,MATCH($W$1,'Data yoy'!$A$1:$AW$1,),)</f>
        <v/>
      </c>
      <c r="X93" s="25">
        <f>VLOOKUP(B93,'Data yoy'!$A:$AW,MATCH($X$1,'Data yoy'!$A$1:$AW$1,),)</f>
        <v/>
      </c>
      <c r="Y93" s="25">
        <f>VLOOKUP(B93,'Data yoy'!$A:$AW,MATCH($Y$1,'Data yoy'!$A$1:$AW$1,),)</f>
        <v/>
      </c>
      <c r="Z93" s="25">
        <f>VLOOKUP(B93,'Data yoy'!$A:$AW,MATCH($Z$1,'Data yoy'!$A$1:$AW$1,),)</f>
        <v/>
      </c>
      <c r="AA93" s="25">
        <f>VLOOKUP(B93,'Data yoy'!$A:$AW,MATCH($AA$1,'Data yoy'!$A$1:$AW$1,),)</f>
        <v/>
      </c>
      <c r="AC93" s="26">
        <f>B93</f>
        <v/>
      </c>
      <c r="AD93" s="27">
        <f>(VLOOKUP(AC93,B:Y,MATCH($AE$6,$B$1:$Y$1,),))</f>
        <v/>
      </c>
      <c r="AE93" s="27">
        <f>(VLOOKUP(AC93,B:Y,MATCH($AE$7,$B$1:$Y$1,),))</f>
        <v/>
      </c>
      <c r="AF93" s="27">
        <f>AD93-AE93</f>
        <v/>
      </c>
    </row>
    <row r="94" customFormat="1" s="74">
      <c r="B94" s="24" t="inlineStr">
        <is>
          <t>2020-Q4</t>
        </is>
      </c>
      <c r="C94" s="25">
        <f>VLOOKUP(B94,'Data yoy'!$A:$AW,MATCH($C$1,'Data yoy'!$A$1:$AW$1,),)</f>
        <v/>
      </c>
      <c r="D94" s="25">
        <f>VLOOKUP(B94,'Data yoy'!$A:$AW,MATCH($D$1,'Data yoy'!$A$1:$AW$1,),)</f>
        <v/>
      </c>
      <c r="E94" s="25">
        <f>VLOOKUP(B94,'Data yoy'!$A:$AW,MATCH($E$1,'Data yoy'!$A$1:$AW$1,),)</f>
        <v/>
      </c>
      <c r="F94" s="25">
        <f>VLOOKUP(B94,'Data yoy'!$A:$AW,MATCH($F$1,'Data yoy'!$A$1:$AW$1,),)</f>
        <v/>
      </c>
      <c r="G94" s="25">
        <f>VLOOKUP(B94,'Data yoy'!$A:$AW,MATCH($G$1,'Data yoy'!$A$1:$AW$1,),)</f>
        <v/>
      </c>
      <c r="H94" s="25">
        <f>VLOOKUP(B94,'Data yoy'!$A:$AW,MATCH($H$1,'Data yoy'!$A$1:$AW$1,),)</f>
        <v/>
      </c>
      <c r="I94" s="25">
        <f>VLOOKUP(B94,'Data yoy'!$A:$AW,MATCH($I$1,'Data yoy'!$A$1:$AW$1,),)</f>
        <v/>
      </c>
      <c r="J94" s="25">
        <f>VLOOKUP(B94,'Data yoy'!$A:$AW,MATCH($J$1,'Data yoy'!$A$1:$AW$1,),)</f>
        <v/>
      </c>
      <c r="K94" s="25">
        <f>VLOOKUP(B94,'Data yoy'!$A:$AW,MATCH($K$1,'Data yoy'!$A$1:$AW$1,),)</f>
        <v/>
      </c>
      <c r="L94" s="25">
        <f>VLOOKUP(B94,'Data yoy'!$A:$AW,MATCH($L$1,'Data yoy'!$A$1:$AW$1,),)</f>
        <v/>
      </c>
      <c r="M94" s="25">
        <f>VLOOKUP(B94,'Data yoy'!$A:$AW,MATCH($M$1,'Data yoy'!$A$1:$AW$1,),)</f>
        <v/>
      </c>
      <c r="N94" s="25">
        <f>VLOOKUP(B94,'Data yoy'!$A:$AW,MATCH($N$1,'Data yoy'!$A$1:$AW$1,),)</f>
        <v/>
      </c>
      <c r="O94" s="25">
        <f>VLOOKUP(B94,'Data yoy'!$A:$AW,MATCH($O$1,'Data yoy'!$A$1:$AW$1,),)</f>
        <v/>
      </c>
      <c r="P94" s="25">
        <f>VLOOKUP(B94,'Data yoy'!$A:$AW,MATCH($P$1,'Data yoy'!$A$1:$AW$1,),)</f>
        <v/>
      </c>
      <c r="Q94" s="25">
        <f>VLOOKUP(B94,'Data yoy'!$A:$AW,MATCH($Q$1,'Data yoy'!$A$1:$AW$1,),)</f>
        <v/>
      </c>
      <c r="R94" s="25">
        <f>VLOOKUP(B94,'Data yoy'!$A:$AW,MATCH($R$1,'Data yoy'!$A$1:$AW$1,),)</f>
        <v/>
      </c>
      <c r="S94" s="25">
        <f>VLOOKUP(B94,'Data yoy'!$A:$AW,MATCH($S$1,'Data yoy'!$A$1:$AW$1,),)</f>
        <v/>
      </c>
      <c r="T94" s="25">
        <f>VLOOKUP(B94,'Data yoy'!$A:$AW,MATCH($T$1,'Data yoy'!$A$1:$AW$1,),)</f>
        <v/>
      </c>
      <c r="U94" s="25">
        <f>VLOOKUP(B94,'Data yoy'!$A:$AW,MATCH($U$1,'Data yoy'!$A$1:$AW$1,),)</f>
        <v/>
      </c>
      <c r="V94" s="25">
        <f>VLOOKUP(B94,'Data yoy'!$A:$AW,MATCH($V$1,'Data yoy'!$A$1:$AW$1,),)</f>
        <v/>
      </c>
      <c r="W94" s="25">
        <f>VLOOKUP(B94,'Data yoy'!$A:$AW,MATCH($W$1,'Data yoy'!$A$1:$AW$1,),)</f>
        <v/>
      </c>
      <c r="X94" s="25">
        <f>VLOOKUP(B94,'Data yoy'!$A:$AW,MATCH($X$1,'Data yoy'!$A$1:$AW$1,),)</f>
        <v/>
      </c>
      <c r="Y94" s="25">
        <f>VLOOKUP(B94,'Data yoy'!$A:$AW,MATCH($Y$1,'Data yoy'!$A$1:$AW$1,),)</f>
        <v/>
      </c>
      <c r="Z94" s="25">
        <f>VLOOKUP(B94,'Data yoy'!$A:$AW,MATCH($Z$1,'Data yoy'!$A$1:$AW$1,),)</f>
        <v/>
      </c>
      <c r="AA94" s="25">
        <f>VLOOKUP(B94,'Data yoy'!$A:$AW,MATCH($AA$1,'Data yoy'!$A$1:$AW$1,),)</f>
        <v/>
      </c>
      <c r="AC94" s="26">
        <f>B94</f>
        <v/>
      </c>
      <c r="AD94" s="27">
        <f>(VLOOKUP(AC94,B:Y,MATCH($AE$6,$B$1:$Y$1,),))</f>
        <v/>
      </c>
      <c r="AE94" s="27">
        <f>(VLOOKUP(AC94,B:Y,MATCH($AE$7,$B$1:$Y$1,),))</f>
        <v/>
      </c>
      <c r="AF94" s="27">
        <f>AD94-AE94</f>
        <v/>
      </c>
    </row>
    <row r="95" customFormat="1" s="74">
      <c r="B95" s="24" t="inlineStr">
        <is>
          <t>2021-Q1</t>
        </is>
      </c>
      <c r="C95" s="25">
        <f>VLOOKUP(B95,'Data yoy'!$A:$AW,MATCH($C$1,'Data yoy'!$A$1:$AW$1,),)</f>
        <v/>
      </c>
      <c r="D95" s="25">
        <f>VLOOKUP(B95,'Data yoy'!$A:$AW,MATCH($D$1,'Data yoy'!$A$1:$AW$1,),)</f>
        <v/>
      </c>
      <c r="E95" s="25">
        <f>VLOOKUP(B95,'Data yoy'!$A:$AW,MATCH($E$1,'Data yoy'!$A$1:$AW$1,),)</f>
        <v/>
      </c>
      <c r="F95" s="25">
        <f>VLOOKUP(B95,'Data yoy'!$A:$AW,MATCH($F$1,'Data yoy'!$A$1:$AW$1,),)</f>
        <v/>
      </c>
      <c r="G95" s="25">
        <f>VLOOKUP(B95,'Data yoy'!$A:$AW,MATCH($G$1,'Data yoy'!$A$1:$AW$1,),)</f>
        <v/>
      </c>
      <c r="H95" s="25">
        <f>VLOOKUP(B95,'Data yoy'!$A:$AW,MATCH($H$1,'Data yoy'!$A$1:$AW$1,),)</f>
        <v/>
      </c>
      <c r="I95" s="25">
        <f>VLOOKUP(B95,'Data yoy'!$A:$AW,MATCH($I$1,'Data yoy'!$A$1:$AW$1,),)</f>
        <v/>
      </c>
      <c r="J95" s="25">
        <f>VLOOKUP(B95,'Data yoy'!$A:$AW,MATCH($J$1,'Data yoy'!$A$1:$AW$1,),)</f>
        <v/>
      </c>
      <c r="K95" s="25">
        <f>VLOOKUP(B95,'Data yoy'!$A:$AW,MATCH($K$1,'Data yoy'!$A$1:$AW$1,),)</f>
        <v/>
      </c>
      <c r="L95" s="25">
        <f>VLOOKUP(B95,'Data yoy'!$A:$AW,MATCH($L$1,'Data yoy'!$A$1:$AW$1,),)</f>
        <v/>
      </c>
      <c r="M95" s="25">
        <f>VLOOKUP(B95,'Data yoy'!$A:$AW,MATCH($M$1,'Data yoy'!$A$1:$AW$1,),)</f>
        <v/>
      </c>
      <c r="N95" s="25">
        <f>VLOOKUP(B95,'Data yoy'!$A:$AW,MATCH($N$1,'Data yoy'!$A$1:$AW$1,),)</f>
        <v/>
      </c>
      <c r="O95" s="25">
        <f>VLOOKUP(B95,'Data yoy'!$A:$AW,MATCH($O$1,'Data yoy'!$A$1:$AW$1,),)</f>
        <v/>
      </c>
      <c r="P95" s="25">
        <f>VLOOKUP(B95,'Data yoy'!$A:$AW,MATCH($P$1,'Data yoy'!$A$1:$AW$1,),)</f>
        <v/>
      </c>
      <c r="Q95" s="25">
        <f>VLOOKUP(B95,'Data yoy'!$A:$AW,MATCH($Q$1,'Data yoy'!$A$1:$AW$1,),)</f>
        <v/>
      </c>
      <c r="R95" s="25">
        <f>VLOOKUP(B95,'Data yoy'!$A:$AW,MATCH($R$1,'Data yoy'!$A$1:$AW$1,),)</f>
        <v/>
      </c>
      <c r="S95" s="25">
        <f>VLOOKUP(B95,'Data yoy'!$A:$AW,MATCH($S$1,'Data yoy'!$A$1:$AW$1,),)</f>
        <v/>
      </c>
      <c r="T95" s="25">
        <f>VLOOKUP(B95,'Data yoy'!$A:$AW,MATCH($T$1,'Data yoy'!$A$1:$AW$1,),)</f>
        <v/>
      </c>
      <c r="U95" s="25">
        <f>VLOOKUP(B95,'Data yoy'!$A:$AW,MATCH($U$1,'Data yoy'!$A$1:$AW$1,),)</f>
        <v/>
      </c>
      <c r="V95" s="25">
        <f>VLOOKUP(B95,'Data yoy'!$A:$AW,MATCH($V$1,'Data yoy'!$A$1:$AW$1,),)</f>
        <v/>
      </c>
      <c r="W95" s="25">
        <f>VLOOKUP(B95,'Data yoy'!$A:$AW,MATCH($W$1,'Data yoy'!$A$1:$AW$1,),)</f>
        <v/>
      </c>
      <c r="X95" s="25">
        <f>VLOOKUP(B95,'Data yoy'!$A:$AW,MATCH($X$1,'Data yoy'!$A$1:$AW$1,),)</f>
        <v/>
      </c>
      <c r="Y95" s="25">
        <f>VLOOKUP(B95,'Data yoy'!$A:$AW,MATCH($Y$1,'Data yoy'!$A$1:$AW$1,),)</f>
        <v/>
      </c>
      <c r="Z95" s="25">
        <f>VLOOKUP(B95,'Data yoy'!$A:$AW,MATCH($Z$1,'Data yoy'!$A$1:$AW$1,),)</f>
        <v/>
      </c>
      <c r="AA95" s="25">
        <f>VLOOKUP(B95,'Data yoy'!$A:$AW,MATCH($AA$1,'Data yoy'!$A$1:$AW$1,),)</f>
        <v/>
      </c>
      <c r="AC95" s="26">
        <f>B95</f>
        <v/>
      </c>
      <c r="AD95" s="27">
        <f>(VLOOKUP(AC95,B:Y,MATCH($AE$6,$B$1:$Y$1,),))</f>
        <v/>
      </c>
      <c r="AE95" s="27">
        <f>(VLOOKUP(AC95,B:Y,MATCH($AE$7,$B$1:$Y$1,),))</f>
        <v/>
      </c>
      <c r="AF95" s="27">
        <f>AD95-AE95</f>
        <v/>
      </c>
    </row>
    <row r="96" customFormat="1" s="74">
      <c r="B96" s="24" t="inlineStr">
        <is>
          <t>2021-Q2</t>
        </is>
      </c>
      <c r="C96" s="25">
        <f>VLOOKUP(B96,'Data yoy'!$A:$AW,MATCH($C$1,'Data yoy'!$A$1:$AW$1,),)</f>
        <v/>
      </c>
      <c r="D96" s="25">
        <f>VLOOKUP(B96,'Data yoy'!$A:$AW,MATCH($D$1,'Data yoy'!$A$1:$AW$1,),)</f>
        <v/>
      </c>
      <c r="E96" s="25">
        <f>VLOOKUP(B96,'Data yoy'!$A:$AW,MATCH($E$1,'Data yoy'!$A$1:$AW$1,),)</f>
        <v/>
      </c>
      <c r="F96" s="25">
        <f>VLOOKUP(B96,'Data yoy'!$A:$AW,MATCH($F$1,'Data yoy'!$A$1:$AW$1,),)</f>
        <v/>
      </c>
      <c r="G96" s="25">
        <f>VLOOKUP(B96,'Data yoy'!$A:$AW,MATCH($G$1,'Data yoy'!$A$1:$AW$1,),)</f>
        <v/>
      </c>
      <c r="H96" s="25">
        <f>VLOOKUP(B96,'Data yoy'!$A:$AW,MATCH($H$1,'Data yoy'!$A$1:$AW$1,),)</f>
        <v/>
      </c>
      <c r="I96" s="25">
        <f>VLOOKUP(B96,'Data yoy'!$A:$AW,MATCH($I$1,'Data yoy'!$A$1:$AW$1,),)</f>
        <v/>
      </c>
      <c r="J96" s="25">
        <f>VLOOKUP(B96,'Data yoy'!$A:$AW,MATCH($J$1,'Data yoy'!$A$1:$AW$1,),)</f>
        <v/>
      </c>
      <c r="K96" s="25">
        <f>VLOOKUP(B96,'Data yoy'!$A:$AW,MATCH($K$1,'Data yoy'!$A$1:$AW$1,),)</f>
        <v/>
      </c>
      <c r="L96" s="25">
        <f>VLOOKUP(B96,'Data yoy'!$A:$AW,MATCH($L$1,'Data yoy'!$A$1:$AW$1,),)</f>
        <v/>
      </c>
      <c r="M96" s="25">
        <f>VLOOKUP(B96,'Data yoy'!$A:$AW,MATCH($M$1,'Data yoy'!$A$1:$AW$1,),)</f>
        <v/>
      </c>
      <c r="N96" s="25">
        <f>VLOOKUP(B96,'Data yoy'!$A:$AW,MATCH($N$1,'Data yoy'!$A$1:$AW$1,),)</f>
        <v/>
      </c>
      <c r="O96" s="25">
        <f>VLOOKUP(B96,'Data yoy'!$A:$AW,MATCH($O$1,'Data yoy'!$A$1:$AW$1,),)</f>
        <v/>
      </c>
      <c r="P96" s="25">
        <f>VLOOKUP(B96,'Data yoy'!$A:$AW,MATCH($P$1,'Data yoy'!$A$1:$AW$1,),)</f>
        <v/>
      </c>
      <c r="Q96" s="25">
        <f>VLOOKUP(B96,'Data yoy'!$A:$AW,MATCH($Q$1,'Data yoy'!$A$1:$AW$1,),)</f>
        <v/>
      </c>
      <c r="R96" s="25">
        <f>VLOOKUP(B96,'Data yoy'!$A:$AW,MATCH($R$1,'Data yoy'!$A$1:$AW$1,),)</f>
        <v/>
      </c>
      <c r="S96" s="25">
        <f>VLOOKUP(B96,'Data yoy'!$A:$AW,MATCH($S$1,'Data yoy'!$A$1:$AW$1,),)</f>
        <v/>
      </c>
      <c r="T96" s="25">
        <f>VLOOKUP(B96,'Data yoy'!$A:$AW,MATCH($T$1,'Data yoy'!$A$1:$AW$1,),)</f>
        <v/>
      </c>
      <c r="U96" s="25">
        <f>VLOOKUP(B96,'Data yoy'!$A:$AW,MATCH($U$1,'Data yoy'!$A$1:$AW$1,),)</f>
        <v/>
      </c>
      <c r="V96" s="25">
        <f>VLOOKUP(B96,'Data yoy'!$A:$AW,MATCH($V$1,'Data yoy'!$A$1:$AW$1,),)</f>
        <v/>
      </c>
      <c r="W96" s="25">
        <f>VLOOKUP(B96,'Data yoy'!$A:$AW,MATCH($W$1,'Data yoy'!$A$1:$AW$1,),)</f>
        <v/>
      </c>
      <c r="X96" s="25">
        <f>VLOOKUP(B96,'Data yoy'!$A:$AW,MATCH($X$1,'Data yoy'!$A$1:$AW$1,),)</f>
        <v/>
      </c>
      <c r="Y96" s="25">
        <f>VLOOKUP(B96,'Data yoy'!$A:$AW,MATCH($Y$1,'Data yoy'!$A$1:$AW$1,),)</f>
        <v/>
      </c>
      <c r="Z96" s="25">
        <f>VLOOKUP(B96,'Data yoy'!$A:$AW,MATCH($Z$1,'Data yoy'!$A$1:$AW$1,),)</f>
        <v/>
      </c>
      <c r="AA96" s="25">
        <f>VLOOKUP(B96,'Data yoy'!$A:$AW,MATCH($AA$1,'Data yoy'!$A$1:$AW$1,),)</f>
        <v/>
      </c>
      <c r="AC96" s="26">
        <f>B96</f>
        <v/>
      </c>
      <c r="AD96" s="27">
        <f>(VLOOKUP(AC96,B:Y,MATCH($AE$6,$B$1:$Y$1,),))</f>
        <v/>
      </c>
      <c r="AE96" s="27">
        <f>(VLOOKUP(AC96,B:Y,MATCH($AE$7,$B$1:$Y$1,),))</f>
        <v/>
      </c>
      <c r="AF96" s="27">
        <f>AD96-AE96</f>
        <v/>
      </c>
    </row>
    <row r="97" customFormat="1" s="74">
      <c r="B97" s="24" t="inlineStr">
        <is>
          <t>2021-Q3</t>
        </is>
      </c>
      <c r="C97" s="25">
        <f>VLOOKUP(B97,'Data yoy'!$A:$AW,MATCH($C$1,'Data yoy'!$A$1:$AW$1,),)</f>
        <v/>
      </c>
      <c r="D97" s="25">
        <f>VLOOKUP(B97,'Data yoy'!$A:$AW,MATCH($D$1,'Data yoy'!$A$1:$AW$1,),)</f>
        <v/>
      </c>
      <c r="E97" s="25">
        <f>VLOOKUP(B97,'Data yoy'!$A:$AW,MATCH($E$1,'Data yoy'!$A$1:$AW$1,),)</f>
        <v/>
      </c>
      <c r="F97" s="25">
        <f>VLOOKUP(B97,'Data yoy'!$A:$AW,MATCH($F$1,'Data yoy'!$A$1:$AW$1,),)</f>
        <v/>
      </c>
      <c r="G97" s="25">
        <f>VLOOKUP(B97,'Data yoy'!$A:$AW,MATCH($G$1,'Data yoy'!$A$1:$AW$1,),)</f>
        <v/>
      </c>
      <c r="H97" s="25">
        <f>VLOOKUP(B97,'Data yoy'!$A:$AW,MATCH($H$1,'Data yoy'!$A$1:$AW$1,),)</f>
        <v/>
      </c>
      <c r="I97" s="25">
        <f>VLOOKUP(B97,'Data yoy'!$A:$AW,MATCH($I$1,'Data yoy'!$A$1:$AW$1,),)</f>
        <v/>
      </c>
      <c r="J97" s="25">
        <f>VLOOKUP(B97,'Data yoy'!$A:$AW,MATCH($J$1,'Data yoy'!$A$1:$AW$1,),)</f>
        <v/>
      </c>
      <c r="K97" s="25">
        <f>VLOOKUP(B97,'Data yoy'!$A:$AW,MATCH($K$1,'Data yoy'!$A$1:$AW$1,),)</f>
        <v/>
      </c>
      <c r="L97" s="25">
        <f>VLOOKUP(B97,'Data yoy'!$A:$AW,MATCH($L$1,'Data yoy'!$A$1:$AW$1,),)</f>
        <v/>
      </c>
      <c r="M97" s="25">
        <f>VLOOKUP(B97,'Data yoy'!$A:$AW,MATCH($M$1,'Data yoy'!$A$1:$AW$1,),)</f>
        <v/>
      </c>
      <c r="N97" s="25">
        <f>VLOOKUP(B97,'Data yoy'!$A:$AW,MATCH($N$1,'Data yoy'!$A$1:$AW$1,),)</f>
        <v/>
      </c>
      <c r="O97" s="25">
        <f>VLOOKUP(B97,'Data yoy'!$A:$AW,MATCH($O$1,'Data yoy'!$A$1:$AW$1,),)</f>
        <v/>
      </c>
      <c r="P97" s="25">
        <f>VLOOKUP(B97,'Data yoy'!$A:$AW,MATCH($P$1,'Data yoy'!$A$1:$AW$1,),)</f>
        <v/>
      </c>
      <c r="Q97" s="25">
        <f>VLOOKUP(B97,'Data yoy'!$A:$AW,MATCH($Q$1,'Data yoy'!$A$1:$AW$1,),)</f>
        <v/>
      </c>
      <c r="R97" s="25">
        <f>VLOOKUP(B97,'Data yoy'!$A:$AW,MATCH($R$1,'Data yoy'!$A$1:$AW$1,),)</f>
        <v/>
      </c>
      <c r="S97" s="25">
        <f>VLOOKUP(B97,'Data yoy'!$A:$AW,MATCH($S$1,'Data yoy'!$A$1:$AW$1,),)</f>
        <v/>
      </c>
      <c r="T97" s="25">
        <f>VLOOKUP(B97,'Data yoy'!$A:$AW,MATCH($T$1,'Data yoy'!$A$1:$AW$1,),)</f>
        <v/>
      </c>
      <c r="U97" s="25">
        <f>VLOOKUP(B97,'Data yoy'!$A:$AW,MATCH($U$1,'Data yoy'!$A$1:$AW$1,),)</f>
        <v/>
      </c>
      <c r="V97" s="25">
        <f>VLOOKUP(B97,'Data yoy'!$A:$AW,MATCH($V$1,'Data yoy'!$A$1:$AW$1,),)</f>
        <v/>
      </c>
      <c r="W97" s="25">
        <f>VLOOKUP(B97,'Data yoy'!$A:$AW,MATCH($W$1,'Data yoy'!$A$1:$AW$1,),)</f>
        <v/>
      </c>
      <c r="X97" s="25">
        <f>VLOOKUP(B97,'Data yoy'!$A:$AW,MATCH($X$1,'Data yoy'!$A$1:$AW$1,),)</f>
        <v/>
      </c>
      <c r="Y97" s="25">
        <f>VLOOKUP(B97,'Data yoy'!$A:$AW,MATCH($Y$1,'Data yoy'!$A$1:$AW$1,),)</f>
        <v/>
      </c>
      <c r="Z97" s="25">
        <f>VLOOKUP(B97,'Data yoy'!$A:$AW,MATCH($Z$1,'Data yoy'!$A$1:$AW$1,),)</f>
        <v/>
      </c>
      <c r="AA97" s="25">
        <f>VLOOKUP(B97,'Data yoy'!$A:$AW,MATCH($AA$1,'Data yoy'!$A$1:$AW$1,),)</f>
        <v/>
      </c>
      <c r="AC97" s="26">
        <f>B97</f>
        <v/>
      </c>
      <c r="AD97" s="27">
        <f>(VLOOKUP(AC97,B:Y,MATCH($AE$6,$B$1:$Y$1,),))</f>
        <v/>
      </c>
      <c r="AE97" s="27">
        <f>(VLOOKUP(AC97,B:Y,MATCH($AE$7,$B$1:$Y$1,),))</f>
        <v/>
      </c>
      <c r="AF97" s="27">
        <f>AD97-AE97</f>
        <v/>
      </c>
    </row>
    <row r="98" customFormat="1" s="74">
      <c r="B98" s="24" t="inlineStr">
        <is>
          <t>2021-Q4</t>
        </is>
      </c>
      <c r="C98" s="25">
        <f>VLOOKUP(B98,'Data yoy'!$A:$AW,MATCH($C$1,'Data yoy'!$A$1:$AW$1,),)</f>
        <v/>
      </c>
      <c r="D98" s="25">
        <f>VLOOKUP(B98,'Data yoy'!$A:$AW,MATCH($D$1,'Data yoy'!$A$1:$AW$1,),)</f>
        <v/>
      </c>
      <c r="E98" s="25">
        <f>VLOOKUP(B98,'Data yoy'!$A:$AW,MATCH($E$1,'Data yoy'!$A$1:$AW$1,),)</f>
        <v/>
      </c>
      <c r="F98" s="25">
        <f>VLOOKUP(B98,'Data yoy'!$A:$AW,MATCH($F$1,'Data yoy'!$A$1:$AW$1,),)</f>
        <v/>
      </c>
      <c r="G98" s="25">
        <f>VLOOKUP(B98,'Data yoy'!$A:$AW,MATCH($G$1,'Data yoy'!$A$1:$AW$1,),)</f>
        <v/>
      </c>
      <c r="H98" s="25">
        <f>VLOOKUP(B98,'Data yoy'!$A:$AW,MATCH($H$1,'Data yoy'!$A$1:$AW$1,),)</f>
        <v/>
      </c>
      <c r="I98" s="25">
        <f>VLOOKUP(B98,'Data yoy'!$A:$AW,MATCH($I$1,'Data yoy'!$A$1:$AW$1,),)</f>
        <v/>
      </c>
      <c r="J98" s="25">
        <f>VLOOKUP(B98,'Data yoy'!$A:$AW,MATCH($J$1,'Data yoy'!$A$1:$AW$1,),)</f>
        <v/>
      </c>
      <c r="K98" s="25">
        <f>VLOOKUP(B98,'Data yoy'!$A:$AW,MATCH($K$1,'Data yoy'!$A$1:$AW$1,),)</f>
        <v/>
      </c>
      <c r="L98" s="25">
        <f>VLOOKUP(B98,'Data yoy'!$A:$AW,MATCH($L$1,'Data yoy'!$A$1:$AW$1,),)</f>
        <v/>
      </c>
      <c r="M98" s="25">
        <f>VLOOKUP(B98,'Data yoy'!$A:$AW,MATCH($M$1,'Data yoy'!$A$1:$AW$1,),)</f>
        <v/>
      </c>
      <c r="N98" s="25">
        <f>VLOOKUP(B98,'Data yoy'!$A:$AW,MATCH($N$1,'Data yoy'!$A$1:$AW$1,),)</f>
        <v/>
      </c>
      <c r="O98" s="25">
        <f>VLOOKUP(B98,'Data yoy'!$A:$AW,MATCH($O$1,'Data yoy'!$A$1:$AW$1,),)</f>
        <v/>
      </c>
      <c r="P98" s="25">
        <f>VLOOKUP(B98,'Data yoy'!$A:$AW,MATCH($P$1,'Data yoy'!$A$1:$AW$1,),)</f>
        <v/>
      </c>
      <c r="Q98" s="25">
        <f>VLOOKUP(B98,'Data yoy'!$A:$AW,MATCH($Q$1,'Data yoy'!$A$1:$AW$1,),)</f>
        <v/>
      </c>
      <c r="R98" s="25">
        <f>VLOOKUP(B98,'Data yoy'!$A:$AW,MATCH($R$1,'Data yoy'!$A$1:$AW$1,),)</f>
        <v/>
      </c>
      <c r="S98" s="25">
        <f>VLOOKUP(B98,'Data yoy'!$A:$AW,MATCH($S$1,'Data yoy'!$A$1:$AW$1,),)</f>
        <v/>
      </c>
      <c r="T98" s="25">
        <f>VLOOKUP(B98,'Data yoy'!$A:$AW,MATCH($T$1,'Data yoy'!$A$1:$AW$1,),)</f>
        <v/>
      </c>
      <c r="U98" s="25">
        <f>VLOOKUP(B98,'Data yoy'!$A:$AW,MATCH($U$1,'Data yoy'!$A$1:$AW$1,),)</f>
        <v/>
      </c>
      <c r="V98" s="25">
        <f>VLOOKUP(B98,'Data yoy'!$A:$AW,MATCH($V$1,'Data yoy'!$A$1:$AW$1,),)</f>
        <v/>
      </c>
      <c r="W98" s="25">
        <f>VLOOKUP(B98,'Data yoy'!$A:$AW,MATCH($W$1,'Data yoy'!$A$1:$AW$1,),)</f>
        <v/>
      </c>
      <c r="X98" s="25">
        <f>VLOOKUP(B98,'Data yoy'!$A:$AW,MATCH($X$1,'Data yoy'!$A$1:$AW$1,),)</f>
        <v/>
      </c>
      <c r="Y98" s="25">
        <f>VLOOKUP(B98,'Data yoy'!$A:$AW,MATCH($Y$1,'Data yoy'!$A$1:$AW$1,),)</f>
        <v/>
      </c>
      <c r="Z98" s="25">
        <f>VLOOKUP(B98,'Data yoy'!$A:$AW,MATCH($Z$1,'Data yoy'!$A$1:$AW$1,),)</f>
        <v/>
      </c>
      <c r="AA98" s="25">
        <f>VLOOKUP(B98,'Data yoy'!$A:$AW,MATCH($AA$1,'Data yoy'!$A$1:$AW$1,),)</f>
        <v/>
      </c>
      <c r="AC98" s="26">
        <f>B98</f>
        <v/>
      </c>
      <c r="AD98" s="27">
        <f>(VLOOKUP(AC98,B:Y,MATCH($AE$6,$B$1:$Y$1,),))</f>
        <v/>
      </c>
      <c r="AE98" s="27">
        <f>(VLOOKUP(AC98,B:Y,MATCH($AE$7,$B$1:$Y$1,),))</f>
        <v/>
      </c>
      <c r="AF98" s="27">
        <f>AD98-AE98</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8 D71:AA98">
    <cfRule type="colorScale" priority="1">
      <colorScale>
        <cfvo type="min"/>
        <cfvo type="percentile" val="50"/>
        <cfvo type="max"/>
        <color rgb="FFF8696B"/>
        <color rgb="FFFFEB84"/>
        <color rgb="FF63BE7B"/>
      </colorScale>
    </cfRule>
  </conditionalFormatting>
  <conditionalFormatting sqref="D11:D70">
    <cfRule type="colorScale" priority="2">
      <colorScale>
        <cfvo type="min"/>
        <cfvo type="percentile" val="50"/>
        <cfvo type="max"/>
        <color rgb="FFF8696B"/>
        <color rgb="FFFFEB84"/>
        <color rgb="FF63BE7B"/>
      </colorScale>
    </cfRule>
  </conditionalFormatting>
  <conditionalFormatting sqref="E11:E70">
    <cfRule type="colorScale" priority="3">
      <colorScale>
        <cfvo type="min"/>
        <cfvo type="percentile" val="50"/>
        <cfvo type="max"/>
        <color rgb="FFF8696B"/>
        <color rgb="FFFFEB84"/>
        <color rgb="FF63BE7B"/>
      </colorScale>
    </cfRule>
  </conditionalFormatting>
  <conditionalFormatting sqref="F11:F70">
    <cfRule type="colorScale" priority="4">
      <colorScale>
        <cfvo type="min"/>
        <cfvo type="percentile" val="50"/>
        <cfvo type="max"/>
        <color rgb="FFF8696B"/>
        <color rgb="FFFFEB84"/>
        <color rgb="FF63BE7B"/>
      </colorScale>
    </cfRule>
  </conditionalFormatting>
  <conditionalFormatting sqref="G11:G70">
    <cfRule type="colorScale" priority="5">
      <colorScale>
        <cfvo type="min"/>
        <cfvo type="percentile" val="50"/>
        <cfvo type="max"/>
        <color rgb="FFF8696B"/>
        <color rgb="FFFFEB84"/>
        <color rgb="FF63BE7B"/>
      </colorScale>
    </cfRule>
  </conditionalFormatting>
  <conditionalFormatting sqref="H11:H70">
    <cfRule type="colorScale" priority="6">
      <colorScale>
        <cfvo type="min"/>
        <cfvo type="percentile" val="50"/>
        <cfvo type="max"/>
        <color rgb="FFF8696B"/>
        <color rgb="FFFFEB84"/>
        <color rgb="FF63BE7B"/>
      </colorScale>
    </cfRule>
  </conditionalFormatting>
  <conditionalFormatting sqref="I11:I70">
    <cfRule type="colorScale" priority="7">
      <colorScale>
        <cfvo type="min"/>
        <cfvo type="percentile" val="50"/>
        <cfvo type="max"/>
        <color rgb="FFF8696B"/>
        <color rgb="FFFFEB84"/>
        <color rgb="FF63BE7B"/>
      </colorScale>
    </cfRule>
  </conditionalFormatting>
  <conditionalFormatting sqref="J11:J70">
    <cfRule type="colorScale" priority="8">
      <colorScale>
        <cfvo type="min"/>
        <cfvo type="percentile" val="50"/>
        <cfvo type="max"/>
        <color rgb="FFF8696B"/>
        <color rgb="FFFFEB84"/>
        <color rgb="FF63BE7B"/>
      </colorScale>
    </cfRule>
  </conditionalFormatting>
  <conditionalFormatting sqref="K11:K70">
    <cfRule type="colorScale" priority="9">
      <colorScale>
        <cfvo type="min"/>
        <cfvo type="percentile" val="50"/>
        <cfvo type="max"/>
        <color rgb="FFF8696B"/>
        <color rgb="FFFFEB84"/>
        <color rgb="FF63BE7B"/>
      </colorScale>
    </cfRule>
  </conditionalFormatting>
  <conditionalFormatting sqref="L11:L70">
    <cfRule type="colorScale" priority="10">
      <colorScale>
        <cfvo type="min"/>
        <cfvo type="percentile" val="50"/>
        <cfvo type="max"/>
        <color rgb="FFF8696B"/>
        <color rgb="FFFFEB84"/>
        <color rgb="FF63BE7B"/>
      </colorScale>
    </cfRule>
  </conditionalFormatting>
  <conditionalFormatting sqref="M11:M70">
    <cfRule type="colorScale" priority="11">
      <colorScale>
        <cfvo type="min"/>
        <cfvo type="percentile" val="50"/>
        <cfvo type="max"/>
        <color rgb="FFF8696B"/>
        <color rgb="FFFFEB84"/>
        <color rgb="FF63BE7B"/>
      </colorScale>
    </cfRule>
  </conditionalFormatting>
  <conditionalFormatting sqref="N11:N70">
    <cfRule type="colorScale" priority="12">
      <colorScale>
        <cfvo type="min"/>
        <cfvo type="percentile" val="50"/>
        <cfvo type="max"/>
        <color rgb="FFF8696B"/>
        <color rgb="FFFFEB84"/>
        <color rgb="FF63BE7B"/>
      </colorScale>
    </cfRule>
  </conditionalFormatting>
  <conditionalFormatting sqref="O11:O70">
    <cfRule type="colorScale" priority="13">
      <colorScale>
        <cfvo type="min"/>
        <cfvo type="percentile" val="50"/>
        <cfvo type="max"/>
        <color rgb="FFF8696B"/>
        <color rgb="FFFFEB84"/>
        <color rgb="FF63BE7B"/>
      </colorScale>
    </cfRule>
  </conditionalFormatting>
  <conditionalFormatting sqref="P11:P70">
    <cfRule type="colorScale" priority="14">
      <colorScale>
        <cfvo type="min"/>
        <cfvo type="percentile" val="50"/>
        <cfvo type="max"/>
        <color rgb="FFF8696B"/>
        <color rgb="FFFFEB84"/>
        <color rgb="FF63BE7B"/>
      </colorScale>
    </cfRule>
  </conditionalFormatting>
  <conditionalFormatting sqref="Q11:Q70">
    <cfRule type="colorScale" priority="15">
      <colorScale>
        <cfvo type="min"/>
        <cfvo type="percentile" val="50"/>
        <cfvo type="max"/>
        <color rgb="FFF8696B"/>
        <color rgb="FFFFEB84"/>
        <color rgb="FF63BE7B"/>
      </colorScale>
    </cfRule>
  </conditionalFormatting>
  <conditionalFormatting sqref="R11:R70">
    <cfRule type="colorScale" priority="16">
      <colorScale>
        <cfvo type="min"/>
        <cfvo type="percentile" val="50"/>
        <cfvo type="max"/>
        <color rgb="FFF8696B"/>
        <color rgb="FFFFEB84"/>
        <color rgb="FF63BE7B"/>
      </colorScale>
    </cfRule>
  </conditionalFormatting>
  <conditionalFormatting sqref="S11:S70">
    <cfRule type="colorScale" priority="17">
      <colorScale>
        <cfvo type="min"/>
        <cfvo type="percentile" val="50"/>
        <cfvo type="max"/>
        <color rgb="FFF8696B"/>
        <color rgb="FFFFEB84"/>
        <color rgb="FF63BE7B"/>
      </colorScale>
    </cfRule>
  </conditionalFormatting>
  <conditionalFormatting sqref="T11:T70">
    <cfRule type="colorScale" priority="18">
      <colorScale>
        <cfvo type="min"/>
        <cfvo type="percentile" val="50"/>
        <cfvo type="max"/>
        <color rgb="FFF8696B"/>
        <color rgb="FFFFEB84"/>
        <color rgb="FF63BE7B"/>
      </colorScale>
    </cfRule>
  </conditionalFormatting>
  <conditionalFormatting sqref="U11:U70">
    <cfRule type="colorScale" priority="19">
      <colorScale>
        <cfvo type="min"/>
        <cfvo type="percentile" val="50"/>
        <cfvo type="max"/>
        <color rgb="FFF8696B"/>
        <color rgb="FFFFEB84"/>
        <color rgb="FF63BE7B"/>
      </colorScale>
    </cfRule>
  </conditionalFormatting>
  <conditionalFormatting sqref="V11:V70">
    <cfRule type="colorScale" priority="20">
      <colorScale>
        <cfvo type="min"/>
        <cfvo type="percentile" val="50"/>
        <cfvo type="max"/>
        <color rgb="FFF8696B"/>
        <color rgb="FFFFEB84"/>
        <color rgb="FF63BE7B"/>
      </colorScale>
    </cfRule>
  </conditionalFormatting>
  <conditionalFormatting sqref="W11:W70">
    <cfRule type="colorScale" priority="21">
      <colorScale>
        <cfvo type="min"/>
        <cfvo type="percentile" val="50"/>
        <cfvo type="max"/>
        <color rgb="FFF8696B"/>
        <color rgb="FFFFEB84"/>
        <color rgb="FF63BE7B"/>
      </colorScale>
    </cfRule>
  </conditionalFormatting>
  <conditionalFormatting sqref="X11:X70">
    <cfRule type="colorScale" priority="22">
      <colorScale>
        <cfvo type="min"/>
        <cfvo type="percentile" val="50"/>
        <cfvo type="max"/>
        <color rgb="FFF8696B"/>
        <color rgb="FFFFEB84"/>
        <color rgb="FF63BE7B"/>
      </colorScale>
    </cfRule>
  </conditionalFormatting>
  <conditionalFormatting sqref="Y11:Y70">
    <cfRule type="colorScale" priority="23">
      <colorScale>
        <cfvo type="min"/>
        <cfvo type="percentile" val="50"/>
        <cfvo type="max"/>
        <color rgb="FFF8696B"/>
        <color rgb="FFFFEB84"/>
        <color rgb="FF63BE7B"/>
      </colorScale>
    </cfRule>
  </conditionalFormatting>
  <conditionalFormatting sqref="Z11:Z70">
    <cfRule type="colorScale" priority="24">
      <colorScale>
        <cfvo type="min"/>
        <cfvo type="percentile" val="50"/>
        <cfvo type="max"/>
        <color rgb="FFF8696B"/>
        <color rgb="FFFFEB84"/>
        <color rgb="FF63BE7B"/>
      </colorScale>
    </cfRule>
  </conditionalFormatting>
  <conditionalFormatting sqref="AA11:AA70">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6.xml><?xml version="1.0" encoding="utf-8"?>
<worksheet xmlns="http://schemas.openxmlformats.org/spreadsheetml/2006/main">
  <sheetPr codeName="Sheet6">
    <tabColor rgb="FF0070C0"/>
    <outlinePr summaryBelow="1" summaryRight="1"/>
    <pageSetUpPr/>
  </sheetPr>
  <dimension ref="B1:AH97"/>
  <sheetViews>
    <sheetView zoomScale="140" zoomScaleNormal="140" workbookViewId="0">
      <selection activeCell="C71" sqref="C71"/>
    </sheetView>
  </sheetViews>
  <sheetFormatPr baseColWidth="10" defaultColWidth="8.83203125" defaultRowHeight="15"/>
  <cols>
    <col width="9.1640625" customWidth="1" style="74" min="1" max="1"/>
    <col width="13.6640625" customWidth="1" style="68" min="2" max="2"/>
    <col width="6.1640625" customWidth="1" style="68" min="3" max="27"/>
    <col width="6.1640625" customWidth="1" style="74" min="28" max="28"/>
    <col width="15.33203125" customWidth="1" style="74" min="29" max="30"/>
    <col width="10.6640625" bestFit="1" customWidth="1" style="74" min="31" max="31"/>
    <col width="9.1640625" customWidth="1" style="74" min="32"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quarter</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13">
        <f>MAX(C90:C93)</f>
        <v/>
      </c>
      <c r="D4" s="13">
        <f>MAX(D90:D93)</f>
        <v/>
      </c>
      <c r="E4" s="13">
        <f>MAX(E90:E93)</f>
        <v/>
      </c>
      <c r="F4" s="13">
        <f>MAX(F90:F93)</f>
        <v/>
      </c>
      <c r="G4" s="13">
        <f>MAX(G90:G93)</f>
        <v/>
      </c>
      <c r="H4" s="13">
        <f>MAX(H90:H93)</f>
        <v/>
      </c>
      <c r="I4" s="13">
        <f>MAX(I90:I93)</f>
        <v/>
      </c>
      <c r="J4" s="13">
        <f>MAX(J90:J93)</f>
        <v/>
      </c>
      <c r="K4" s="13">
        <f>MAX(K90:K93)</f>
        <v/>
      </c>
      <c r="L4" s="13">
        <f>MAX(L90:L93)</f>
        <v/>
      </c>
      <c r="M4" s="13">
        <f>MAX(M90:M93)</f>
        <v/>
      </c>
      <c r="N4" s="13">
        <f>MAX(N90:N93)</f>
        <v/>
      </c>
      <c r="O4" s="13">
        <f>MAX(O90:O93)</f>
        <v/>
      </c>
      <c r="P4" s="13">
        <f>MAX(P90:P93)</f>
        <v/>
      </c>
      <c r="Q4" s="13">
        <f>MAX(Q90:Q93)</f>
        <v/>
      </c>
      <c r="R4" s="13">
        <f>MAX(R90:R93)</f>
        <v/>
      </c>
      <c r="S4" s="13">
        <f>MAX(S90:S93)</f>
        <v/>
      </c>
      <c r="T4" s="13">
        <f>MAX(T90:T93)</f>
        <v/>
      </c>
      <c r="U4" s="13">
        <f>MAX(U90:U93)</f>
        <v/>
      </c>
      <c r="V4" s="13">
        <f>MAX(V90:V93)</f>
        <v/>
      </c>
      <c r="W4" s="13">
        <f>MAX(W90:W93)</f>
        <v/>
      </c>
      <c r="X4" s="13">
        <f>MAX(X90:X93)</f>
        <v/>
      </c>
      <c r="Y4" s="13">
        <f>MAX(Y90:Y93)</f>
        <v/>
      </c>
      <c r="Z4" s="13">
        <f>MAX(Z90:Z93)</f>
        <v/>
      </c>
      <c r="AA4" s="13">
        <f>MAX(AA90:AA93)</f>
        <v/>
      </c>
      <c r="AD4" s="14" t="inlineStr">
        <is>
          <t>12 months</t>
        </is>
      </c>
      <c r="AE4" s="15">
        <f>'Table yoy'!AE4</f>
        <v/>
      </c>
    </row>
    <row r="5">
      <c r="B5" s="4" t="inlineStr">
        <is>
          <t>min 1y</t>
        </is>
      </c>
      <c r="C5" s="13">
        <f>MIN(C90:C93)</f>
        <v/>
      </c>
      <c r="D5" s="13">
        <f>MIN(D90:D93)</f>
        <v/>
      </c>
      <c r="E5" s="13">
        <f>MIN(E90:E93)</f>
        <v/>
      </c>
      <c r="F5" s="13">
        <f>MIN(F90:F93)</f>
        <v/>
      </c>
      <c r="G5" s="13">
        <f>MIN(G90:G93)</f>
        <v/>
      </c>
      <c r="H5" s="13">
        <f>MIN(H90:H93)</f>
        <v/>
      </c>
      <c r="I5" s="13">
        <f>MIN(I90:I93)</f>
        <v/>
      </c>
      <c r="J5" s="13">
        <f>MIN(J90:J93)</f>
        <v/>
      </c>
      <c r="K5" s="13">
        <f>MIN(K90:K93)</f>
        <v/>
      </c>
      <c r="L5" s="13">
        <f>MIN(L90:L93)</f>
        <v/>
      </c>
      <c r="M5" s="13">
        <f>MIN(M90:M93)</f>
        <v/>
      </c>
      <c r="N5" s="13">
        <f>MIN(N90:N93)</f>
        <v/>
      </c>
      <c r="O5" s="13">
        <f>MIN(O90:O93)</f>
        <v/>
      </c>
      <c r="P5" s="13">
        <f>MIN(P90:P93)</f>
        <v/>
      </c>
      <c r="Q5" s="13">
        <f>MIN(Q90:Q93)</f>
        <v/>
      </c>
      <c r="R5" s="13">
        <f>MIN(R90:R93)</f>
        <v/>
      </c>
      <c r="S5" s="13">
        <f>MIN(S90:S93)</f>
        <v/>
      </c>
      <c r="T5" s="13">
        <f>MIN(T90:T93)</f>
        <v/>
      </c>
      <c r="U5" s="13">
        <f>MIN(U90:U93)</f>
        <v/>
      </c>
      <c r="V5" s="13">
        <f>MIN(V90:V93)</f>
        <v/>
      </c>
      <c r="W5" s="13">
        <f>MIN(W90:W93)</f>
        <v/>
      </c>
      <c r="X5" s="13">
        <f>MIN(X90:X93)</f>
        <v/>
      </c>
      <c r="Y5" s="13">
        <f>MIN(Y90:Y93)</f>
        <v/>
      </c>
      <c r="Z5" s="13">
        <f>MIN(Z90:Z93)</f>
        <v/>
      </c>
      <c r="AA5" s="13">
        <f>MIN(AA90:AA93)</f>
        <v/>
      </c>
      <c r="AC5" s="16" t="inlineStr">
        <is>
          <t>SPREAD</t>
        </is>
      </c>
      <c r="AE5" s="17" t="n"/>
    </row>
    <row r="6">
      <c r="B6" s="4" t="inlineStr">
        <is>
          <t>1y avg</t>
        </is>
      </c>
      <c r="C6" s="13">
        <f>AVERAGE(C90:C93)</f>
        <v/>
      </c>
      <c r="D6" s="13">
        <f>AVERAGE(D90:D93)</f>
        <v/>
      </c>
      <c r="E6" s="13">
        <f>AVERAGE(E90:E93)</f>
        <v/>
      </c>
      <c r="F6" s="13">
        <f>AVERAGE(F90:F93)</f>
        <v/>
      </c>
      <c r="G6" s="13">
        <f>AVERAGE(G90:G93)</f>
        <v/>
      </c>
      <c r="H6" s="13">
        <f>AVERAGE(H90:H93)</f>
        <v/>
      </c>
      <c r="I6" s="13">
        <f>AVERAGE(I90:I93)</f>
        <v/>
      </c>
      <c r="J6" s="13">
        <f>AVERAGE(J90:J93)</f>
        <v/>
      </c>
      <c r="K6" s="13">
        <f>AVERAGE(K90:K93)</f>
        <v/>
      </c>
      <c r="L6" s="13">
        <f>AVERAGE(L90:L93)</f>
        <v/>
      </c>
      <c r="M6" s="13">
        <f>AVERAGE(M90:M93)</f>
        <v/>
      </c>
      <c r="N6" s="13">
        <f>AVERAGE(N90:N93)</f>
        <v/>
      </c>
      <c r="O6" s="13">
        <f>AVERAGE(O90:O93)</f>
        <v/>
      </c>
      <c r="P6" s="13">
        <f>AVERAGE(P90:P93)</f>
        <v/>
      </c>
      <c r="Q6" s="13">
        <f>AVERAGE(Q90:Q93)</f>
        <v/>
      </c>
      <c r="R6" s="13">
        <f>AVERAGE(R90:R93)</f>
        <v/>
      </c>
      <c r="S6" s="13">
        <f>AVERAGE(S90:S93)</f>
        <v/>
      </c>
      <c r="T6" s="13">
        <f>AVERAGE(T90:T93)</f>
        <v/>
      </c>
      <c r="U6" s="13">
        <f>AVERAGE(U90:U93)</f>
        <v/>
      </c>
      <c r="V6" s="13">
        <f>AVERAGE(V90:V93)</f>
        <v/>
      </c>
      <c r="W6" s="13">
        <f>AVERAGE(W90:W93)</f>
        <v/>
      </c>
      <c r="X6" s="13">
        <f>AVERAGE(X90:X93)</f>
        <v/>
      </c>
      <c r="Y6" s="13">
        <f>AVERAGE(Y90:Y93)</f>
        <v/>
      </c>
      <c r="Z6" s="13">
        <f>AVERAGE(Z90:Z93)</f>
        <v/>
      </c>
      <c r="AA6" s="13">
        <f>AVERAGE(AA90:AA93)</f>
        <v/>
      </c>
      <c r="AC6" s="18" t="n"/>
      <c r="AD6" s="74" t="inlineStr">
        <is>
          <t>Country 1</t>
        </is>
      </c>
      <c r="AE6" s="17" t="inlineStr">
        <is>
          <t>USA</t>
        </is>
      </c>
    </row>
    <row r="7" ht="16" customHeight="1" s="68" thickBot="1">
      <c r="B7" s="4" t="inlineStr">
        <is>
          <t>Last vs 12m avg</t>
        </is>
      </c>
      <c r="C7" s="13">
        <f>IF((VLOOKUP($AE$2,$B:$Y,MATCH(C3,$B$3:$Y$3,),))&gt;C6,"above","below")</f>
        <v/>
      </c>
      <c r="D7" s="13">
        <f>IF((VLOOKUP($AE$2,$B:$Y,MATCH(D3,$B$3:$Y$3,),))&gt;D6,"above","below")</f>
        <v/>
      </c>
      <c r="E7" s="13">
        <f>IF((VLOOKUP($AE$2,$B:$Y,MATCH(E3,$B$3:$Y$3,),))&gt;E6,"above","below")</f>
        <v/>
      </c>
      <c r="F7" s="13">
        <f>IF((VLOOKUP($AE$2,$B:$Y,MATCH(F3,$B$3:$Y$3,),))&gt;F6,"above","below")</f>
        <v/>
      </c>
      <c r="G7" s="13">
        <f>IF((VLOOKUP($AE$2,$B:$Y,MATCH(G3,$B$3:$Y$3,),))&gt;G6,"above","below")</f>
        <v/>
      </c>
      <c r="H7" s="13">
        <f>IF((VLOOKUP($AE$2,$B:$Y,MATCH(H3,$B$3:$Y$3,),))&gt;H6,"above","below")</f>
        <v/>
      </c>
      <c r="I7" s="13">
        <f>IF((VLOOKUP($AE$2,$B:$Y,MATCH(I3,$B$3:$Y$3,),))&gt;I6,"above","below")</f>
        <v/>
      </c>
      <c r="J7" s="13">
        <f>IF((VLOOKUP($AE$2,$B:$Y,MATCH(J3,$B$3:$Y$3,),))&gt;J6,"above","below")</f>
        <v/>
      </c>
      <c r="K7" s="13">
        <f>IF((VLOOKUP($AE$2,$B:$Y,MATCH(K3,$B$3:$Y$3,),))&gt;K6,"above","below")</f>
        <v/>
      </c>
      <c r="L7" s="13">
        <f>IF((VLOOKUP($AE$2,$B:$Y,MATCH(L3,$B$3:$Y$3,),))&gt;L6,"above","below")</f>
        <v/>
      </c>
      <c r="M7" s="13">
        <f>IF((VLOOKUP($AE$2,$B:$Y,MATCH(M3,$B$3:$Y$3,),))&gt;M6,"above","below")</f>
        <v/>
      </c>
      <c r="N7" s="13">
        <f>IF((VLOOKUP($AE$2,$B:$Y,MATCH(N3,$B$3:$Y$3,),))&gt;N6,"above","below")</f>
        <v/>
      </c>
      <c r="O7" s="13">
        <f>IF((VLOOKUP($AE$2,$B:$Y,MATCH(O3,$B$3:$Y$3,),))&gt;O6,"above","below")</f>
        <v/>
      </c>
      <c r="P7" s="13">
        <f>IF((VLOOKUP($AE$2,$B:$Y,MATCH(P3,$B$3:$Y$3,),))&gt;P6,"above","below")</f>
        <v/>
      </c>
      <c r="Q7" s="13">
        <f>IF((VLOOKUP($AE$2,$B:$Y,MATCH(Q3,$B$3:$Y$3,),))&gt;Q6,"above","below")</f>
        <v/>
      </c>
      <c r="R7" s="13">
        <f>IF((VLOOKUP($AE$2,$B:$Y,MATCH(R3,$B$3:$Y$3,),))&gt;R6,"above","below")</f>
        <v/>
      </c>
      <c r="S7" s="13">
        <f>IF((VLOOKUP($AE$2,$B:$Y,MATCH(S3,$B$3:$Y$3,),))&gt;S6,"above","below")</f>
        <v/>
      </c>
      <c r="T7" s="13">
        <f>IF((VLOOKUP($AE$2,$B:$Y,MATCH(T3,$B$3:$Y$3,),))&gt;T6,"above","below")</f>
        <v/>
      </c>
      <c r="U7" s="13">
        <f>IF((VLOOKUP($AE$2,$B:$Y,MATCH(U3,$B$3:$Y$3,),))&gt;U6,"above","below")</f>
        <v/>
      </c>
      <c r="V7" s="13">
        <f>IF((VLOOKUP($AE$2,$B:$Y,MATCH(V3,$B$3:$Y$3,),))&gt;V6,"above","below")</f>
        <v/>
      </c>
      <c r="W7" s="13">
        <f>IF((VLOOKUP($AE$2,$B:$Y,MATCH(W3,$B$3:$Y$3,),))&gt;W6,"above","below")</f>
        <v/>
      </c>
      <c r="X7" s="13">
        <f>IF((VLOOKUP($AE$2,$B:$Y,MATCH(X3,$B$3:$Y$3,),))&gt;X6,"above","below")</f>
        <v/>
      </c>
      <c r="Y7" s="13">
        <f>IF((VLOOKUP($AE$2,$B:$Y,MATCH(Y3,$B$3:$Y$3,),))&gt;Y6,"above","below")</f>
        <v/>
      </c>
      <c r="Z7" s="13">
        <f>IF((VLOOKUP($AE$2,$B:$Z,MATCH(Z3,$B$3:$Z$3,),))&gt;Z6,"above","below")</f>
        <v/>
      </c>
      <c r="AA7" s="13">
        <f>IF((VLOOKUP($AE$2,$B:$AA,MATCH(AA3,$B$3:$AA$3,),))&gt;AA6,"above","below")</f>
        <v/>
      </c>
      <c r="AC7" s="19" t="n"/>
      <c r="AD7" s="20" t="inlineStr">
        <is>
          <t>Country 2</t>
        </is>
      </c>
      <c r="AE7" s="21" t="inlineStr">
        <is>
          <t>DEU</t>
        </is>
      </c>
    </row>
    <row r="8">
      <c r="B8" s="4" t="inlineStr">
        <is>
          <t>Y/Y</t>
        </is>
      </c>
      <c r="C8" s="13">
        <f>VLOOKUP($AE$2,$B:$Y,MATCH(C3,$B$3:$Y$3,),)-VLOOKUP($AE$4,$B:$Y,MATCH(C3,$B$3:$Y$3,),)</f>
        <v/>
      </c>
      <c r="D8" s="13">
        <f>VLOOKUP($AE$2,$B:$Y,MATCH(D3,$B$3:$Y$3,),)-VLOOKUP($AE$4,$B:$Y,MATCH(D3,$B$3:$Y$3,),)</f>
        <v/>
      </c>
      <c r="E8" s="13">
        <f>VLOOKUP($AE$2,$B:$Y,MATCH(E3,$B$3:$Y$3,),)-VLOOKUP($AE$4,$B:$Y,MATCH(E3,$B$3:$Y$3,),)</f>
        <v/>
      </c>
      <c r="F8" s="13">
        <f>VLOOKUP($AE$2,$B:$Y,MATCH(F3,$B$3:$Y$3,),)-VLOOKUP($AE$4,$B:$Y,MATCH(F3,$B$3:$Y$3,),)</f>
        <v/>
      </c>
      <c r="G8" s="13">
        <f>VLOOKUP($AE$2,$B:$Y,MATCH(G3,$B$3:$Y$3,),)-VLOOKUP($AE$4,$B:$Y,MATCH(G3,$B$3:$Y$3,),)</f>
        <v/>
      </c>
      <c r="H8" s="13">
        <f>VLOOKUP($AE$2,$B:$Y,MATCH(H3,$B$3:$Y$3,),)-VLOOKUP($AE$4,$B:$Y,MATCH(H3,$B$3:$Y$3,),)</f>
        <v/>
      </c>
      <c r="I8" s="13">
        <f>VLOOKUP($AE$2,$B:$Y,MATCH(I3,$B$3:$Y$3,),)-VLOOKUP($AE$4,$B:$Y,MATCH(I3,$B$3:$Y$3,),)</f>
        <v/>
      </c>
      <c r="J8" s="13">
        <f>VLOOKUP($AE$2,$B:$Y,MATCH(J3,$B$3:$Y$3,),)-VLOOKUP($AE$4,$B:$Y,MATCH(J3,$B$3:$Y$3,),)</f>
        <v/>
      </c>
      <c r="K8" s="13">
        <f>VLOOKUP($AE$2,$B:$Y,MATCH(K3,$B$3:$Y$3,),)-VLOOKUP($AE$4,$B:$Y,MATCH(K3,$B$3:$Y$3,),)</f>
        <v/>
      </c>
      <c r="L8" s="13">
        <f>VLOOKUP($AE$2,$B:$Y,MATCH(L3,$B$3:$Y$3,),)-VLOOKUP($AE$4,$B:$Y,MATCH(L3,$B$3:$Y$3,),)</f>
        <v/>
      </c>
      <c r="M8" s="13">
        <f>VLOOKUP($AE$2,$B:$Y,MATCH(M3,$B$3:$Y$3,),)-VLOOKUP($AE$4,$B:$Y,MATCH(M3,$B$3:$Y$3,),)</f>
        <v/>
      </c>
      <c r="N8" s="13">
        <f>VLOOKUP($AE$2,$B:$Y,MATCH(N3,$B$3:$Y$3,),)-VLOOKUP($AE$4,$B:$Y,MATCH(N3,$B$3:$Y$3,),)</f>
        <v/>
      </c>
      <c r="O8" s="13">
        <f>VLOOKUP($AE$2,$B:$Y,MATCH(O3,$B$3:$Y$3,),)-VLOOKUP($AE$4,$B:$Y,MATCH(O3,$B$3:$Y$3,),)</f>
        <v/>
      </c>
      <c r="P8" s="13">
        <f>VLOOKUP($AE$2,$B:$Y,MATCH(P3,$B$3:$Y$3,),)-VLOOKUP($AE$4,$B:$Y,MATCH(P3,$B$3:$Y$3,),)</f>
        <v/>
      </c>
      <c r="Q8" s="13">
        <f>VLOOKUP($AE$2,$B:$Y,MATCH(Q3,$B$3:$Y$3,),)-VLOOKUP($AE$4,$B:$Y,MATCH(Q3,$B$3:$Y$3,),)</f>
        <v/>
      </c>
      <c r="R8" s="13">
        <f>VLOOKUP($AE$2,$B:$Y,MATCH(R3,$B$3:$Y$3,),)-VLOOKUP($AE$4,$B:$Y,MATCH(R3,$B$3:$Y$3,),)</f>
        <v/>
      </c>
      <c r="S8" s="13">
        <f>VLOOKUP($AE$2,$B:$Y,MATCH(S3,$B$3:$Y$3,),)-VLOOKUP($AE$4,$B:$Y,MATCH(S3,$B$3:$Y$3,),)</f>
        <v/>
      </c>
      <c r="T8" s="13">
        <f>VLOOKUP($AE$2,$B:$Y,MATCH(T3,$B$3:$Y$3,),)-VLOOKUP($AE$4,$B:$Y,MATCH(T3,$B$3:$Y$3,),)</f>
        <v/>
      </c>
      <c r="U8" s="13">
        <f>VLOOKUP($AE$2,$B:$Y,MATCH(U3,$B$3:$Y$3,),)-VLOOKUP($AE$4,$B:$Y,MATCH(U3,$B$3:$Y$3,),)</f>
        <v/>
      </c>
      <c r="V8" s="13">
        <f>VLOOKUP($AE$2,$B:$Y,MATCH(V3,$B$3:$Y$3,),)-VLOOKUP($AE$4,$B:$Y,MATCH(V3,$B$3:$Y$3,),)</f>
        <v/>
      </c>
      <c r="W8" s="13">
        <f>VLOOKUP($AE$2,$B:$Y,MATCH(W3,$B$3:$Y$3,),)-VLOOKUP($AE$4,$B:$Y,MATCH(W3,$B$3:$Y$3,),)</f>
        <v/>
      </c>
      <c r="X8" s="13">
        <f>VLOOKUP($AE$2,$B:$Y,MATCH(X3,$B$3:$Y$3,),)-VLOOKUP($AE$4,$B:$Y,MATCH(X3,$B$3:$Y$3,),)</f>
        <v/>
      </c>
      <c r="Y8" s="13">
        <f>VLOOKUP($AE$2,$B:$Y,MATCH(Y3,$B$3:$Y$3,),)-VLOOKUP($AE$4,$B:$Y,MATCH(Y3,$B$3:$Y$3,),)</f>
        <v/>
      </c>
      <c r="Z8" s="13">
        <f>VLOOKUP($AE$2,$B:$Z,MATCH(Z3,$B$3:$Z$3,),)-VLOOKUP($AE$4,$B:$Z,MATCH(Z3,$B$3:$Z$3,),)</f>
        <v/>
      </c>
      <c r="AA8" s="13">
        <f>VLOOKUP($AE$2,$B:$AA,MATCH(AA3,$B$3:$AA$3,),)-VLOOKUP($AE$4,$B:$AA,MATCH(AA3,$B$3:$AA$3,),)</f>
        <v/>
      </c>
    </row>
    <row r="9">
      <c r="B9" s="4" t="inlineStr">
        <is>
          <t>Q/Q</t>
        </is>
      </c>
      <c r="C9" s="13">
        <f>VLOOKUP($AE$2,$B:$Y,MATCH(C3,$B$3:$Y$3,),)-VLOOKUP($AE$3,$B:$Y,MATCH(C3,$B$3:$Y$3,),)</f>
        <v/>
      </c>
      <c r="D9" s="13">
        <f>VLOOKUP($AE$2,$B:$Y,MATCH(D3,$B$3:$Y$3,),)-VLOOKUP($AE$3,$B:$Y,MATCH(D3,$B$3:$Y$3,),)</f>
        <v/>
      </c>
      <c r="E9" s="13">
        <f>VLOOKUP($AE$2,$B:$Y,MATCH(E3,$B$3:$Y$3,),)-VLOOKUP($AE$3,$B:$Y,MATCH(E3,$B$3:$Y$3,),)</f>
        <v/>
      </c>
      <c r="F9" s="13">
        <f>VLOOKUP($AE$2,$B:$Y,MATCH(F3,$B$3:$Y$3,),)-VLOOKUP($AE$3,$B:$Y,MATCH(F3,$B$3:$Y$3,),)</f>
        <v/>
      </c>
      <c r="G9" s="13">
        <f>VLOOKUP($AE$2,$B:$Y,MATCH(G3,$B$3:$Y$3,),)-VLOOKUP($AE$3,$B:$Y,MATCH(G3,$B$3:$Y$3,),)</f>
        <v/>
      </c>
      <c r="H9" s="13">
        <f>VLOOKUP($AE$2,$B:$Y,MATCH(H3,$B$3:$Y$3,),)-VLOOKUP($AE$3,$B:$Y,MATCH(H3,$B$3:$Y$3,),)</f>
        <v/>
      </c>
      <c r="I9" s="13">
        <f>VLOOKUP($AE$2,$B:$Y,MATCH(I3,$B$3:$Y$3,),)-VLOOKUP($AE$3,$B:$Y,MATCH(I3,$B$3:$Y$3,),)</f>
        <v/>
      </c>
      <c r="J9" s="13">
        <f>VLOOKUP($AE$2,$B:$Y,MATCH(J3,$B$3:$Y$3,),)-VLOOKUP($AE$3,$B:$Y,MATCH(J3,$B$3:$Y$3,),)</f>
        <v/>
      </c>
      <c r="K9" s="13">
        <f>VLOOKUP($AE$2,$B:$Y,MATCH(K3,$B$3:$Y$3,),)-VLOOKUP($AE$3,$B:$Y,MATCH(K3,$B$3:$Y$3,),)</f>
        <v/>
      </c>
      <c r="L9" s="13">
        <f>VLOOKUP($AE$2,$B:$Y,MATCH(L3,$B$3:$Y$3,),)-VLOOKUP($AE$3,$B:$Y,MATCH(L3,$B$3:$Y$3,),)</f>
        <v/>
      </c>
      <c r="M9" s="13">
        <f>VLOOKUP($AE$2,$B:$Y,MATCH(M3,$B$3:$Y$3,),)-VLOOKUP($AE$3,$B:$Y,MATCH(M3,$B$3:$Y$3,),)</f>
        <v/>
      </c>
      <c r="N9" s="13">
        <f>VLOOKUP($AE$2,$B:$Y,MATCH(N3,$B$3:$Y$3,),)-VLOOKUP($AE$3,$B:$Y,MATCH(N3,$B$3:$Y$3,),)</f>
        <v/>
      </c>
      <c r="O9" s="13">
        <f>VLOOKUP($AE$2,$B:$Y,MATCH(O3,$B$3:$Y$3,),)-VLOOKUP($AE$3,$B:$Y,MATCH(O3,$B$3:$Y$3,),)</f>
        <v/>
      </c>
      <c r="P9" s="13">
        <f>VLOOKUP($AE$2,$B:$Y,MATCH(P3,$B$3:$Y$3,),)-VLOOKUP($AE$3,$B:$Y,MATCH(P3,$B$3:$Y$3,),)</f>
        <v/>
      </c>
      <c r="Q9" s="13">
        <f>VLOOKUP($AE$2,$B:$Y,MATCH(Q3,$B$3:$Y$3,),)-VLOOKUP($AE$3,$B:$Y,MATCH(Q3,$B$3:$Y$3,),)</f>
        <v/>
      </c>
      <c r="R9" s="13">
        <f>VLOOKUP($AE$2,$B:$Y,MATCH(R3,$B$3:$Y$3,),)-VLOOKUP($AE$3,$B:$Y,MATCH(R3,$B$3:$Y$3,),)</f>
        <v/>
      </c>
      <c r="S9" s="13">
        <f>VLOOKUP($AE$2,$B:$Y,MATCH(S3,$B$3:$Y$3,),)-VLOOKUP($AE$3,$B:$Y,MATCH(S3,$B$3:$Y$3,),)</f>
        <v/>
      </c>
      <c r="T9" s="13">
        <f>VLOOKUP($AE$2,$B:$Y,MATCH(T3,$B$3:$Y$3,),)-VLOOKUP($AE$3,$B:$Y,MATCH(T3,$B$3:$Y$3,),)</f>
        <v/>
      </c>
      <c r="U9" s="13">
        <f>VLOOKUP($AE$2,$B:$Y,MATCH(U3,$B$3:$Y$3,),)-VLOOKUP($AE$3,$B:$Y,MATCH(U3,$B$3:$Y$3,),)</f>
        <v/>
      </c>
      <c r="V9" s="13">
        <f>VLOOKUP($AE$2,$B:$Y,MATCH(V3,$B$3:$Y$3,),)-VLOOKUP($AE$3,$B:$Y,MATCH(V3,$B$3:$Y$3,),)</f>
        <v/>
      </c>
      <c r="W9" s="13">
        <f>VLOOKUP($AE$2,$B:$Y,MATCH(W3,$B$3:$Y$3,),)-VLOOKUP($AE$3,$B:$Y,MATCH(W3,$B$3:$Y$3,),)</f>
        <v/>
      </c>
      <c r="X9" s="13">
        <f>VLOOKUP($AE$2,$B:$Y,MATCH(X3,$B$3:$Y$3,),)-VLOOKUP($AE$3,$B:$Y,MATCH(X3,$B$3:$Y$3,),)</f>
        <v/>
      </c>
      <c r="Y9" s="13">
        <f>VLOOKUP($AE$2,$B:$Y,MATCH(Y3,$B$3:$Y$3,),)-VLOOKUP($AE$3,$B:$Y,MATCH(Y3,$B$3:$Y$3,),)</f>
        <v/>
      </c>
      <c r="Z9" s="13">
        <f>VLOOKUP($AE$2,$B:$Z,MATCH(Z3,$B$3:$Z$3,),)-VLOOKUP($AE$3,$B:$Z,MATCH(Z3,$B$3:$Z$3,),)</f>
        <v/>
      </c>
      <c r="AA9" s="13">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B11" s="24" t="inlineStr">
        <is>
          <t>2000-Q1</t>
        </is>
      </c>
      <c r="C11" s="25">
        <f>VLOOKUP(B11,'Data qoq'!$A:$AT,MATCH($C$1,'Data qoq'!$A$1:$AT$1,),)</f>
        <v/>
      </c>
      <c r="D11" s="25">
        <f>VLOOKUP(B11,'Data qoq'!$A:$AT,MATCH($D$1,'Data qoq'!$A$1:$AT$1,),)</f>
        <v/>
      </c>
      <c r="E11" s="25">
        <f>VLOOKUP(B11,'Data qoq'!$A:$AT,MATCH($E$1,'Data qoq'!$A$1:$AT$1,),)</f>
        <v/>
      </c>
      <c r="F11" s="25">
        <f>VLOOKUP(B11,'Data qoq'!$A:$AT,MATCH($F$1,'Data qoq'!$A$1:$AT$1,),)</f>
        <v/>
      </c>
      <c r="G11" s="25">
        <f>VLOOKUP(B11,'Data qoq'!$A:$AT,MATCH($G$1,'Data qoq'!$A$1:$AT$1,),)</f>
        <v/>
      </c>
      <c r="H11" s="25">
        <f>VLOOKUP(B11,'Data qoq'!$A:$AT,MATCH($H$1,'Data qoq'!$A$1:$AT$1,),)</f>
        <v/>
      </c>
      <c r="I11" s="25">
        <f>VLOOKUP(B11,'Data qoq'!$A:$AT,MATCH($I$1,'Data qoq'!$A$1:$AT$1,),)</f>
        <v/>
      </c>
      <c r="J11" s="25">
        <f>VLOOKUP(B11,'Data qoq'!$A:$AT,MATCH($J$1,'Data qoq'!$A$1:$AT$1,),)</f>
        <v/>
      </c>
      <c r="K11" s="25">
        <f>VLOOKUP(B11,'Data qoq'!$A:$AT,MATCH($K$1,'Data qoq'!$A$1:$AT$1,),)</f>
        <v/>
      </c>
      <c r="L11" s="25">
        <f>VLOOKUP(B11,'Data qoq'!$A:$AT,MATCH($L$1,'Data qoq'!$A$1:$AT$1,),)</f>
        <v/>
      </c>
      <c r="M11" s="25">
        <f>VLOOKUP(B11,'Data qoq'!$A:$AT,MATCH($M$1,'Data qoq'!$A$1:$AT$1,),)</f>
        <v/>
      </c>
      <c r="N11" s="25">
        <f>VLOOKUP(B11,'Data qoq'!$A:$AT,MATCH($N$1,'Data qoq'!$A$1:$AT$1,),)</f>
        <v/>
      </c>
      <c r="O11" s="25">
        <f>VLOOKUP(B11,'Data qoq'!$A:$AT,MATCH($C$1,'Data qoq'!$J$1:$AT$1,),)</f>
        <v/>
      </c>
      <c r="P11" s="25">
        <f>VLOOKUP(B11,'Data qoq'!$A:$AT,MATCH($P$1,'Data qoq'!$A$1:$AT$1,),)</f>
        <v/>
      </c>
      <c r="Q11" s="25">
        <f>VLOOKUP(B11,'Data qoq'!$A:$AT,MATCH($Q$1,'Data qoq'!$A$1:$AT$1,),)</f>
        <v/>
      </c>
      <c r="R11" s="25">
        <f>VLOOKUP(B11,'Data qoq'!$A:$AT,MATCH($E$1,'Data qoq'!$A$1:$AT$1,),)</f>
        <v/>
      </c>
      <c r="S11" s="25">
        <f>VLOOKUP(B11,'Data qoq'!$A:$AT,MATCH($S$1,'Data qoq'!$A$1:$AT$1,),)</f>
        <v/>
      </c>
      <c r="T11" s="25">
        <f>VLOOKUP(B11,'Data qoq'!$A:$AT,MATCH($T$1,'Data qoq'!$A$1:$AT$1,),)</f>
        <v/>
      </c>
      <c r="U11" s="25">
        <f>VLOOKUP(B11,'Data qoq'!$A:$AT,MATCH($U$1,'Data qoq'!$A$1:$AT$1,),)</f>
        <v/>
      </c>
      <c r="V11" s="25">
        <f>VLOOKUP(B11,'Data qoq'!$A:$AT,MATCH($V$1,'Data qoq'!$A$1:$AT$1,),)</f>
        <v/>
      </c>
      <c r="W11" s="25">
        <f>VLOOKUP(B11,'Data qoq'!$A:$AT,MATCH($W$1,'Data qoq'!$A$1:$AT$1,),)</f>
        <v/>
      </c>
      <c r="X11" s="25">
        <f>VLOOKUP(B11,'Data qoq'!$A:$AT,MATCH($X$1,'Data qoq'!$A$1:$AT$1,),)</f>
        <v/>
      </c>
      <c r="Y11" s="25">
        <f>VLOOKUP(B11,'Data qoq'!$A:$AT,MATCH($Y$1,'Data qoq'!$A$1:$AT$1,),)</f>
        <v/>
      </c>
      <c r="Z11" s="25">
        <f>VLOOKUP(B11,'Data qoq'!$A:$AU,MATCH($Z$1,'Data qoq'!$A$1:$AU$1,),)</f>
        <v/>
      </c>
      <c r="AA11" s="25">
        <f>VLOOKUP(C11,'Data qoq'!$A:$AU,MATCH($Z$1,'Data qoq'!$A$1:$AU$1,),)</f>
        <v/>
      </c>
      <c r="AC11" s="26">
        <f>B11</f>
        <v/>
      </c>
      <c r="AD11" s="27">
        <f>(VLOOKUP(AC11,B:Y,MATCH($AE$6,$B$1:$Y$1,),))-(VLOOKUP(AC11,B:Y,MATCH($AE$7,$B$1:$Y$1,),))</f>
        <v/>
      </c>
      <c r="AE11" s="27">
        <f>C11-G11</f>
        <v/>
      </c>
    </row>
    <row r="12" hidden="1" s="68">
      <c r="B12" s="24" t="inlineStr">
        <is>
          <t>2000-Q2</t>
        </is>
      </c>
      <c r="C12" s="25">
        <f>VLOOKUP(B12,'Data qoq'!$A:$AT,MATCH($C$1,'Data qoq'!$A$1:$AT$1,),)</f>
        <v/>
      </c>
      <c r="D12" s="25">
        <f>VLOOKUP(B12,'Data qoq'!$A:$AT,MATCH($D$1,'Data qoq'!$A$1:$AT$1,),)</f>
        <v/>
      </c>
      <c r="E12" s="25">
        <f>VLOOKUP(B12,'Data qoq'!$A:$AT,MATCH($E$1,'Data qoq'!$A$1:$AT$1,),)</f>
        <v/>
      </c>
      <c r="F12" s="25">
        <f>VLOOKUP(B12,'Data qoq'!$A:$AT,MATCH($F$1,'Data qoq'!$A$1:$AT$1,),)</f>
        <v/>
      </c>
      <c r="G12" s="25">
        <f>VLOOKUP(B12,'Data qoq'!$A:$AT,MATCH($G$1,'Data qoq'!$A$1:$AT$1,),)</f>
        <v/>
      </c>
      <c r="H12" s="25">
        <f>VLOOKUP(B12,'Data qoq'!$A:$AT,MATCH($H$1,'Data qoq'!$A$1:$AT$1,),)</f>
        <v/>
      </c>
      <c r="I12" s="25">
        <f>VLOOKUP(B12,'Data qoq'!$A:$AT,MATCH($I$1,'Data qoq'!$A$1:$AT$1,),)</f>
        <v/>
      </c>
      <c r="J12" s="25">
        <f>VLOOKUP(B12,'Data qoq'!$A:$AT,MATCH($J$1,'Data qoq'!$A$1:$AT$1,),)</f>
        <v/>
      </c>
      <c r="K12" s="25">
        <f>VLOOKUP(B12,'Data qoq'!$A:$AT,MATCH($K$1,'Data qoq'!$A$1:$AT$1,),)</f>
        <v/>
      </c>
      <c r="L12" s="25">
        <f>VLOOKUP(B12,'Data qoq'!$A:$AT,MATCH($L$1,'Data qoq'!$A$1:$AT$1,),)</f>
        <v/>
      </c>
      <c r="M12" s="25">
        <f>VLOOKUP(B12,'Data qoq'!$A:$AT,MATCH($M$1,'Data qoq'!$A$1:$AT$1,),)</f>
        <v/>
      </c>
      <c r="N12" s="25">
        <f>VLOOKUP(B12,'Data qoq'!$A:$AT,MATCH($N$1,'Data qoq'!$A$1:$AT$1,),)</f>
        <v/>
      </c>
      <c r="O12" s="25">
        <f>VLOOKUP(B12,'Data qoq'!$A:$AT,MATCH($C$1,'Data qoq'!$J$1:$AT$1,),)</f>
        <v/>
      </c>
      <c r="P12" s="25">
        <f>VLOOKUP(B12,'Data qoq'!$A:$AT,MATCH($P$1,'Data qoq'!$A$1:$AT$1,),)</f>
        <v/>
      </c>
      <c r="Q12" s="25">
        <f>VLOOKUP(B12,'Data qoq'!$A:$AT,MATCH($Q$1,'Data qoq'!$A$1:$AT$1,),)</f>
        <v/>
      </c>
      <c r="R12" s="25">
        <f>VLOOKUP(B12,'Data qoq'!$A:$AT,MATCH($E$1,'Data qoq'!$A$1:$AT$1,),)</f>
        <v/>
      </c>
      <c r="S12" s="25">
        <f>VLOOKUP(B12,'Data qoq'!$A:$AT,MATCH($S$1,'Data qoq'!$A$1:$AT$1,),)</f>
        <v/>
      </c>
      <c r="T12" s="25">
        <f>VLOOKUP(B12,'Data qoq'!$A:$AT,MATCH($T$1,'Data qoq'!$A$1:$AT$1,),)</f>
        <v/>
      </c>
      <c r="U12" s="25">
        <f>VLOOKUP(B12,'Data qoq'!$A:$AT,MATCH($U$1,'Data qoq'!$A$1:$AT$1,),)</f>
        <v/>
      </c>
      <c r="V12" s="25">
        <f>VLOOKUP(B12,'Data qoq'!$A:$AT,MATCH($V$1,'Data qoq'!$A$1:$AT$1,),)</f>
        <v/>
      </c>
      <c r="W12" s="25">
        <f>VLOOKUP(B12,'Data qoq'!$A:$AT,MATCH($W$1,'Data qoq'!$A$1:$AT$1,),)</f>
        <v/>
      </c>
      <c r="X12" s="25">
        <f>VLOOKUP(B12,'Data qoq'!$A:$AT,MATCH($X$1,'Data qoq'!$A$1:$AT$1,),)</f>
        <v/>
      </c>
      <c r="Y12" s="25">
        <f>VLOOKUP(B12,'Data qoq'!$A:$AT,MATCH($Y$1,'Data qoq'!$A$1:$AT$1,),)</f>
        <v/>
      </c>
      <c r="Z12" s="25">
        <f>VLOOKUP(B12,'Data qoq'!$A:$AU,MATCH($Z$1,'Data qoq'!$A$1:$AU$1,),)</f>
        <v/>
      </c>
      <c r="AA12" s="25">
        <f>VLOOKUP(C12,'Data qoq'!$A:$AU,MATCH($Z$1,'Data qoq'!$A$1:$AU$1,),)</f>
        <v/>
      </c>
      <c r="AC12" s="26">
        <f>B12</f>
        <v/>
      </c>
      <c r="AD12" s="27">
        <f>(VLOOKUP(AC12,B:Y,MATCH($AE$6,$B$1:$Y$1,),))-(VLOOKUP(AC12,B:Y,MATCH($AE$7,$B$1:$Y$1,),))</f>
        <v/>
      </c>
      <c r="AE12" s="27">
        <f>C12-G12</f>
        <v/>
      </c>
    </row>
    <row r="13" hidden="1" s="68">
      <c r="B13" s="24" t="inlineStr">
        <is>
          <t>2000-Q3</t>
        </is>
      </c>
      <c r="C13" s="25">
        <f>VLOOKUP(B13,'Data qoq'!$A:$AT,MATCH($C$1,'Data qoq'!$A$1:$AT$1,),)</f>
        <v/>
      </c>
      <c r="D13" s="25">
        <f>VLOOKUP(B13,'Data qoq'!$A:$AT,MATCH($D$1,'Data qoq'!$A$1:$AT$1,),)</f>
        <v/>
      </c>
      <c r="E13" s="25">
        <f>VLOOKUP(B13,'Data qoq'!$A:$AT,MATCH($E$1,'Data qoq'!$A$1:$AT$1,),)</f>
        <v/>
      </c>
      <c r="F13" s="25">
        <f>VLOOKUP(B13,'Data qoq'!$A:$AT,MATCH($F$1,'Data qoq'!$A$1:$AT$1,),)</f>
        <v/>
      </c>
      <c r="G13" s="25">
        <f>VLOOKUP(B13,'Data qoq'!$A:$AT,MATCH($G$1,'Data qoq'!$A$1:$AT$1,),)</f>
        <v/>
      </c>
      <c r="H13" s="25">
        <f>VLOOKUP(B13,'Data qoq'!$A:$AT,MATCH($H$1,'Data qoq'!$A$1:$AT$1,),)</f>
        <v/>
      </c>
      <c r="I13" s="25">
        <f>VLOOKUP(B13,'Data qoq'!$A:$AT,MATCH($I$1,'Data qoq'!$A$1:$AT$1,),)</f>
        <v/>
      </c>
      <c r="J13" s="25">
        <f>VLOOKUP(B13,'Data qoq'!$A:$AT,MATCH($J$1,'Data qoq'!$A$1:$AT$1,),)</f>
        <v/>
      </c>
      <c r="K13" s="25">
        <f>VLOOKUP(B13,'Data qoq'!$A:$AT,MATCH($K$1,'Data qoq'!$A$1:$AT$1,),)</f>
        <v/>
      </c>
      <c r="L13" s="25">
        <f>VLOOKUP(B13,'Data qoq'!$A:$AT,MATCH($L$1,'Data qoq'!$A$1:$AT$1,),)</f>
        <v/>
      </c>
      <c r="M13" s="25">
        <f>VLOOKUP(B13,'Data qoq'!$A:$AT,MATCH($M$1,'Data qoq'!$A$1:$AT$1,),)</f>
        <v/>
      </c>
      <c r="N13" s="25">
        <f>VLOOKUP(B13,'Data qoq'!$A:$AT,MATCH($N$1,'Data qoq'!$A$1:$AT$1,),)</f>
        <v/>
      </c>
      <c r="O13" s="25">
        <f>VLOOKUP(B13,'Data qoq'!$A:$AT,MATCH($C$1,'Data qoq'!$J$1:$AT$1,),)</f>
        <v/>
      </c>
      <c r="P13" s="25">
        <f>VLOOKUP(B13,'Data qoq'!$A:$AT,MATCH($P$1,'Data qoq'!$A$1:$AT$1,),)</f>
        <v/>
      </c>
      <c r="Q13" s="25">
        <f>VLOOKUP(B13,'Data qoq'!$A:$AT,MATCH($Q$1,'Data qoq'!$A$1:$AT$1,),)</f>
        <v/>
      </c>
      <c r="R13" s="25">
        <f>VLOOKUP(B13,'Data qoq'!$A:$AT,MATCH($E$1,'Data qoq'!$A$1:$AT$1,),)</f>
        <v/>
      </c>
      <c r="S13" s="25">
        <f>VLOOKUP(B13,'Data qoq'!$A:$AT,MATCH($S$1,'Data qoq'!$A$1:$AT$1,),)</f>
        <v/>
      </c>
      <c r="T13" s="25">
        <f>VLOOKUP(B13,'Data qoq'!$A:$AT,MATCH($T$1,'Data qoq'!$A$1:$AT$1,),)</f>
        <v/>
      </c>
      <c r="U13" s="25">
        <f>VLOOKUP(B13,'Data qoq'!$A:$AT,MATCH($U$1,'Data qoq'!$A$1:$AT$1,),)</f>
        <v/>
      </c>
      <c r="V13" s="25">
        <f>VLOOKUP(B13,'Data qoq'!$A:$AT,MATCH($V$1,'Data qoq'!$A$1:$AT$1,),)</f>
        <v/>
      </c>
      <c r="W13" s="25">
        <f>VLOOKUP(B13,'Data qoq'!$A:$AT,MATCH($W$1,'Data qoq'!$A$1:$AT$1,),)</f>
        <v/>
      </c>
      <c r="X13" s="25">
        <f>VLOOKUP(B13,'Data qoq'!$A:$AT,MATCH($X$1,'Data qoq'!$A$1:$AT$1,),)</f>
        <v/>
      </c>
      <c r="Y13" s="25">
        <f>VLOOKUP(B13,'Data qoq'!$A:$AT,MATCH($Y$1,'Data qoq'!$A$1:$AT$1,),)</f>
        <v/>
      </c>
      <c r="Z13" s="25">
        <f>VLOOKUP(B13,'Data qoq'!$A:$AU,MATCH($Z$1,'Data qoq'!$A$1:$AU$1,),)</f>
        <v/>
      </c>
      <c r="AA13" s="25">
        <f>VLOOKUP(B13,'Data qoq'!$A:$AU,MATCH($AA$1,'Data qoq'!$A$1:$AU$1,),)</f>
        <v/>
      </c>
      <c r="AC13" s="26">
        <f>B13</f>
        <v/>
      </c>
      <c r="AD13" s="27">
        <f>(VLOOKUP(AC13,B:Y,MATCH($AE$6,$B$1:$Y$1,),))-(VLOOKUP(AC13,B:Y,MATCH($AE$7,$B$1:$Y$1,),))</f>
        <v/>
      </c>
      <c r="AE13" s="27">
        <f>C13-G13</f>
        <v/>
      </c>
    </row>
    <row r="14" hidden="1" s="68">
      <c r="B14" s="24" t="inlineStr">
        <is>
          <t>2000-Q4</t>
        </is>
      </c>
      <c r="C14" s="25">
        <f>VLOOKUP(B14,'Data qoq'!$A:$AT,MATCH($C$1,'Data qoq'!$A$1:$AT$1,),)</f>
        <v/>
      </c>
      <c r="D14" s="25">
        <f>VLOOKUP(B14,'Data qoq'!$A:$AT,MATCH($D$1,'Data qoq'!$A$1:$AT$1,),)</f>
        <v/>
      </c>
      <c r="E14" s="25">
        <f>VLOOKUP(B14,'Data qoq'!$A:$AT,MATCH($E$1,'Data qoq'!$A$1:$AT$1,),)</f>
        <v/>
      </c>
      <c r="F14" s="25">
        <f>VLOOKUP(B14,'Data qoq'!$A:$AT,MATCH($F$1,'Data qoq'!$A$1:$AT$1,),)</f>
        <v/>
      </c>
      <c r="G14" s="25">
        <f>VLOOKUP(B14,'Data qoq'!$A:$AT,MATCH($G$1,'Data qoq'!$A$1:$AT$1,),)</f>
        <v/>
      </c>
      <c r="H14" s="25">
        <f>VLOOKUP(B14,'Data qoq'!$A:$AT,MATCH($H$1,'Data qoq'!$A$1:$AT$1,),)</f>
        <v/>
      </c>
      <c r="I14" s="25">
        <f>VLOOKUP(B14,'Data qoq'!$A:$AT,MATCH($I$1,'Data qoq'!$A$1:$AT$1,),)</f>
        <v/>
      </c>
      <c r="J14" s="25">
        <f>VLOOKUP(B14,'Data qoq'!$A:$AT,MATCH($J$1,'Data qoq'!$A$1:$AT$1,),)</f>
        <v/>
      </c>
      <c r="K14" s="25">
        <f>VLOOKUP(B14,'Data qoq'!$A:$AT,MATCH($K$1,'Data qoq'!$A$1:$AT$1,),)</f>
        <v/>
      </c>
      <c r="L14" s="25">
        <f>VLOOKUP(B14,'Data qoq'!$A:$AT,MATCH($L$1,'Data qoq'!$A$1:$AT$1,),)</f>
        <v/>
      </c>
      <c r="M14" s="25">
        <f>VLOOKUP(B14,'Data qoq'!$A:$AT,MATCH($M$1,'Data qoq'!$A$1:$AT$1,),)</f>
        <v/>
      </c>
      <c r="N14" s="25">
        <f>VLOOKUP(B14,'Data qoq'!$A:$AT,MATCH($N$1,'Data qoq'!$A$1:$AT$1,),)</f>
        <v/>
      </c>
      <c r="O14" s="25">
        <f>VLOOKUP(B14,'Data qoq'!$A:$AT,MATCH($C$1,'Data qoq'!$J$1:$AT$1,),)</f>
        <v/>
      </c>
      <c r="P14" s="25">
        <f>VLOOKUP(B14,'Data qoq'!$A:$AT,MATCH($P$1,'Data qoq'!$A$1:$AT$1,),)</f>
        <v/>
      </c>
      <c r="Q14" s="25">
        <f>VLOOKUP(B14,'Data qoq'!$A:$AT,MATCH($Q$1,'Data qoq'!$A$1:$AT$1,),)</f>
        <v/>
      </c>
      <c r="R14" s="25">
        <f>VLOOKUP(B14,'Data qoq'!$A:$AT,MATCH($E$1,'Data qoq'!$A$1:$AT$1,),)</f>
        <v/>
      </c>
      <c r="S14" s="25">
        <f>VLOOKUP(B14,'Data qoq'!$A:$AT,MATCH($S$1,'Data qoq'!$A$1:$AT$1,),)</f>
        <v/>
      </c>
      <c r="T14" s="25">
        <f>VLOOKUP(B14,'Data qoq'!$A:$AT,MATCH($T$1,'Data qoq'!$A$1:$AT$1,),)</f>
        <v/>
      </c>
      <c r="U14" s="25">
        <f>VLOOKUP(B14,'Data qoq'!$A:$AT,MATCH($U$1,'Data qoq'!$A$1:$AT$1,),)</f>
        <v/>
      </c>
      <c r="V14" s="25">
        <f>VLOOKUP(B14,'Data qoq'!$A:$AT,MATCH($V$1,'Data qoq'!$A$1:$AT$1,),)</f>
        <v/>
      </c>
      <c r="W14" s="25">
        <f>VLOOKUP(B14,'Data qoq'!$A:$AT,MATCH($W$1,'Data qoq'!$A$1:$AT$1,),)</f>
        <v/>
      </c>
      <c r="X14" s="25">
        <f>VLOOKUP(B14,'Data qoq'!$A:$AT,MATCH($X$1,'Data qoq'!$A$1:$AT$1,),)</f>
        <v/>
      </c>
      <c r="Y14" s="25">
        <f>VLOOKUP(B14,'Data qoq'!$A:$AT,MATCH($Y$1,'Data qoq'!$A$1:$AT$1,),)</f>
        <v/>
      </c>
      <c r="Z14" s="25">
        <f>VLOOKUP(B14,'Data qoq'!$A:$AU,MATCH($Z$1,'Data qoq'!$A$1:$AU$1,),)</f>
        <v/>
      </c>
      <c r="AA14" s="25">
        <f>VLOOKUP(B14,'Data qoq'!$A:$AU,MATCH($AA$1,'Data qoq'!$A$1:$AU$1,),)</f>
        <v/>
      </c>
      <c r="AC14" s="26">
        <f>B14</f>
        <v/>
      </c>
      <c r="AD14" s="27">
        <f>(VLOOKUP(AC14,B:Y,MATCH($AE$6,$B$1:$Y$1,),))-(VLOOKUP(AC14,B:Y,MATCH($AE$7,$B$1:$Y$1,),))</f>
        <v/>
      </c>
      <c r="AE14" s="27">
        <f>C14-G14</f>
        <v/>
      </c>
    </row>
    <row r="15" hidden="1" s="68">
      <c r="B15" s="24" t="inlineStr">
        <is>
          <t>2001-Q1</t>
        </is>
      </c>
      <c r="C15" s="25">
        <f>VLOOKUP(B15,'Data qoq'!$A:$AT,MATCH($C$1,'Data qoq'!$A$1:$AT$1,),)</f>
        <v/>
      </c>
      <c r="D15" s="25">
        <f>VLOOKUP(B15,'Data qoq'!$A:$AT,MATCH($D$1,'Data qoq'!$A$1:$AT$1,),)</f>
        <v/>
      </c>
      <c r="E15" s="25">
        <f>VLOOKUP(B15,'Data qoq'!$A:$AT,MATCH($E$1,'Data qoq'!$A$1:$AT$1,),)</f>
        <v/>
      </c>
      <c r="F15" s="25">
        <f>VLOOKUP(B15,'Data qoq'!$A:$AT,MATCH($F$1,'Data qoq'!$A$1:$AT$1,),)</f>
        <v/>
      </c>
      <c r="G15" s="25">
        <f>VLOOKUP(B15,'Data qoq'!$A:$AT,MATCH($G$1,'Data qoq'!$A$1:$AT$1,),)</f>
        <v/>
      </c>
      <c r="H15" s="25">
        <f>VLOOKUP(B15,'Data qoq'!$A:$AT,MATCH($H$1,'Data qoq'!$A$1:$AT$1,),)</f>
        <v/>
      </c>
      <c r="I15" s="25">
        <f>VLOOKUP(B15,'Data qoq'!$A:$AT,MATCH($I$1,'Data qoq'!$A$1:$AT$1,),)</f>
        <v/>
      </c>
      <c r="J15" s="25">
        <f>VLOOKUP(B15,'Data qoq'!$A:$AT,MATCH($J$1,'Data qoq'!$A$1:$AT$1,),)</f>
        <v/>
      </c>
      <c r="K15" s="25">
        <f>VLOOKUP(B15,'Data qoq'!$A:$AT,MATCH($K$1,'Data qoq'!$A$1:$AT$1,),)</f>
        <v/>
      </c>
      <c r="L15" s="25">
        <f>VLOOKUP(B15,'Data qoq'!$A:$AT,MATCH($L$1,'Data qoq'!$A$1:$AT$1,),)</f>
        <v/>
      </c>
      <c r="M15" s="25">
        <f>VLOOKUP(B15,'Data qoq'!$A:$AT,MATCH($M$1,'Data qoq'!$A$1:$AT$1,),)</f>
        <v/>
      </c>
      <c r="N15" s="25">
        <f>VLOOKUP(B15,'Data qoq'!$A:$AT,MATCH($N$1,'Data qoq'!$A$1:$AT$1,),)</f>
        <v/>
      </c>
      <c r="O15" s="25">
        <f>VLOOKUP(B15,'Data qoq'!$A:$AT,MATCH($C$1,'Data qoq'!$J$1:$AT$1,),)</f>
        <v/>
      </c>
      <c r="P15" s="25">
        <f>VLOOKUP(B15,'Data qoq'!$A:$AT,MATCH($P$1,'Data qoq'!$A$1:$AT$1,),)</f>
        <v/>
      </c>
      <c r="Q15" s="25">
        <f>VLOOKUP(B15,'Data qoq'!$A:$AT,MATCH($Q$1,'Data qoq'!$A$1:$AT$1,),)</f>
        <v/>
      </c>
      <c r="R15" s="25">
        <f>VLOOKUP(B15,'Data qoq'!$A:$AT,MATCH($E$1,'Data qoq'!$A$1:$AT$1,),)</f>
        <v/>
      </c>
      <c r="S15" s="25">
        <f>VLOOKUP(B15,'Data qoq'!$A:$AT,MATCH($S$1,'Data qoq'!$A$1:$AT$1,),)</f>
        <v/>
      </c>
      <c r="T15" s="25">
        <f>VLOOKUP(B15,'Data qoq'!$A:$AT,MATCH($T$1,'Data qoq'!$A$1:$AT$1,),)</f>
        <v/>
      </c>
      <c r="U15" s="25">
        <f>VLOOKUP(B15,'Data qoq'!$A:$AT,MATCH($U$1,'Data qoq'!$A$1:$AT$1,),)</f>
        <v/>
      </c>
      <c r="V15" s="25">
        <f>VLOOKUP(B15,'Data qoq'!$A:$AT,MATCH($V$1,'Data qoq'!$A$1:$AT$1,),)</f>
        <v/>
      </c>
      <c r="W15" s="25">
        <f>VLOOKUP(B15,'Data qoq'!$A:$AT,MATCH($W$1,'Data qoq'!$A$1:$AT$1,),)</f>
        <v/>
      </c>
      <c r="X15" s="25">
        <f>VLOOKUP(B15,'Data qoq'!$A:$AT,MATCH($X$1,'Data qoq'!$A$1:$AT$1,),)</f>
        <v/>
      </c>
      <c r="Y15" s="25">
        <f>VLOOKUP(B15,'Data qoq'!$A:$AT,MATCH($Y$1,'Data qoq'!$A$1:$AT$1,),)</f>
        <v/>
      </c>
      <c r="Z15" s="25">
        <f>VLOOKUP(B15,'Data qoq'!$A:$AU,MATCH($Z$1,'Data qoq'!$A$1:$AU$1,),)</f>
        <v/>
      </c>
      <c r="AA15" s="25">
        <f>VLOOKUP(B15,'Data qoq'!$A:$AU,MATCH($AA$1,'Data qoq'!$A$1:$AU$1,),)</f>
        <v/>
      </c>
      <c r="AC15" s="26">
        <f>B15</f>
        <v/>
      </c>
      <c r="AD15" s="27">
        <f>(VLOOKUP(AC15,B:Y,MATCH($AE$6,$B$1:$Y$1,),))-(VLOOKUP(AC15,B:Y,MATCH($AE$7,$B$1:$Y$1,),))</f>
        <v/>
      </c>
      <c r="AE15" s="27">
        <f>C15-G15</f>
        <v/>
      </c>
    </row>
    <row r="16" hidden="1" s="68">
      <c r="B16" s="24" t="inlineStr">
        <is>
          <t>2001-Q2</t>
        </is>
      </c>
      <c r="C16" s="25">
        <f>VLOOKUP(B16,'Data qoq'!$A:$AT,MATCH($C$1,'Data qoq'!$A$1:$AT$1,),)</f>
        <v/>
      </c>
      <c r="D16" s="25">
        <f>VLOOKUP(B16,'Data qoq'!$A:$AT,MATCH($D$1,'Data qoq'!$A$1:$AT$1,),)</f>
        <v/>
      </c>
      <c r="E16" s="25">
        <f>VLOOKUP(B16,'Data qoq'!$A:$AT,MATCH($E$1,'Data qoq'!$A$1:$AT$1,),)</f>
        <v/>
      </c>
      <c r="F16" s="25">
        <f>VLOOKUP(B16,'Data qoq'!$A:$AT,MATCH($F$1,'Data qoq'!$A$1:$AT$1,),)</f>
        <v/>
      </c>
      <c r="G16" s="25">
        <f>VLOOKUP(B16,'Data qoq'!$A:$AT,MATCH($G$1,'Data qoq'!$A$1:$AT$1,),)</f>
        <v/>
      </c>
      <c r="H16" s="25">
        <f>VLOOKUP(B16,'Data qoq'!$A:$AT,MATCH($H$1,'Data qoq'!$A$1:$AT$1,),)</f>
        <v/>
      </c>
      <c r="I16" s="25">
        <f>VLOOKUP(B16,'Data qoq'!$A:$AT,MATCH($I$1,'Data qoq'!$A$1:$AT$1,),)</f>
        <v/>
      </c>
      <c r="J16" s="25">
        <f>VLOOKUP(B16,'Data qoq'!$A:$AT,MATCH($J$1,'Data qoq'!$A$1:$AT$1,),)</f>
        <v/>
      </c>
      <c r="K16" s="25">
        <f>VLOOKUP(B16,'Data qoq'!$A:$AT,MATCH($K$1,'Data qoq'!$A$1:$AT$1,),)</f>
        <v/>
      </c>
      <c r="L16" s="25">
        <f>VLOOKUP(B16,'Data qoq'!$A:$AT,MATCH($L$1,'Data qoq'!$A$1:$AT$1,),)</f>
        <v/>
      </c>
      <c r="M16" s="25">
        <f>VLOOKUP(B16,'Data qoq'!$A:$AT,MATCH($M$1,'Data qoq'!$A$1:$AT$1,),)</f>
        <v/>
      </c>
      <c r="N16" s="25">
        <f>VLOOKUP(B16,'Data qoq'!$A:$AT,MATCH($N$1,'Data qoq'!$A$1:$AT$1,),)</f>
        <v/>
      </c>
      <c r="O16" s="25">
        <f>VLOOKUP(B16,'Data qoq'!$A:$AT,MATCH($C$1,'Data qoq'!$J$1:$AT$1,),)</f>
        <v/>
      </c>
      <c r="P16" s="25">
        <f>VLOOKUP(B16,'Data qoq'!$A:$AT,MATCH($P$1,'Data qoq'!$A$1:$AT$1,),)</f>
        <v/>
      </c>
      <c r="Q16" s="25">
        <f>VLOOKUP(B16,'Data qoq'!$A:$AT,MATCH($Q$1,'Data qoq'!$A$1:$AT$1,),)</f>
        <v/>
      </c>
      <c r="R16" s="25">
        <f>VLOOKUP(B16,'Data qoq'!$A:$AT,MATCH($E$1,'Data qoq'!$A$1:$AT$1,),)</f>
        <v/>
      </c>
      <c r="S16" s="25">
        <f>VLOOKUP(B16,'Data qoq'!$A:$AT,MATCH($S$1,'Data qoq'!$A$1:$AT$1,),)</f>
        <v/>
      </c>
      <c r="T16" s="25">
        <f>VLOOKUP(B16,'Data qoq'!$A:$AT,MATCH($T$1,'Data qoq'!$A$1:$AT$1,),)</f>
        <v/>
      </c>
      <c r="U16" s="25">
        <f>VLOOKUP(B16,'Data qoq'!$A:$AT,MATCH($U$1,'Data qoq'!$A$1:$AT$1,),)</f>
        <v/>
      </c>
      <c r="V16" s="25">
        <f>VLOOKUP(B16,'Data qoq'!$A:$AT,MATCH($V$1,'Data qoq'!$A$1:$AT$1,),)</f>
        <v/>
      </c>
      <c r="W16" s="25">
        <f>VLOOKUP(B16,'Data qoq'!$A:$AT,MATCH($W$1,'Data qoq'!$A$1:$AT$1,),)</f>
        <v/>
      </c>
      <c r="X16" s="25">
        <f>VLOOKUP(B16,'Data qoq'!$A:$AT,MATCH($X$1,'Data qoq'!$A$1:$AT$1,),)</f>
        <v/>
      </c>
      <c r="Y16" s="25">
        <f>VLOOKUP(B16,'Data qoq'!$A:$AT,MATCH($Y$1,'Data qoq'!$A$1:$AT$1,),)</f>
        <v/>
      </c>
      <c r="Z16" s="25">
        <f>VLOOKUP(B16,'Data qoq'!$A:$AU,MATCH($Z$1,'Data qoq'!$A$1:$AU$1,),)</f>
        <v/>
      </c>
      <c r="AA16" s="25">
        <f>VLOOKUP(B16,'Data qoq'!$A:$AU,MATCH($AA$1,'Data qoq'!$A$1:$AU$1,),)</f>
        <v/>
      </c>
      <c r="AC16" s="26">
        <f>B16</f>
        <v/>
      </c>
      <c r="AD16" s="27">
        <f>(VLOOKUP(AC16,B:Y,MATCH($AE$6,$B$1:$Y$1,),))-(VLOOKUP(AC16,B:Y,MATCH($AE$7,$B$1:$Y$1,),))</f>
        <v/>
      </c>
      <c r="AE16" s="27">
        <f>C16-G16</f>
        <v/>
      </c>
    </row>
    <row r="17" hidden="1" s="68">
      <c r="B17" s="24" t="inlineStr">
        <is>
          <t>2001-Q3</t>
        </is>
      </c>
      <c r="C17" s="25">
        <f>VLOOKUP(B17,'Data qoq'!$A:$AT,MATCH($C$1,'Data qoq'!$A$1:$AT$1,),)</f>
        <v/>
      </c>
      <c r="D17" s="25">
        <f>VLOOKUP(B17,'Data qoq'!$A:$AT,MATCH($D$1,'Data qoq'!$A$1:$AT$1,),)</f>
        <v/>
      </c>
      <c r="E17" s="25">
        <f>VLOOKUP(B17,'Data qoq'!$A:$AT,MATCH($E$1,'Data qoq'!$A$1:$AT$1,),)</f>
        <v/>
      </c>
      <c r="F17" s="25">
        <f>VLOOKUP(B17,'Data qoq'!$A:$AT,MATCH($F$1,'Data qoq'!$A$1:$AT$1,),)</f>
        <v/>
      </c>
      <c r="G17" s="25">
        <f>VLOOKUP(B17,'Data qoq'!$A:$AT,MATCH($G$1,'Data qoq'!$A$1:$AT$1,),)</f>
        <v/>
      </c>
      <c r="H17" s="25">
        <f>VLOOKUP(B17,'Data qoq'!$A:$AT,MATCH($H$1,'Data qoq'!$A$1:$AT$1,),)</f>
        <v/>
      </c>
      <c r="I17" s="25">
        <f>VLOOKUP(B17,'Data qoq'!$A:$AT,MATCH($I$1,'Data qoq'!$A$1:$AT$1,),)</f>
        <v/>
      </c>
      <c r="J17" s="25">
        <f>VLOOKUP(B17,'Data qoq'!$A:$AT,MATCH($J$1,'Data qoq'!$A$1:$AT$1,),)</f>
        <v/>
      </c>
      <c r="K17" s="25">
        <f>VLOOKUP(B17,'Data qoq'!$A:$AT,MATCH($K$1,'Data qoq'!$A$1:$AT$1,),)</f>
        <v/>
      </c>
      <c r="L17" s="25">
        <f>VLOOKUP(B17,'Data qoq'!$A:$AT,MATCH($L$1,'Data qoq'!$A$1:$AT$1,),)</f>
        <v/>
      </c>
      <c r="M17" s="25">
        <f>VLOOKUP(B17,'Data qoq'!$A:$AT,MATCH($M$1,'Data qoq'!$A$1:$AT$1,),)</f>
        <v/>
      </c>
      <c r="N17" s="25">
        <f>VLOOKUP(B17,'Data qoq'!$A:$AT,MATCH($N$1,'Data qoq'!$A$1:$AT$1,),)</f>
        <v/>
      </c>
      <c r="O17" s="25">
        <f>VLOOKUP(B17,'Data qoq'!$A:$AT,MATCH($C$1,'Data qoq'!$J$1:$AT$1,),)</f>
        <v/>
      </c>
      <c r="P17" s="25">
        <f>VLOOKUP(B17,'Data qoq'!$A:$AT,MATCH($P$1,'Data qoq'!$A$1:$AT$1,),)</f>
        <v/>
      </c>
      <c r="Q17" s="25">
        <f>VLOOKUP(B17,'Data qoq'!$A:$AT,MATCH($Q$1,'Data qoq'!$A$1:$AT$1,),)</f>
        <v/>
      </c>
      <c r="R17" s="25">
        <f>VLOOKUP(B17,'Data qoq'!$A:$AT,MATCH($E$1,'Data qoq'!$A$1:$AT$1,),)</f>
        <v/>
      </c>
      <c r="S17" s="25">
        <f>VLOOKUP(B17,'Data qoq'!$A:$AT,MATCH($S$1,'Data qoq'!$A$1:$AT$1,),)</f>
        <v/>
      </c>
      <c r="T17" s="25">
        <f>VLOOKUP(B17,'Data qoq'!$A:$AT,MATCH($T$1,'Data qoq'!$A$1:$AT$1,),)</f>
        <v/>
      </c>
      <c r="U17" s="25">
        <f>VLOOKUP(B17,'Data qoq'!$A:$AT,MATCH($U$1,'Data qoq'!$A$1:$AT$1,),)</f>
        <v/>
      </c>
      <c r="V17" s="25">
        <f>VLOOKUP(B17,'Data qoq'!$A:$AT,MATCH($V$1,'Data qoq'!$A$1:$AT$1,),)</f>
        <v/>
      </c>
      <c r="W17" s="25">
        <f>VLOOKUP(B17,'Data qoq'!$A:$AT,MATCH($W$1,'Data qoq'!$A$1:$AT$1,),)</f>
        <v/>
      </c>
      <c r="X17" s="25">
        <f>VLOOKUP(B17,'Data qoq'!$A:$AT,MATCH($X$1,'Data qoq'!$A$1:$AT$1,),)</f>
        <v/>
      </c>
      <c r="Y17" s="25">
        <f>VLOOKUP(B17,'Data qoq'!$A:$AT,MATCH($Y$1,'Data qoq'!$A$1:$AT$1,),)</f>
        <v/>
      </c>
      <c r="Z17" s="25">
        <f>VLOOKUP(B17,'Data qoq'!$A:$AU,MATCH($Z$1,'Data qoq'!$A$1:$AU$1,),)</f>
        <v/>
      </c>
      <c r="AA17" s="25">
        <f>VLOOKUP(B17,'Data qoq'!$A:$AU,MATCH($AA$1,'Data qoq'!$A$1:$AU$1,),)</f>
        <v/>
      </c>
      <c r="AC17" s="26">
        <f>B17</f>
        <v/>
      </c>
      <c r="AD17" s="27">
        <f>(VLOOKUP(AC17,B:Y,MATCH($AE$6,$B$1:$Y$1,),))-(VLOOKUP(AC17,B:Y,MATCH($AE$7,$B$1:$Y$1,),))</f>
        <v/>
      </c>
      <c r="AE17" s="27">
        <f>C17-G17</f>
        <v/>
      </c>
    </row>
    <row r="18" hidden="1" s="68">
      <c r="B18" s="24" t="inlineStr">
        <is>
          <t>2001-Q4</t>
        </is>
      </c>
      <c r="C18" s="25">
        <f>VLOOKUP(B18,'Data qoq'!$A:$AT,MATCH($C$1,'Data qoq'!$A$1:$AT$1,),)</f>
        <v/>
      </c>
      <c r="D18" s="25">
        <f>VLOOKUP(B18,'Data qoq'!$A:$AT,MATCH($D$1,'Data qoq'!$A$1:$AT$1,),)</f>
        <v/>
      </c>
      <c r="E18" s="25">
        <f>VLOOKUP(B18,'Data qoq'!$A:$AT,MATCH($E$1,'Data qoq'!$A$1:$AT$1,),)</f>
        <v/>
      </c>
      <c r="F18" s="25">
        <f>VLOOKUP(B18,'Data qoq'!$A:$AT,MATCH($F$1,'Data qoq'!$A$1:$AT$1,),)</f>
        <v/>
      </c>
      <c r="G18" s="25">
        <f>VLOOKUP(B18,'Data qoq'!$A:$AT,MATCH($G$1,'Data qoq'!$A$1:$AT$1,),)</f>
        <v/>
      </c>
      <c r="H18" s="25">
        <f>VLOOKUP(B18,'Data qoq'!$A:$AT,MATCH($H$1,'Data qoq'!$A$1:$AT$1,),)</f>
        <v/>
      </c>
      <c r="I18" s="25">
        <f>VLOOKUP(B18,'Data qoq'!$A:$AT,MATCH($I$1,'Data qoq'!$A$1:$AT$1,),)</f>
        <v/>
      </c>
      <c r="J18" s="25">
        <f>VLOOKUP(B18,'Data qoq'!$A:$AT,MATCH($J$1,'Data qoq'!$A$1:$AT$1,),)</f>
        <v/>
      </c>
      <c r="K18" s="25">
        <f>VLOOKUP(B18,'Data qoq'!$A:$AT,MATCH($K$1,'Data qoq'!$A$1:$AT$1,),)</f>
        <v/>
      </c>
      <c r="L18" s="25">
        <f>VLOOKUP(B18,'Data qoq'!$A:$AT,MATCH($L$1,'Data qoq'!$A$1:$AT$1,),)</f>
        <v/>
      </c>
      <c r="M18" s="25">
        <f>VLOOKUP(B18,'Data qoq'!$A:$AT,MATCH($M$1,'Data qoq'!$A$1:$AT$1,),)</f>
        <v/>
      </c>
      <c r="N18" s="25">
        <f>VLOOKUP(B18,'Data qoq'!$A:$AT,MATCH($N$1,'Data qoq'!$A$1:$AT$1,),)</f>
        <v/>
      </c>
      <c r="O18" s="25">
        <f>VLOOKUP(B18,'Data qoq'!$A:$AT,MATCH($C$1,'Data qoq'!$J$1:$AT$1,),)</f>
        <v/>
      </c>
      <c r="P18" s="25">
        <f>VLOOKUP(B18,'Data qoq'!$A:$AT,MATCH($P$1,'Data qoq'!$A$1:$AT$1,),)</f>
        <v/>
      </c>
      <c r="Q18" s="25">
        <f>VLOOKUP(B18,'Data qoq'!$A:$AT,MATCH($Q$1,'Data qoq'!$A$1:$AT$1,),)</f>
        <v/>
      </c>
      <c r="R18" s="25">
        <f>VLOOKUP(B18,'Data qoq'!$A:$AT,MATCH($E$1,'Data qoq'!$A$1:$AT$1,),)</f>
        <v/>
      </c>
      <c r="S18" s="25">
        <f>VLOOKUP(B18,'Data qoq'!$A:$AT,MATCH($S$1,'Data qoq'!$A$1:$AT$1,),)</f>
        <v/>
      </c>
      <c r="T18" s="25">
        <f>VLOOKUP(B18,'Data qoq'!$A:$AT,MATCH($T$1,'Data qoq'!$A$1:$AT$1,),)</f>
        <v/>
      </c>
      <c r="U18" s="25">
        <f>VLOOKUP(B18,'Data qoq'!$A:$AT,MATCH($U$1,'Data qoq'!$A$1:$AT$1,),)</f>
        <v/>
      </c>
      <c r="V18" s="25">
        <f>VLOOKUP(B18,'Data qoq'!$A:$AT,MATCH($V$1,'Data qoq'!$A$1:$AT$1,),)</f>
        <v/>
      </c>
      <c r="W18" s="25">
        <f>VLOOKUP(B18,'Data qoq'!$A:$AT,MATCH($W$1,'Data qoq'!$A$1:$AT$1,),)</f>
        <v/>
      </c>
      <c r="X18" s="25">
        <f>VLOOKUP(B18,'Data qoq'!$A:$AT,MATCH($X$1,'Data qoq'!$A$1:$AT$1,),)</f>
        <v/>
      </c>
      <c r="Y18" s="25">
        <f>VLOOKUP(B18,'Data qoq'!$A:$AT,MATCH($Y$1,'Data qoq'!$A$1:$AT$1,),)</f>
        <v/>
      </c>
      <c r="Z18" s="25">
        <f>VLOOKUP(B18,'Data qoq'!$A:$AU,MATCH($Z$1,'Data qoq'!$A$1:$AU$1,),)</f>
        <v/>
      </c>
      <c r="AA18" s="25">
        <f>VLOOKUP(B18,'Data qoq'!$A:$AU,MATCH($AA$1,'Data qoq'!$A$1:$AU$1,),)</f>
        <v/>
      </c>
      <c r="AC18" s="26">
        <f>B18</f>
        <v/>
      </c>
      <c r="AD18" s="27">
        <f>(VLOOKUP(AC18,B:Y,MATCH($AE$6,$B$1:$Y$1,),))-(VLOOKUP(AC18,B:Y,MATCH($AE$7,$B$1:$Y$1,),))</f>
        <v/>
      </c>
      <c r="AE18" s="27">
        <f>C18-G18</f>
        <v/>
      </c>
    </row>
    <row r="19" hidden="1" s="68">
      <c r="B19" s="24" t="inlineStr">
        <is>
          <t>2002-Q1</t>
        </is>
      </c>
      <c r="C19" s="25">
        <f>VLOOKUP(B19,'Data qoq'!$A:$AT,MATCH($C$1,'Data qoq'!$A$1:$AT$1,),)</f>
        <v/>
      </c>
      <c r="D19" s="25">
        <f>VLOOKUP(B19,'Data qoq'!$A:$AT,MATCH($D$1,'Data qoq'!$A$1:$AT$1,),)</f>
        <v/>
      </c>
      <c r="E19" s="25">
        <f>VLOOKUP(B19,'Data qoq'!$A:$AT,MATCH($E$1,'Data qoq'!$A$1:$AT$1,),)</f>
        <v/>
      </c>
      <c r="F19" s="25">
        <f>VLOOKUP(B19,'Data qoq'!$A:$AT,MATCH($F$1,'Data qoq'!$A$1:$AT$1,),)</f>
        <v/>
      </c>
      <c r="G19" s="25">
        <f>VLOOKUP(B19,'Data qoq'!$A:$AT,MATCH($G$1,'Data qoq'!$A$1:$AT$1,),)</f>
        <v/>
      </c>
      <c r="H19" s="25">
        <f>VLOOKUP(B19,'Data qoq'!$A:$AT,MATCH($H$1,'Data qoq'!$A$1:$AT$1,),)</f>
        <v/>
      </c>
      <c r="I19" s="25">
        <f>VLOOKUP(B19,'Data qoq'!$A:$AT,MATCH($I$1,'Data qoq'!$A$1:$AT$1,),)</f>
        <v/>
      </c>
      <c r="J19" s="25">
        <f>VLOOKUP(B19,'Data qoq'!$A:$AT,MATCH($J$1,'Data qoq'!$A$1:$AT$1,),)</f>
        <v/>
      </c>
      <c r="K19" s="25">
        <f>VLOOKUP(B19,'Data qoq'!$A:$AT,MATCH($K$1,'Data qoq'!$A$1:$AT$1,),)</f>
        <v/>
      </c>
      <c r="L19" s="25">
        <f>VLOOKUP(B19,'Data qoq'!$A:$AT,MATCH($L$1,'Data qoq'!$A$1:$AT$1,),)</f>
        <v/>
      </c>
      <c r="M19" s="25">
        <f>VLOOKUP(B19,'Data qoq'!$A:$AT,MATCH($M$1,'Data qoq'!$A$1:$AT$1,),)</f>
        <v/>
      </c>
      <c r="N19" s="25">
        <f>VLOOKUP(B19,'Data qoq'!$A:$AT,MATCH($N$1,'Data qoq'!$A$1:$AT$1,),)</f>
        <v/>
      </c>
      <c r="O19" s="25">
        <f>VLOOKUP(B19,'Data qoq'!$A:$AT,MATCH($C$1,'Data qoq'!$J$1:$AT$1,),)</f>
        <v/>
      </c>
      <c r="P19" s="25">
        <f>VLOOKUP(B19,'Data qoq'!$A:$AT,MATCH($P$1,'Data qoq'!$A$1:$AT$1,),)</f>
        <v/>
      </c>
      <c r="Q19" s="25">
        <f>VLOOKUP(B19,'Data qoq'!$A:$AT,MATCH($Q$1,'Data qoq'!$A$1:$AT$1,),)</f>
        <v/>
      </c>
      <c r="R19" s="25">
        <f>VLOOKUP(B19,'Data qoq'!$A:$AT,MATCH($E$1,'Data qoq'!$A$1:$AT$1,),)</f>
        <v/>
      </c>
      <c r="S19" s="25">
        <f>VLOOKUP(B19,'Data qoq'!$A:$AT,MATCH($S$1,'Data qoq'!$A$1:$AT$1,),)</f>
        <v/>
      </c>
      <c r="T19" s="25">
        <f>VLOOKUP(B19,'Data qoq'!$A:$AT,MATCH($T$1,'Data qoq'!$A$1:$AT$1,),)</f>
        <v/>
      </c>
      <c r="U19" s="25">
        <f>VLOOKUP(B19,'Data qoq'!$A:$AT,MATCH($U$1,'Data qoq'!$A$1:$AT$1,),)</f>
        <v/>
      </c>
      <c r="V19" s="25">
        <f>VLOOKUP(B19,'Data qoq'!$A:$AT,MATCH($V$1,'Data qoq'!$A$1:$AT$1,),)</f>
        <v/>
      </c>
      <c r="W19" s="25">
        <f>VLOOKUP(B19,'Data qoq'!$A:$AT,MATCH($W$1,'Data qoq'!$A$1:$AT$1,),)</f>
        <v/>
      </c>
      <c r="X19" s="25">
        <f>VLOOKUP(B19,'Data qoq'!$A:$AT,MATCH($X$1,'Data qoq'!$A$1:$AT$1,),)</f>
        <v/>
      </c>
      <c r="Y19" s="25">
        <f>VLOOKUP(B19,'Data qoq'!$A:$AT,MATCH($Y$1,'Data qoq'!$A$1:$AT$1,),)</f>
        <v/>
      </c>
      <c r="Z19" s="25">
        <f>VLOOKUP(B19,'Data qoq'!$A:$AU,MATCH($Z$1,'Data qoq'!$A$1:$AU$1,),)</f>
        <v/>
      </c>
      <c r="AA19" s="25">
        <f>VLOOKUP(B19,'Data qoq'!$A:$AU,MATCH($AA$1,'Data qoq'!$A$1:$AU$1,),)</f>
        <v/>
      </c>
      <c r="AC19" s="26">
        <f>B19</f>
        <v/>
      </c>
      <c r="AD19" s="27">
        <f>(VLOOKUP(AC19,B:Y,MATCH($AE$6,$B$1:$Y$1,),))-(VLOOKUP(AC19,B:Y,MATCH($AE$7,$B$1:$Y$1,),))</f>
        <v/>
      </c>
      <c r="AE19" s="27">
        <f>C19-G19</f>
        <v/>
      </c>
    </row>
    <row r="20" hidden="1" s="68">
      <c r="B20" s="24" t="inlineStr">
        <is>
          <t>2002-Q2</t>
        </is>
      </c>
      <c r="C20" s="25">
        <f>VLOOKUP(B20,'Data qoq'!$A:$AT,MATCH($C$1,'Data qoq'!$A$1:$AT$1,),)</f>
        <v/>
      </c>
      <c r="D20" s="25">
        <f>VLOOKUP(B20,'Data qoq'!$A:$AT,MATCH($D$1,'Data qoq'!$A$1:$AT$1,),)</f>
        <v/>
      </c>
      <c r="E20" s="25">
        <f>VLOOKUP(B20,'Data qoq'!$A:$AT,MATCH($E$1,'Data qoq'!$A$1:$AT$1,),)</f>
        <v/>
      </c>
      <c r="F20" s="25">
        <f>VLOOKUP(B20,'Data qoq'!$A:$AT,MATCH($F$1,'Data qoq'!$A$1:$AT$1,),)</f>
        <v/>
      </c>
      <c r="G20" s="25">
        <f>VLOOKUP(B20,'Data qoq'!$A:$AT,MATCH($G$1,'Data qoq'!$A$1:$AT$1,),)</f>
        <v/>
      </c>
      <c r="H20" s="25">
        <f>VLOOKUP(B20,'Data qoq'!$A:$AT,MATCH($H$1,'Data qoq'!$A$1:$AT$1,),)</f>
        <v/>
      </c>
      <c r="I20" s="25">
        <f>VLOOKUP(B20,'Data qoq'!$A:$AT,MATCH($I$1,'Data qoq'!$A$1:$AT$1,),)</f>
        <v/>
      </c>
      <c r="J20" s="25">
        <f>VLOOKUP(B20,'Data qoq'!$A:$AT,MATCH($J$1,'Data qoq'!$A$1:$AT$1,),)</f>
        <v/>
      </c>
      <c r="K20" s="25">
        <f>VLOOKUP(B20,'Data qoq'!$A:$AT,MATCH($K$1,'Data qoq'!$A$1:$AT$1,),)</f>
        <v/>
      </c>
      <c r="L20" s="25">
        <f>VLOOKUP(B20,'Data qoq'!$A:$AT,MATCH($L$1,'Data qoq'!$A$1:$AT$1,),)</f>
        <v/>
      </c>
      <c r="M20" s="25">
        <f>VLOOKUP(B20,'Data qoq'!$A:$AT,MATCH($M$1,'Data qoq'!$A$1:$AT$1,),)</f>
        <v/>
      </c>
      <c r="N20" s="25">
        <f>VLOOKUP(B20,'Data qoq'!$A:$AT,MATCH($N$1,'Data qoq'!$A$1:$AT$1,),)</f>
        <v/>
      </c>
      <c r="O20" s="25">
        <f>VLOOKUP(B20,'Data qoq'!$A:$AT,MATCH($C$1,'Data qoq'!$J$1:$AT$1,),)</f>
        <v/>
      </c>
      <c r="P20" s="25">
        <f>VLOOKUP(B20,'Data qoq'!$A:$AT,MATCH($P$1,'Data qoq'!$A$1:$AT$1,),)</f>
        <v/>
      </c>
      <c r="Q20" s="25">
        <f>VLOOKUP(B20,'Data qoq'!$A:$AT,MATCH($Q$1,'Data qoq'!$A$1:$AT$1,),)</f>
        <v/>
      </c>
      <c r="R20" s="25">
        <f>VLOOKUP(B20,'Data qoq'!$A:$AT,MATCH($E$1,'Data qoq'!$A$1:$AT$1,),)</f>
        <v/>
      </c>
      <c r="S20" s="25">
        <f>VLOOKUP(B20,'Data qoq'!$A:$AT,MATCH($S$1,'Data qoq'!$A$1:$AT$1,),)</f>
        <v/>
      </c>
      <c r="T20" s="25">
        <f>VLOOKUP(B20,'Data qoq'!$A:$AT,MATCH($T$1,'Data qoq'!$A$1:$AT$1,),)</f>
        <v/>
      </c>
      <c r="U20" s="25">
        <f>VLOOKUP(B20,'Data qoq'!$A:$AT,MATCH($U$1,'Data qoq'!$A$1:$AT$1,),)</f>
        <v/>
      </c>
      <c r="V20" s="25">
        <f>VLOOKUP(B20,'Data qoq'!$A:$AT,MATCH($V$1,'Data qoq'!$A$1:$AT$1,),)</f>
        <v/>
      </c>
      <c r="W20" s="25">
        <f>VLOOKUP(B20,'Data qoq'!$A:$AT,MATCH($W$1,'Data qoq'!$A$1:$AT$1,),)</f>
        <v/>
      </c>
      <c r="X20" s="25">
        <f>VLOOKUP(B20,'Data qoq'!$A:$AT,MATCH($X$1,'Data qoq'!$A$1:$AT$1,),)</f>
        <v/>
      </c>
      <c r="Y20" s="25">
        <f>VLOOKUP(B20,'Data qoq'!$A:$AT,MATCH($Y$1,'Data qoq'!$A$1:$AT$1,),)</f>
        <v/>
      </c>
      <c r="Z20" s="25">
        <f>VLOOKUP(B20,'Data qoq'!$A:$AU,MATCH($Z$1,'Data qoq'!$A$1:$AU$1,),)</f>
        <v/>
      </c>
      <c r="AA20" s="25">
        <f>VLOOKUP(B20,'Data qoq'!$A:$AU,MATCH($AA$1,'Data qoq'!$A$1:$AU$1,),)</f>
        <v/>
      </c>
      <c r="AC20" s="26">
        <f>B20</f>
        <v/>
      </c>
      <c r="AD20" s="27">
        <f>(VLOOKUP(AC20,B:Y,MATCH($AE$6,$B$1:$Y$1,),))-(VLOOKUP(AC20,B:Y,MATCH($AE$7,$B$1:$Y$1,),))</f>
        <v/>
      </c>
      <c r="AE20" s="27">
        <f>C20-G20</f>
        <v/>
      </c>
    </row>
    <row r="21" hidden="1" s="68">
      <c r="B21" s="24" t="inlineStr">
        <is>
          <t>2002-Q3</t>
        </is>
      </c>
      <c r="C21" s="25">
        <f>VLOOKUP(B21,'Data qoq'!$A:$AT,MATCH($C$1,'Data qoq'!$A$1:$AT$1,),)</f>
        <v/>
      </c>
      <c r="D21" s="25">
        <f>VLOOKUP(B21,'Data qoq'!$A:$AT,MATCH($D$1,'Data qoq'!$A$1:$AT$1,),)</f>
        <v/>
      </c>
      <c r="E21" s="25">
        <f>VLOOKUP(B21,'Data qoq'!$A:$AT,MATCH($E$1,'Data qoq'!$A$1:$AT$1,),)</f>
        <v/>
      </c>
      <c r="F21" s="25">
        <f>VLOOKUP(B21,'Data qoq'!$A:$AT,MATCH($F$1,'Data qoq'!$A$1:$AT$1,),)</f>
        <v/>
      </c>
      <c r="G21" s="25">
        <f>VLOOKUP(B21,'Data qoq'!$A:$AT,MATCH($G$1,'Data qoq'!$A$1:$AT$1,),)</f>
        <v/>
      </c>
      <c r="H21" s="25">
        <f>VLOOKUP(B21,'Data qoq'!$A:$AT,MATCH($H$1,'Data qoq'!$A$1:$AT$1,),)</f>
        <v/>
      </c>
      <c r="I21" s="25">
        <f>VLOOKUP(B21,'Data qoq'!$A:$AT,MATCH($I$1,'Data qoq'!$A$1:$AT$1,),)</f>
        <v/>
      </c>
      <c r="J21" s="25">
        <f>VLOOKUP(B21,'Data qoq'!$A:$AT,MATCH($J$1,'Data qoq'!$A$1:$AT$1,),)</f>
        <v/>
      </c>
      <c r="K21" s="25">
        <f>VLOOKUP(B21,'Data qoq'!$A:$AT,MATCH($K$1,'Data qoq'!$A$1:$AT$1,),)</f>
        <v/>
      </c>
      <c r="L21" s="25">
        <f>VLOOKUP(B21,'Data qoq'!$A:$AT,MATCH($L$1,'Data qoq'!$A$1:$AT$1,),)</f>
        <v/>
      </c>
      <c r="M21" s="25">
        <f>VLOOKUP(B21,'Data qoq'!$A:$AT,MATCH($M$1,'Data qoq'!$A$1:$AT$1,),)</f>
        <v/>
      </c>
      <c r="N21" s="25">
        <f>VLOOKUP(B21,'Data qoq'!$A:$AT,MATCH($N$1,'Data qoq'!$A$1:$AT$1,),)</f>
        <v/>
      </c>
      <c r="O21" s="25">
        <f>VLOOKUP(B21,'Data qoq'!$A:$AT,MATCH($C$1,'Data qoq'!$J$1:$AT$1,),)</f>
        <v/>
      </c>
      <c r="P21" s="25">
        <f>VLOOKUP(B21,'Data qoq'!$A:$AT,MATCH($P$1,'Data qoq'!$A$1:$AT$1,),)</f>
        <v/>
      </c>
      <c r="Q21" s="25">
        <f>VLOOKUP(B21,'Data qoq'!$A:$AT,MATCH($Q$1,'Data qoq'!$A$1:$AT$1,),)</f>
        <v/>
      </c>
      <c r="R21" s="25">
        <f>VLOOKUP(B21,'Data qoq'!$A:$AT,MATCH($E$1,'Data qoq'!$A$1:$AT$1,),)</f>
        <v/>
      </c>
      <c r="S21" s="25">
        <f>VLOOKUP(B21,'Data qoq'!$A:$AT,MATCH($S$1,'Data qoq'!$A$1:$AT$1,),)</f>
        <v/>
      </c>
      <c r="T21" s="25">
        <f>VLOOKUP(B21,'Data qoq'!$A:$AT,MATCH($T$1,'Data qoq'!$A$1:$AT$1,),)</f>
        <v/>
      </c>
      <c r="U21" s="25">
        <f>VLOOKUP(B21,'Data qoq'!$A:$AT,MATCH($U$1,'Data qoq'!$A$1:$AT$1,),)</f>
        <v/>
      </c>
      <c r="V21" s="25">
        <f>VLOOKUP(B21,'Data qoq'!$A:$AT,MATCH($V$1,'Data qoq'!$A$1:$AT$1,),)</f>
        <v/>
      </c>
      <c r="W21" s="25">
        <f>VLOOKUP(B21,'Data qoq'!$A:$AT,MATCH($W$1,'Data qoq'!$A$1:$AT$1,),)</f>
        <v/>
      </c>
      <c r="X21" s="25">
        <f>VLOOKUP(B21,'Data qoq'!$A:$AT,MATCH($X$1,'Data qoq'!$A$1:$AT$1,),)</f>
        <v/>
      </c>
      <c r="Y21" s="25">
        <f>VLOOKUP(B21,'Data qoq'!$A:$AT,MATCH($Y$1,'Data qoq'!$A$1:$AT$1,),)</f>
        <v/>
      </c>
      <c r="Z21" s="25">
        <f>VLOOKUP(B21,'Data qoq'!$A:$AU,MATCH($Z$1,'Data qoq'!$A$1:$AU$1,),)</f>
        <v/>
      </c>
      <c r="AA21" s="25">
        <f>VLOOKUP(B21,'Data qoq'!$A:$AU,MATCH($AA$1,'Data qoq'!$A$1:$AU$1,),)</f>
        <v/>
      </c>
      <c r="AC21" s="26">
        <f>B21</f>
        <v/>
      </c>
      <c r="AD21" s="27">
        <f>(VLOOKUP(AC21,B:Y,MATCH($AE$6,$B$1:$Y$1,),))-(VLOOKUP(AC21,B:Y,MATCH($AE$7,$B$1:$Y$1,),))</f>
        <v/>
      </c>
      <c r="AE21" s="27">
        <f>C21-G21</f>
        <v/>
      </c>
    </row>
    <row r="22" hidden="1" s="68">
      <c r="B22" s="24" t="inlineStr">
        <is>
          <t>2002-Q4</t>
        </is>
      </c>
      <c r="C22" s="25">
        <f>VLOOKUP(B22,'Data qoq'!$A:$AT,MATCH($C$1,'Data qoq'!$A$1:$AT$1,),)</f>
        <v/>
      </c>
      <c r="D22" s="25">
        <f>VLOOKUP(B22,'Data qoq'!$A:$AT,MATCH($D$1,'Data qoq'!$A$1:$AT$1,),)</f>
        <v/>
      </c>
      <c r="E22" s="25">
        <f>VLOOKUP(B22,'Data qoq'!$A:$AT,MATCH($E$1,'Data qoq'!$A$1:$AT$1,),)</f>
        <v/>
      </c>
      <c r="F22" s="25">
        <f>VLOOKUP(B22,'Data qoq'!$A:$AT,MATCH($F$1,'Data qoq'!$A$1:$AT$1,),)</f>
        <v/>
      </c>
      <c r="G22" s="25">
        <f>VLOOKUP(B22,'Data qoq'!$A:$AT,MATCH($G$1,'Data qoq'!$A$1:$AT$1,),)</f>
        <v/>
      </c>
      <c r="H22" s="25">
        <f>VLOOKUP(B22,'Data qoq'!$A:$AT,MATCH($H$1,'Data qoq'!$A$1:$AT$1,),)</f>
        <v/>
      </c>
      <c r="I22" s="25">
        <f>VLOOKUP(B22,'Data qoq'!$A:$AT,MATCH($I$1,'Data qoq'!$A$1:$AT$1,),)</f>
        <v/>
      </c>
      <c r="J22" s="25">
        <f>VLOOKUP(B22,'Data qoq'!$A:$AT,MATCH($J$1,'Data qoq'!$A$1:$AT$1,),)</f>
        <v/>
      </c>
      <c r="K22" s="25">
        <f>VLOOKUP(B22,'Data qoq'!$A:$AT,MATCH($K$1,'Data qoq'!$A$1:$AT$1,),)</f>
        <v/>
      </c>
      <c r="L22" s="25">
        <f>VLOOKUP(B22,'Data qoq'!$A:$AT,MATCH($L$1,'Data qoq'!$A$1:$AT$1,),)</f>
        <v/>
      </c>
      <c r="M22" s="25">
        <f>VLOOKUP(B22,'Data qoq'!$A:$AT,MATCH($M$1,'Data qoq'!$A$1:$AT$1,),)</f>
        <v/>
      </c>
      <c r="N22" s="25">
        <f>VLOOKUP(B22,'Data qoq'!$A:$AT,MATCH($N$1,'Data qoq'!$A$1:$AT$1,),)</f>
        <v/>
      </c>
      <c r="O22" s="25">
        <f>VLOOKUP(B22,'Data qoq'!$A:$AT,MATCH($C$1,'Data qoq'!$J$1:$AT$1,),)</f>
        <v/>
      </c>
      <c r="P22" s="25">
        <f>VLOOKUP(B22,'Data qoq'!$A:$AT,MATCH($P$1,'Data qoq'!$A$1:$AT$1,),)</f>
        <v/>
      </c>
      <c r="Q22" s="25">
        <f>VLOOKUP(B22,'Data qoq'!$A:$AT,MATCH($Q$1,'Data qoq'!$A$1:$AT$1,),)</f>
        <v/>
      </c>
      <c r="R22" s="25">
        <f>VLOOKUP(B22,'Data qoq'!$A:$AT,MATCH($E$1,'Data qoq'!$A$1:$AT$1,),)</f>
        <v/>
      </c>
      <c r="S22" s="25">
        <f>VLOOKUP(B22,'Data qoq'!$A:$AT,MATCH($S$1,'Data qoq'!$A$1:$AT$1,),)</f>
        <v/>
      </c>
      <c r="T22" s="25">
        <f>VLOOKUP(B22,'Data qoq'!$A:$AT,MATCH($T$1,'Data qoq'!$A$1:$AT$1,),)</f>
        <v/>
      </c>
      <c r="U22" s="25">
        <f>VLOOKUP(B22,'Data qoq'!$A:$AT,MATCH($U$1,'Data qoq'!$A$1:$AT$1,),)</f>
        <v/>
      </c>
      <c r="V22" s="25">
        <f>VLOOKUP(B22,'Data qoq'!$A:$AT,MATCH($V$1,'Data qoq'!$A$1:$AT$1,),)</f>
        <v/>
      </c>
      <c r="W22" s="25">
        <f>VLOOKUP(B22,'Data qoq'!$A:$AT,MATCH($W$1,'Data qoq'!$A$1:$AT$1,),)</f>
        <v/>
      </c>
      <c r="X22" s="25">
        <f>VLOOKUP(B22,'Data qoq'!$A:$AT,MATCH($X$1,'Data qoq'!$A$1:$AT$1,),)</f>
        <v/>
      </c>
      <c r="Y22" s="25">
        <f>VLOOKUP(B22,'Data qoq'!$A:$AT,MATCH($Y$1,'Data qoq'!$A$1:$AT$1,),)</f>
        <v/>
      </c>
      <c r="Z22" s="25">
        <f>VLOOKUP(B22,'Data qoq'!$A:$AU,MATCH($Z$1,'Data qoq'!$A$1:$AU$1,),)</f>
        <v/>
      </c>
      <c r="AA22" s="25">
        <f>VLOOKUP(B22,'Data qoq'!$A:$AU,MATCH($AA$1,'Data qoq'!$A$1:$AU$1,),)</f>
        <v/>
      </c>
      <c r="AC22" s="26">
        <f>B22</f>
        <v/>
      </c>
      <c r="AD22" s="27">
        <f>(VLOOKUP(AC22,B:Y,MATCH($AE$6,$B$1:$Y$1,),))-(VLOOKUP(AC22,B:Y,MATCH($AE$7,$B$1:$Y$1,),))</f>
        <v/>
      </c>
      <c r="AE22" s="27">
        <f>C22-G22</f>
        <v/>
      </c>
    </row>
    <row r="23" hidden="1" s="68">
      <c r="B23" s="24" t="inlineStr">
        <is>
          <t>2003-Q1</t>
        </is>
      </c>
      <c r="C23" s="25">
        <f>VLOOKUP(B23,'Data qoq'!$A:$AT,MATCH($C$1,'Data qoq'!$A$1:$AT$1,),)</f>
        <v/>
      </c>
      <c r="D23" s="25">
        <f>VLOOKUP(B23,'Data qoq'!$A:$AT,MATCH($D$1,'Data qoq'!$A$1:$AT$1,),)</f>
        <v/>
      </c>
      <c r="E23" s="25">
        <f>VLOOKUP(B23,'Data qoq'!$A:$AT,MATCH($E$1,'Data qoq'!$A$1:$AT$1,),)</f>
        <v/>
      </c>
      <c r="F23" s="25">
        <f>VLOOKUP(B23,'Data qoq'!$A:$AT,MATCH($F$1,'Data qoq'!$A$1:$AT$1,),)</f>
        <v/>
      </c>
      <c r="G23" s="25">
        <f>VLOOKUP(B23,'Data qoq'!$A:$AT,MATCH($G$1,'Data qoq'!$A$1:$AT$1,),)</f>
        <v/>
      </c>
      <c r="H23" s="25">
        <f>VLOOKUP(B23,'Data qoq'!$A:$AT,MATCH($H$1,'Data qoq'!$A$1:$AT$1,),)</f>
        <v/>
      </c>
      <c r="I23" s="25">
        <f>VLOOKUP(B23,'Data qoq'!$A:$AT,MATCH($I$1,'Data qoq'!$A$1:$AT$1,),)</f>
        <v/>
      </c>
      <c r="J23" s="25">
        <f>VLOOKUP(B23,'Data qoq'!$A:$AT,MATCH($J$1,'Data qoq'!$A$1:$AT$1,),)</f>
        <v/>
      </c>
      <c r="K23" s="25">
        <f>VLOOKUP(B23,'Data qoq'!$A:$AT,MATCH($K$1,'Data qoq'!$A$1:$AT$1,),)</f>
        <v/>
      </c>
      <c r="L23" s="25">
        <f>VLOOKUP(B23,'Data qoq'!$A:$AT,MATCH($L$1,'Data qoq'!$A$1:$AT$1,),)</f>
        <v/>
      </c>
      <c r="M23" s="25">
        <f>VLOOKUP(B23,'Data qoq'!$A:$AT,MATCH($M$1,'Data qoq'!$A$1:$AT$1,),)</f>
        <v/>
      </c>
      <c r="N23" s="25">
        <f>VLOOKUP(B23,'Data qoq'!$A:$AT,MATCH($N$1,'Data qoq'!$A$1:$AT$1,),)</f>
        <v/>
      </c>
      <c r="O23" s="25">
        <f>VLOOKUP(B23,'Data qoq'!$A:$AT,MATCH($C$1,'Data qoq'!$J$1:$AT$1,),)</f>
        <v/>
      </c>
      <c r="P23" s="25">
        <f>VLOOKUP(B23,'Data qoq'!$A:$AT,MATCH($P$1,'Data qoq'!$A$1:$AT$1,),)</f>
        <v/>
      </c>
      <c r="Q23" s="25">
        <f>VLOOKUP(B23,'Data qoq'!$A:$AT,MATCH($Q$1,'Data qoq'!$A$1:$AT$1,),)</f>
        <v/>
      </c>
      <c r="R23" s="25">
        <f>VLOOKUP(B23,'Data qoq'!$A:$AT,MATCH($E$1,'Data qoq'!$A$1:$AT$1,),)</f>
        <v/>
      </c>
      <c r="S23" s="25">
        <f>VLOOKUP(B23,'Data qoq'!$A:$AT,MATCH($S$1,'Data qoq'!$A$1:$AT$1,),)</f>
        <v/>
      </c>
      <c r="T23" s="25">
        <f>VLOOKUP(B23,'Data qoq'!$A:$AT,MATCH($T$1,'Data qoq'!$A$1:$AT$1,),)</f>
        <v/>
      </c>
      <c r="U23" s="25">
        <f>VLOOKUP(B23,'Data qoq'!$A:$AT,MATCH($U$1,'Data qoq'!$A$1:$AT$1,),)</f>
        <v/>
      </c>
      <c r="V23" s="25">
        <f>VLOOKUP(B23,'Data qoq'!$A:$AT,MATCH($V$1,'Data qoq'!$A$1:$AT$1,),)</f>
        <v/>
      </c>
      <c r="W23" s="25">
        <f>VLOOKUP(B23,'Data qoq'!$A:$AT,MATCH($W$1,'Data qoq'!$A$1:$AT$1,),)</f>
        <v/>
      </c>
      <c r="X23" s="25">
        <f>VLOOKUP(B23,'Data qoq'!$A:$AT,MATCH($X$1,'Data qoq'!$A$1:$AT$1,),)</f>
        <v/>
      </c>
      <c r="Y23" s="25">
        <f>VLOOKUP(B23,'Data qoq'!$A:$AT,MATCH($Y$1,'Data qoq'!$A$1:$AT$1,),)</f>
        <v/>
      </c>
      <c r="Z23" s="25">
        <f>VLOOKUP(B23,'Data qoq'!$A:$AU,MATCH($Z$1,'Data qoq'!$A$1:$AU$1,),)</f>
        <v/>
      </c>
      <c r="AA23" s="25">
        <f>VLOOKUP(B23,'Data qoq'!$A:$AU,MATCH($AA$1,'Data qoq'!$A$1:$AU$1,),)</f>
        <v/>
      </c>
      <c r="AC23" s="26">
        <f>B23</f>
        <v/>
      </c>
      <c r="AD23" s="27">
        <f>(VLOOKUP(AC23,B:Y,MATCH($AE$6,$B$1:$Y$1,),))-(VLOOKUP(AC23,B:Y,MATCH($AE$7,$B$1:$Y$1,),))</f>
        <v/>
      </c>
      <c r="AE23" s="27">
        <f>C23-G23</f>
        <v/>
      </c>
    </row>
    <row r="24" hidden="1" s="68">
      <c r="B24" s="24" t="inlineStr">
        <is>
          <t>2003-Q2</t>
        </is>
      </c>
      <c r="C24" s="25">
        <f>VLOOKUP(B24,'Data qoq'!$A:$AT,MATCH($C$1,'Data qoq'!$A$1:$AT$1,),)</f>
        <v/>
      </c>
      <c r="D24" s="25">
        <f>VLOOKUP(B24,'Data qoq'!$A:$AT,MATCH($D$1,'Data qoq'!$A$1:$AT$1,),)</f>
        <v/>
      </c>
      <c r="E24" s="25">
        <f>VLOOKUP(B24,'Data qoq'!$A:$AT,MATCH($E$1,'Data qoq'!$A$1:$AT$1,),)</f>
        <v/>
      </c>
      <c r="F24" s="25">
        <f>VLOOKUP(B24,'Data qoq'!$A:$AT,MATCH($F$1,'Data qoq'!$A$1:$AT$1,),)</f>
        <v/>
      </c>
      <c r="G24" s="25">
        <f>VLOOKUP(B24,'Data qoq'!$A:$AT,MATCH($G$1,'Data qoq'!$A$1:$AT$1,),)</f>
        <v/>
      </c>
      <c r="H24" s="25">
        <f>VLOOKUP(B24,'Data qoq'!$A:$AT,MATCH($H$1,'Data qoq'!$A$1:$AT$1,),)</f>
        <v/>
      </c>
      <c r="I24" s="25">
        <f>VLOOKUP(B24,'Data qoq'!$A:$AT,MATCH($I$1,'Data qoq'!$A$1:$AT$1,),)</f>
        <v/>
      </c>
      <c r="J24" s="25">
        <f>VLOOKUP(B24,'Data qoq'!$A:$AT,MATCH($J$1,'Data qoq'!$A$1:$AT$1,),)</f>
        <v/>
      </c>
      <c r="K24" s="25">
        <f>VLOOKUP(B24,'Data qoq'!$A:$AT,MATCH($K$1,'Data qoq'!$A$1:$AT$1,),)</f>
        <v/>
      </c>
      <c r="L24" s="25">
        <f>VLOOKUP(B24,'Data qoq'!$A:$AT,MATCH($L$1,'Data qoq'!$A$1:$AT$1,),)</f>
        <v/>
      </c>
      <c r="M24" s="25">
        <f>VLOOKUP(B24,'Data qoq'!$A:$AT,MATCH($M$1,'Data qoq'!$A$1:$AT$1,),)</f>
        <v/>
      </c>
      <c r="N24" s="25">
        <f>VLOOKUP(B24,'Data qoq'!$A:$AT,MATCH($N$1,'Data qoq'!$A$1:$AT$1,),)</f>
        <v/>
      </c>
      <c r="O24" s="25">
        <f>VLOOKUP(B24,'Data qoq'!$A:$AT,MATCH($C$1,'Data qoq'!$J$1:$AT$1,),)</f>
        <v/>
      </c>
      <c r="P24" s="25">
        <f>VLOOKUP(B24,'Data qoq'!$A:$AT,MATCH($P$1,'Data qoq'!$A$1:$AT$1,),)</f>
        <v/>
      </c>
      <c r="Q24" s="25">
        <f>VLOOKUP(B24,'Data qoq'!$A:$AT,MATCH($Q$1,'Data qoq'!$A$1:$AT$1,),)</f>
        <v/>
      </c>
      <c r="R24" s="25">
        <f>VLOOKUP(B24,'Data qoq'!$A:$AT,MATCH($E$1,'Data qoq'!$A$1:$AT$1,),)</f>
        <v/>
      </c>
      <c r="S24" s="25">
        <f>VLOOKUP(B24,'Data qoq'!$A:$AT,MATCH($S$1,'Data qoq'!$A$1:$AT$1,),)</f>
        <v/>
      </c>
      <c r="T24" s="25">
        <f>VLOOKUP(B24,'Data qoq'!$A:$AT,MATCH($T$1,'Data qoq'!$A$1:$AT$1,),)</f>
        <v/>
      </c>
      <c r="U24" s="25">
        <f>VLOOKUP(B24,'Data qoq'!$A:$AT,MATCH($U$1,'Data qoq'!$A$1:$AT$1,),)</f>
        <v/>
      </c>
      <c r="V24" s="25">
        <f>VLOOKUP(B24,'Data qoq'!$A:$AT,MATCH($V$1,'Data qoq'!$A$1:$AT$1,),)</f>
        <v/>
      </c>
      <c r="W24" s="25">
        <f>VLOOKUP(B24,'Data qoq'!$A:$AT,MATCH($W$1,'Data qoq'!$A$1:$AT$1,),)</f>
        <v/>
      </c>
      <c r="X24" s="25">
        <f>VLOOKUP(B24,'Data qoq'!$A:$AT,MATCH($X$1,'Data qoq'!$A$1:$AT$1,),)</f>
        <v/>
      </c>
      <c r="Y24" s="25">
        <f>VLOOKUP(B24,'Data qoq'!$A:$AT,MATCH($Y$1,'Data qoq'!$A$1:$AT$1,),)</f>
        <v/>
      </c>
      <c r="Z24" s="25">
        <f>VLOOKUP(B24,'Data qoq'!$A:$AU,MATCH($Z$1,'Data qoq'!$A$1:$AU$1,),)</f>
        <v/>
      </c>
      <c r="AA24" s="25">
        <f>VLOOKUP(B24,'Data qoq'!$A:$AU,MATCH($AA$1,'Data qoq'!$A$1:$AU$1,),)</f>
        <v/>
      </c>
      <c r="AC24" s="26">
        <f>B24</f>
        <v/>
      </c>
      <c r="AD24" s="27">
        <f>(VLOOKUP(AC24,B:Y,MATCH($AE$6,$B$1:$Y$1,),))-(VLOOKUP(AC24,B:Y,MATCH($AE$7,$B$1:$Y$1,),))</f>
        <v/>
      </c>
      <c r="AE24" s="27">
        <f>C24-G24</f>
        <v/>
      </c>
    </row>
    <row r="25" hidden="1" s="68">
      <c r="B25" s="24" t="inlineStr">
        <is>
          <t>2003-Q3</t>
        </is>
      </c>
      <c r="C25" s="25">
        <f>VLOOKUP(B25,'Data qoq'!$A:$AT,MATCH($C$1,'Data qoq'!$A$1:$AT$1,),)</f>
        <v/>
      </c>
      <c r="D25" s="25">
        <f>VLOOKUP(B25,'Data qoq'!$A:$AT,MATCH($D$1,'Data qoq'!$A$1:$AT$1,),)</f>
        <v/>
      </c>
      <c r="E25" s="25">
        <f>VLOOKUP(B25,'Data qoq'!$A:$AT,MATCH($E$1,'Data qoq'!$A$1:$AT$1,),)</f>
        <v/>
      </c>
      <c r="F25" s="25">
        <f>VLOOKUP(B25,'Data qoq'!$A:$AT,MATCH($F$1,'Data qoq'!$A$1:$AT$1,),)</f>
        <v/>
      </c>
      <c r="G25" s="25">
        <f>VLOOKUP(B25,'Data qoq'!$A:$AT,MATCH($G$1,'Data qoq'!$A$1:$AT$1,),)</f>
        <v/>
      </c>
      <c r="H25" s="25">
        <f>VLOOKUP(B25,'Data qoq'!$A:$AT,MATCH($H$1,'Data qoq'!$A$1:$AT$1,),)</f>
        <v/>
      </c>
      <c r="I25" s="25">
        <f>VLOOKUP(B25,'Data qoq'!$A:$AT,MATCH($I$1,'Data qoq'!$A$1:$AT$1,),)</f>
        <v/>
      </c>
      <c r="J25" s="25">
        <f>VLOOKUP(B25,'Data qoq'!$A:$AT,MATCH($J$1,'Data qoq'!$A$1:$AT$1,),)</f>
        <v/>
      </c>
      <c r="K25" s="25">
        <f>VLOOKUP(B25,'Data qoq'!$A:$AT,MATCH($K$1,'Data qoq'!$A$1:$AT$1,),)</f>
        <v/>
      </c>
      <c r="L25" s="25">
        <f>VLOOKUP(B25,'Data qoq'!$A:$AT,MATCH($L$1,'Data qoq'!$A$1:$AT$1,),)</f>
        <v/>
      </c>
      <c r="M25" s="25">
        <f>VLOOKUP(B25,'Data qoq'!$A:$AT,MATCH($M$1,'Data qoq'!$A$1:$AT$1,),)</f>
        <v/>
      </c>
      <c r="N25" s="25">
        <f>VLOOKUP(B25,'Data qoq'!$A:$AT,MATCH($N$1,'Data qoq'!$A$1:$AT$1,),)</f>
        <v/>
      </c>
      <c r="O25" s="25">
        <f>VLOOKUP(B25,'Data qoq'!$A:$AT,MATCH($C$1,'Data qoq'!$J$1:$AT$1,),)</f>
        <v/>
      </c>
      <c r="P25" s="25">
        <f>VLOOKUP(B25,'Data qoq'!$A:$AT,MATCH($P$1,'Data qoq'!$A$1:$AT$1,),)</f>
        <v/>
      </c>
      <c r="Q25" s="25">
        <f>VLOOKUP(B25,'Data qoq'!$A:$AT,MATCH($Q$1,'Data qoq'!$A$1:$AT$1,),)</f>
        <v/>
      </c>
      <c r="R25" s="25">
        <f>VLOOKUP(B25,'Data qoq'!$A:$AT,MATCH($E$1,'Data qoq'!$A$1:$AT$1,),)</f>
        <v/>
      </c>
      <c r="S25" s="25">
        <f>VLOOKUP(B25,'Data qoq'!$A:$AT,MATCH($S$1,'Data qoq'!$A$1:$AT$1,),)</f>
        <v/>
      </c>
      <c r="T25" s="25">
        <f>VLOOKUP(B25,'Data qoq'!$A:$AT,MATCH($T$1,'Data qoq'!$A$1:$AT$1,),)</f>
        <v/>
      </c>
      <c r="U25" s="25">
        <f>VLOOKUP(B25,'Data qoq'!$A:$AT,MATCH($U$1,'Data qoq'!$A$1:$AT$1,),)</f>
        <v/>
      </c>
      <c r="V25" s="25">
        <f>VLOOKUP(B25,'Data qoq'!$A:$AT,MATCH($V$1,'Data qoq'!$A$1:$AT$1,),)</f>
        <v/>
      </c>
      <c r="W25" s="25">
        <f>VLOOKUP(B25,'Data qoq'!$A:$AT,MATCH($W$1,'Data qoq'!$A$1:$AT$1,),)</f>
        <v/>
      </c>
      <c r="X25" s="25">
        <f>VLOOKUP(B25,'Data qoq'!$A:$AT,MATCH($X$1,'Data qoq'!$A$1:$AT$1,),)</f>
        <v/>
      </c>
      <c r="Y25" s="25">
        <f>VLOOKUP(B25,'Data qoq'!$A:$AT,MATCH($Y$1,'Data qoq'!$A$1:$AT$1,),)</f>
        <v/>
      </c>
      <c r="Z25" s="25">
        <f>VLOOKUP(B25,'Data qoq'!$A:$AU,MATCH($Z$1,'Data qoq'!$A$1:$AU$1,),)</f>
        <v/>
      </c>
      <c r="AA25" s="25">
        <f>VLOOKUP(B25,'Data qoq'!$A:$AU,MATCH($AA$1,'Data qoq'!$A$1:$AU$1,),)</f>
        <v/>
      </c>
      <c r="AC25" s="26">
        <f>B25</f>
        <v/>
      </c>
      <c r="AD25" s="27">
        <f>(VLOOKUP(AC25,B:Y,MATCH($AE$6,$B$1:$Y$1,),))-(VLOOKUP(AC25,B:Y,MATCH($AE$7,$B$1:$Y$1,),))</f>
        <v/>
      </c>
      <c r="AE25" s="27">
        <f>C25-G25</f>
        <v/>
      </c>
    </row>
    <row r="26" hidden="1" s="68">
      <c r="B26" s="24" t="inlineStr">
        <is>
          <t>2003-Q4</t>
        </is>
      </c>
      <c r="C26" s="25">
        <f>VLOOKUP(B26,'Data qoq'!$A:$AT,MATCH($C$1,'Data qoq'!$A$1:$AT$1,),)</f>
        <v/>
      </c>
      <c r="D26" s="25">
        <f>VLOOKUP(B26,'Data qoq'!$A:$AT,MATCH($D$1,'Data qoq'!$A$1:$AT$1,),)</f>
        <v/>
      </c>
      <c r="E26" s="25">
        <f>VLOOKUP(B26,'Data qoq'!$A:$AT,MATCH($E$1,'Data qoq'!$A$1:$AT$1,),)</f>
        <v/>
      </c>
      <c r="F26" s="25">
        <f>VLOOKUP(B26,'Data qoq'!$A:$AT,MATCH($F$1,'Data qoq'!$A$1:$AT$1,),)</f>
        <v/>
      </c>
      <c r="G26" s="25">
        <f>VLOOKUP(B26,'Data qoq'!$A:$AT,MATCH($G$1,'Data qoq'!$A$1:$AT$1,),)</f>
        <v/>
      </c>
      <c r="H26" s="25">
        <f>VLOOKUP(B26,'Data qoq'!$A:$AT,MATCH($H$1,'Data qoq'!$A$1:$AT$1,),)</f>
        <v/>
      </c>
      <c r="I26" s="25">
        <f>VLOOKUP(B26,'Data qoq'!$A:$AT,MATCH($I$1,'Data qoq'!$A$1:$AT$1,),)</f>
        <v/>
      </c>
      <c r="J26" s="25">
        <f>VLOOKUP(B26,'Data qoq'!$A:$AT,MATCH($J$1,'Data qoq'!$A$1:$AT$1,),)</f>
        <v/>
      </c>
      <c r="K26" s="25">
        <f>VLOOKUP(B26,'Data qoq'!$A:$AT,MATCH($K$1,'Data qoq'!$A$1:$AT$1,),)</f>
        <v/>
      </c>
      <c r="L26" s="25">
        <f>VLOOKUP(B26,'Data qoq'!$A:$AT,MATCH($L$1,'Data qoq'!$A$1:$AT$1,),)</f>
        <v/>
      </c>
      <c r="M26" s="25">
        <f>VLOOKUP(B26,'Data qoq'!$A:$AT,MATCH($M$1,'Data qoq'!$A$1:$AT$1,),)</f>
        <v/>
      </c>
      <c r="N26" s="25">
        <f>VLOOKUP(B26,'Data qoq'!$A:$AT,MATCH($N$1,'Data qoq'!$A$1:$AT$1,),)</f>
        <v/>
      </c>
      <c r="O26" s="25">
        <f>VLOOKUP(B26,'Data qoq'!$A:$AT,MATCH($C$1,'Data qoq'!$J$1:$AT$1,),)</f>
        <v/>
      </c>
      <c r="P26" s="25">
        <f>VLOOKUP(B26,'Data qoq'!$A:$AT,MATCH($P$1,'Data qoq'!$A$1:$AT$1,),)</f>
        <v/>
      </c>
      <c r="Q26" s="25">
        <f>VLOOKUP(B26,'Data qoq'!$A:$AT,MATCH($Q$1,'Data qoq'!$A$1:$AT$1,),)</f>
        <v/>
      </c>
      <c r="R26" s="25">
        <f>VLOOKUP(B26,'Data qoq'!$A:$AT,MATCH($E$1,'Data qoq'!$A$1:$AT$1,),)</f>
        <v/>
      </c>
      <c r="S26" s="25">
        <f>VLOOKUP(B26,'Data qoq'!$A:$AT,MATCH($S$1,'Data qoq'!$A$1:$AT$1,),)</f>
        <v/>
      </c>
      <c r="T26" s="25">
        <f>VLOOKUP(B26,'Data qoq'!$A:$AT,MATCH($T$1,'Data qoq'!$A$1:$AT$1,),)</f>
        <v/>
      </c>
      <c r="U26" s="25">
        <f>VLOOKUP(B26,'Data qoq'!$A:$AT,MATCH($U$1,'Data qoq'!$A$1:$AT$1,),)</f>
        <v/>
      </c>
      <c r="V26" s="25">
        <f>VLOOKUP(B26,'Data qoq'!$A:$AT,MATCH($V$1,'Data qoq'!$A$1:$AT$1,),)</f>
        <v/>
      </c>
      <c r="W26" s="25">
        <f>VLOOKUP(B26,'Data qoq'!$A:$AT,MATCH($W$1,'Data qoq'!$A$1:$AT$1,),)</f>
        <v/>
      </c>
      <c r="X26" s="25">
        <f>VLOOKUP(B26,'Data qoq'!$A:$AT,MATCH($X$1,'Data qoq'!$A$1:$AT$1,),)</f>
        <v/>
      </c>
      <c r="Y26" s="25">
        <f>VLOOKUP(B26,'Data qoq'!$A:$AT,MATCH($Y$1,'Data qoq'!$A$1:$AT$1,),)</f>
        <v/>
      </c>
      <c r="Z26" s="25">
        <f>VLOOKUP(B26,'Data qoq'!$A:$AU,MATCH($Z$1,'Data qoq'!$A$1:$AU$1,),)</f>
        <v/>
      </c>
      <c r="AA26" s="25">
        <f>VLOOKUP(B26,'Data qoq'!$A:$AU,MATCH($AA$1,'Data qoq'!$A$1:$AU$1,),)</f>
        <v/>
      </c>
      <c r="AC26" s="26">
        <f>B26</f>
        <v/>
      </c>
      <c r="AD26" s="27">
        <f>(VLOOKUP(AC26,B:Y,MATCH($AE$6,$B$1:$Y$1,),))-(VLOOKUP(AC26,B:Y,MATCH($AE$7,$B$1:$Y$1,),))</f>
        <v/>
      </c>
      <c r="AE26" s="27">
        <f>C26-G26</f>
        <v/>
      </c>
    </row>
    <row r="27" hidden="1" s="68">
      <c r="B27" s="24" t="inlineStr">
        <is>
          <t>2004-Q1</t>
        </is>
      </c>
      <c r="C27" s="25">
        <f>VLOOKUP(B27,'Data qoq'!$A:$AT,MATCH($C$1,'Data qoq'!$A$1:$AT$1,),)</f>
        <v/>
      </c>
      <c r="D27" s="25">
        <f>VLOOKUP(B27,'Data qoq'!$A:$AT,MATCH($D$1,'Data qoq'!$A$1:$AT$1,),)</f>
        <v/>
      </c>
      <c r="E27" s="25">
        <f>VLOOKUP(B27,'Data qoq'!$A:$AT,MATCH($E$1,'Data qoq'!$A$1:$AT$1,),)</f>
        <v/>
      </c>
      <c r="F27" s="25">
        <f>VLOOKUP(B27,'Data qoq'!$A:$AT,MATCH($F$1,'Data qoq'!$A$1:$AT$1,),)</f>
        <v/>
      </c>
      <c r="G27" s="25">
        <f>VLOOKUP(B27,'Data qoq'!$A:$AT,MATCH($G$1,'Data qoq'!$A$1:$AT$1,),)</f>
        <v/>
      </c>
      <c r="H27" s="25">
        <f>VLOOKUP(B27,'Data qoq'!$A:$AT,MATCH($H$1,'Data qoq'!$A$1:$AT$1,),)</f>
        <v/>
      </c>
      <c r="I27" s="25">
        <f>VLOOKUP(B27,'Data qoq'!$A:$AT,MATCH($I$1,'Data qoq'!$A$1:$AT$1,),)</f>
        <v/>
      </c>
      <c r="J27" s="25">
        <f>VLOOKUP(B27,'Data qoq'!$A:$AT,MATCH($J$1,'Data qoq'!$A$1:$AT$1,),)</f>
        <v/>
      </c>
      <c r="K27" s="25">
        <f>VLOOKUP(B27,'Data qoq'!$A:$AT,MATCH($K$1,'Data qoq'!$A$1:$AT$1,),)</f>
        <v/>
      </c>
      <c r="L27" s="25">
        <f>VLOOKUP(B27,'Data qoq'!$A:$AT,MATCH($L$1,'Data qoq'!$A$1:$AT$1,),)</f>
        <v/>
      </c>
      <c r="M27" s="25">
        <f>VLOOKUP(B27,'Data qoq'!$A:$AT,MATCH($M$1,'Data qoq'!$A$1:$AT$1,),)</f>
        <v/>
      </c>
      <c r="N27" s="25">
        <f>VLOOKUP(B27,'Data qoq'!$A:$AT,MATCH($N$1,'Data qoq'!$A$1:$AT$1,),)</f>
        <v/>
      </c>
      <c r="O27" s="25">
        <f>VLOOKUP(B27,'Data qoq'!$A:$AT,MATCH($C$1,'Data qoq'!$J$1:$AT$1,),)</f>
        <v/>
      </c>
      <c r="P27" s="25">
        <f>VLOOKUP(B27,'Data qoq'!$A:$AT,MATCH($P$1,'Data qoq'!$A$1:$AT$1,),)</f>
        <v/>
      </c>
      <c r="Q27" s="25">
        <f>VLOOKUP(B27,'Data qoq'!$A:$AT,MATCH($Q$1,'Data qoq'!$A$1:$AT$1,),)</f>
        <v/>
      </c>
      <c r="R27" s="25">
        <f>VLOOKUP(B27,'Data qoq'!$A:$AT,MATCH($E$1,'Data qoq'!$A$1:$AT$1,),)</f>
        <v/>
      </c>
      <c r="S27" s="25">
        <f>VLOOKUP(B27,'Data qoq'!$A:$AT,MATCH($S$1,'Data qoq'!$A$1:$AT$1,),)</f>
        <v/>
      </c>
      <c r="T27" s="25">
        <f>VLOOKUP(B27,'Data qoq'!$A:$AT,MATCH($T$1,'Data qoq'!$A$1:$AT$1,),)</f>
        <v/>
      </c>
      <c r="U27" s="25">
        <f>VLOOKUP(B27,'Data qoq'!$A:$AT,MATCH($U$1,'Data qoq'!$A$1:$AT$1,),)</f>
        <v/>
      </c>
      <c r="V27" s="25">
        <f>VLOOKUP(B27,'Data qoq'!$A:$AT,MATCH($V$1,'Data qoq'!$A$1:$AT$1,),)</f>
        <v/>
      </c>
      <c r="W27" s="25">
        <f>VLOOKUP(B27,'Data qoq'!$A:$AT,MATCH($W$1,'Data qoq'!$A$1:$AT$1,),)</f>
        <v/>
      </c>
      <c r="X27" s="25">
        <f>VLOOKUP(B27,'Data qoq'!$A:$AT,MATCH($X$1,'Data qoq'!$A$1:$AT$1,),)</f>
        <v/>
      </c>
      <c r="Y27" s="25">
        <f>VLOOKUP(B27,'Data qoq'!$A:$AT,MATCH($Y$1,'Data qoq'!$A$1:$AT$1,),)</f>
        <v/>
      </c>
      <c r="Z27" s="25">
        <f>VLOOKUP(B27,'Data qoq'!$A:$AU,MATCH($Z$1,'Data qoq'!$A$1:$AU$1,),)</f>
        <v/>
      </c>
      <c r="AA27" s="25">
        <f>VLOOKUP(B27,'Data qoq'!$A:$AU,MATCH($AA$1,'Data qoq'!$A$1:$AU$1,),)</f>
        <v/>
      </c>
      <c r="AC27" s="26">
        <f>B27</f>
        <v/>
      </c>
      <c r="AD27" s="27">
        <f>(VLOOKUP(AC27,B:Y,MATCH($AE$6,$B$1:$Y$1,),))-(VLOOKUP(AC27,B:Y,MATCH($AE$7,$B$1:$Y$1,),))</f>
        <v/>
      </c>
      <c r="AE27" s="27">
        <f>C27-G27</f>
        <v/>
      </c>
    </row>
    <row r="28" hidden="1" s="68">
      <c r="B28" s="24" t="inlineStr">
        <is>
          <t>2004-Q2</t>
        </is>
      </c>
      <c r="C28" s="25">
        <f>VLOOKUP(B28,'Data qoq'!$A:$AT,MATCH($C$1,'Data qoq'!$A$1:$AT$1,),)</f>
        <v/>
      </c>
      <c r="D28" s="25">
        <f>VLOOKUP(B28,'Data qoq'!$A:$AT,MATCH($D$1,'Data qoq'!$A$1:$AT$1,),)</f>
        <v/>
      </c>
      <c r="E28" s="25">
        <f>VLOOKUP(B28,'Data qoq'!$A:$AT,MATCH($E$1,'Data qoq'!$A$1:$AT$1,),)</f>
        <v/>
      </c>
      <c r="F28" s="25">
        <f>VLOOKUP(B28,'Data qoq'!$A:$AT,MATCH($F$1,'Data qoq'!$A$1:$AT$1,),)</f>
        <v/>
      </c>
      <c r="G28" s="25">
        <f>VLOOKUP(B28,'Data qoq'!$A:$AT,MATCH($G$1,'Data qoq'!$A$1:$AT$1,),)</f>
        <v/>
      </c>
      <c r="H28" s="25">
        <f>VLOOKUP(B28,'Data qoq'!$A:$AT,MATCH($H$1,'Data qoq'!$A$1:$AT$1,),)</f>
        <v/>
      </c>
      <c r="I28" s="25">
        <f>VLOOKUP(B28,'Data qoq'!$A:$AT,MATCH($I$1,'Data qoq'!$A$1:$AT$1,),)</f>
        <v/>
      </c>
      <c r="J28" s="25">
        <f>VLOOKUP(B28,'Data qoq'!$A:$AT,MATCH($J$1,'Data qoq'!$A$1:$AT$1,),)</f>
        <v/>
      </c>
      <c r="K28" s="25">
        <f>VLOOKUP(B28,'Data qoq'!$A:$AT,MATCH($K$1,'Data qoq'!$A$1:$AT$1,),)</f>
        <v/>
      </c>
      <c r="L28" s="25">
        <f>VLOOKUP(B28,'Data qoq'!$A:$AT,MATCH($L$1,'Data qoq'!$A$1:$AT$1,),)</f>
        <v/>
      </c>
      <c r="M28" s="25">
        <f>VLOOKUP(B28,'Data qoq'!$A:$AT,MATCH($M$1,'Data qoq'!$A$1:$AT$1,),)</f>
        <v/>
      </c>
      <c r="N28" s="25">
        <f>VLOOKUP(B28,'Data qoq'!$A:$AT,MATCH($N$1,'Data qoq'!$A$1:$AT$1,),)</f>
        <v/>
      </c>
      <c r="O28" s="25">
        <f>VLOOKUP(B28,'Data qoq'!$A:$AT,MATCH($C$1,'Data qoq'!$J$1:$AT$1,),)</f>
        <v/>
      </c>
      <c r="P28" s="25">
        <f>VLOOKUP(B28,'Data qoq'!$A:$AT,MATCH($P$1,'Data qoq'!$A$1:$AT$1,),)</f>
        <v/>
      </c>
      <c r="Q28" s="25">
        <f>VLOOKUP(B28,'Data qoq'!$A:$AT,MATCH($Q$1,'Data qoq'!$A$1:$AT$1,),)</f>
        <v/>
      </c>
      <c r="R28" s="25">
        <f>VLOOKUP(B28,'Data qoq'!$A:$AT,MATCH($E$1,'Data qoq'!$A$1:$AT$1,),)</f>
        <v/>
      </c>
      <c r="S28" s="25">
        <f>VLOOKUP(B28,'Data qoq'!$A:$AT,MATCH($S$1,'Data qoq'!$A$1:$AT$1,),)</f>
        <v/>
      </c>
      <c r="T28" s="25">
        <f>VLOOKUP(B28,'Data qoq'!$A:$AT,MATCH($T$1,'Data qoq'!$A$1:$AT$1,),)</f>
        <v/>
      </c>
      <c r="U28" s="25">
        <f>VLOOKUP(B28,'Data qoq'!$A:$AT,MATCH($U$1,'Data qoq'!$A$1:$AT$1,),)</f>
        <v/>
      </c>
      <c r="V28" s="25">
        <f>VLOOKUP(B28,'Data qoq'!$A:$AT,MATCH($V$1,'Data qoq'!$A$1:$AT$1,),)</f>
        <v/>
      </c>
      <c r="W28" s="25">
        <f>VLOOKUP(B28,'Data qoq'!$A:$AT,MATCH($W$1,'Data qoq'!$A$1:$AT$1,),)</f>
        <v/>
      </c>
      <c r="X28" s="25">
        <f>VLOOKUP(B28,'Data qoq'!$A:$AT,MATCH($X$1,'Data qoq'!$A$1:$AT$1,),)</f>
        <v/>
      </c>
      <c r="Y28" s="25">
        <f>VLOOKUP(B28,'Data qoq'!$A:$AT,MATCH($Y$1,'Data qoq'!$A$1:$AT$1,),)</f>
        <v/>
      </c>
      <c r="Z28" s="25">
        <f>VLOOKUP(B28,'Data qoq'!$A:$AU,MATCH($Z$1,'Data qoq'!$A$1:$AU$1,),)</f>
        <v/>
      </c>
      <c r="AA28" s="25">
        <f>VLOOKUP(B28,'Data qoq'!$A:$AU,MATCH($AA$1,'Data qoq'!$A$1:$AU$1,),)</f>
        <v/>
      </c>
      <c r="AC28" s="26">
        <f>B28</f>
        <v/>
      </c>
      <c r="AD28" s="27">
        <f>(VLOOKUP(AC28,B:Y,MATCH($AE$6,$B$1:$Y$1,),))-(VLOOKUP(AC28,B:Y,MATCH($AE$7,$B$1:$Y$1,),))</f>
        <v/>
      </c>
      <c r="AE28" s="27">
        <f>C28-G28</f>
        <v/>
      </c>
    </row>
    <row r="29" hidden="1" s="68">
      <c r="B29" s="24" t="inlineStr">
        <is>
          <t>2004-Q3</t>
        </is>
      </c>
      <c r="C29" s="25">
        <f>VLOOKUP(B29,'Data qoq'!$A:$AT,MATCH($C$1,'Data qoq'!$A$1:$AT$1,),)</f>
        <v/>
      </c>
      <c r="D29" s="25">
        <f>VLOOKUP(B29,'Data qoq'!$A:$AT,MATCH($D$1,'Data qoq'!$A$1:$AT$1,),)</f>
        <v/>
      </c>
      <c r="E29" s="25">
        <f>VLOOKUP(B29,'Data qoq'!$A:$AT,MATCH($E$1,'Data qoq'!$A$1:$AT$1,),)</f>
        <v/>
      </c>
      <c r="F29" s="25">
        <f>VLOOKUP(B29,'Data qoq'!$A:$AT,MATCH($F$1,'Data qoq'!$A$1:$AT$1,),)</f>
        <v/>
      </c>
      <c r="G29" s="25">
        <f>VLOOKUP(B29,'Data qoq'!$A:$AT,MATCH($G$1,'Data qoq'!$A$1:$AT$1,),)</f>
        <v/>
      </c>
      <c r="H29" s="25">
        <f>VLOOKUP(B29,'Data qoq'!$A:$AT,MATCH($H$1,'Data qoq'!$A$1:$AT$1,),)</f>
        <v/>
      </c>
      <c r="I29" s="25">
        <f>VLOOKUP(B29,'Data qoq'!$A:$AT,MATCH($I$1,'Data qoq'!$A$1:$AT$1,),)</f>
        <v/>
      </c>
      <c r="J29" s="25">
        <f>VLOOKUP(B29,'Data qoq'!$A:$AT,MATCH($J$1,'Data qoq'!$A$1:$AT$1,),)</f>
        <v/>
      </c>
      <c r="K29" s="25">
        <f>VLOOKUP(B29,'Data qoq'!$A:$AT,MATCH($K$1,'Data qoq'!$A$1:$AT$1,),)</f>
        <v/>
      </c>
      <c r="L29" s="25">
        <f>VLOOKUP(B29,'Data qoq'!$A:$AT,MATCH($L$1,'Data qoq'!$A$1:$AT$1,),)</f>
        <v/>
      </c>
      <c r="M29" s="25">
        <f>VLOOKUP(B29,'Data qoq'!$A:$AT,MATCH($M$1,'Data qoq'!$A$1:$AT$1,),)</f>
        <v/>
      </c>
      <c r="N29" s="25">
        <f>VLOOKUP(B29,'Data qoq'!$A:$AT,MATCH($N$1,'Data qoq'!$A$1:$AT$1,),)</f>
        <v/>
      </c>
      <c r="O29" s="25">
        <f>VLOOKUP(B29,'Data qoq'!$A:$AT,MATCH($C$1,'Data qoq'!$J$1:$AT$1,),)</f>
        <v/>
      </c>
      <c r="P29" s="25">
        <f>VLOOKUP(B29,'Data qoq'!$A:$AT,MATCH($P$1,'Data qoq'!$A$1:$AT$1,),)</f>
        <v/>
      </c>
      <c r="Q29" s="25">
        <f>VLOOKUP(B29,'Data qoq'!$A:$AT,MATCH($Q$1,'Data qoq'!$A$1:$AT$1,),)</f>
        <v/>
      </c>
      <c r="R29" s="25">
        <f>VLOOKUP(B29,'Data qoq'!$A:$AT,MATCH($E$1,'Data qoq'!$A$1:$AT$1,),)</f>
        <v/>
      </c>
      <c r="S29" s="25">
        <f>VLOOKUP(B29,'Data qoq'!$A:$AT,MATCH($S$1,'Data qoq'!$A$1:$AT$1,),)</f>
        <v/>
      </c>
      <c r="T29" s="25">
        <f>VLOOKUP(B29,'Data qoq'!$A:$AT,MATCH($T$1,'Data qoq'!$A$1:$AT$1,),)</f>
        <v/>
      </c>
      <c r="U29" s="25">
        <f>VLOOKUP(B29,'Data qoq'!$A:$AT,MATCH($U$1,'Data qoq'!$A$1:$AT$1,),)</f>
        <v/>
      </c>
      <c r="V29" s="25">
        <f>VLOOKUP(B29,'Data qoq'!$A:$AT,MATCH($V$1,'Data qoq'!$A$1:$AT$1,),)</f>
        <v/>
      </c>
      <c r="W29" s="25">
        <f>VLOOKUP(B29,'Data qoq'!$A:$AT,MATCH($W$1,'Data qoq'!$A$1:$AT$1,),)</f>
        <v/>
      </c>
      <c r="X29" s="25">
        <f>VLOOKUP(B29,'Data qoq'!$A:$AT,MATCH($X$1,'Data qoq'!$A$1:$AT$1,),)</f>
        <v/>
      </c>
      <c r="Y29" s="25">
        <f>VLOOKUP(B29,'Data qoq'!$A:$AT,MATCH($Y$1,'Data qoq'!$A$1:$AT$1,),)</f>
        <v/>
      </c>
      <c r="Z29" s="25">
        <f>VLOOKUP(B29,'Data qoq'!$A:$AU,MATCH($Z$1,'Data qoq'!$A$1:$AU$1,),)</f>
        <v/>
      </c>
      <c r="AA29" s="25">
        <f>VLOOKUP(B29,'Data qoq'!$A:$AU,MATCH($AA$1,'Data qoq'!$A$1:$AU$1,),)</f>
        <v/>
      </c>
      <c r="AC29" s="26">
        <f>B29</f>
        <v/>
      </c>
      <c r="AD29" s="27">
        <f>(VLOOKUP(AC29,B:Y,MATCH($AE$6,$B$1:$Y$1,),))-(VLOOKUP(AC29,B:Y,MATCH($AE$7,$B$1:$Y$1,),))</f>
        <v/>
      </c>
      <c r="AE29" s="27">
        <f>C29-G29</f>
        <v/>
      </c>
    </row>
    <row r="30" hidden="1" s="68">
      <c r="B30" s="24" t="inlineStr">
        <is>
          <t>2004-Q4</t>
        </is>
      </c>
      <c r="C30" s="25">
        <f>VLOOKUP(B30,'Data qoq'!$A:$AT,MATCH($C$1,'Data qoq'!$A$1:$AT$1,),)</f>
        <v/>
      </c>
      <c r="D30" s="25">
        <f>VLOOKUP(B30,'Data qoq'!$A:$AT,MATCH($D$1,'Data qoq'!$A$1:$AT$1,),)</f>
        <v/>
      </c>
      <c r="E30" s="25">
        <f>VLOOKUP(B30,'Data qoq'!$A:$AT,MATCH($E$1,'Data qoq'!$A$1:$AT$1,),)</f>
        <v/>
      </c>
      <c r="F30" s="25">
        <f>VLOOKUP(B30,'Data qoq'!$A:$AT,MATCH($F$1,'Data qoq'!$A$1:$AT$1,),)</f>
        <v/>
      </c>
      <c r="G30" s="25">
        <f>VLOOKUP(B30,'Data qoq'!$A:$AT,MATCH($G$1,'Data qoq'!$A$1:$AT$1,),)</f>
        <v/>
      </c>
      <c r="H30" s="25">
        <f>VLOOKUP(B30,'Data qoq'!$A:$AT,MATCH($H$1,'Data qoq'!$A$1:$AT$1,),)</f>
        <v/>
      </c>
      <c r="I30" s="25">
        <f>VLOOKUP(B30,'Data qoq'!$A:$AT,MATCH($I$1,'Data qoq'!$A$1:$AT$1,),)</f>
        <v/>
      </c>
      <c r="J30" s="25">
        <f>VLOOKUP(B30,'Data qoq'!$A:$AT,MATCH($J$1,'Data qoq'!$A$1:$AT$1,),)</f>
        <v/>
      </c>
      <c r="K30" s="25">
        <f>VLOOKUP(B30,'Data qoq'!$A:$AT,MATCH($K$1,'Data qoq'!$A$1:$AT$1,),)</f>
        <v/>
      </c>
      <c r="L30" s="25">
        <f>VLOOKUP(B30,'Data qoq'!$A:$AT,MATCH($L$1,'Data qoq'!$A$1:$AT$1,),)</f>
        <v/>
      </c>
      <c r="M30" s="25">
        <f>VLOOKUP(B30,'Data qoq'!$A:$AT,MATCH($M$1,'Data qoq'!$A$1:$AT$1,),)</f>
        <v/>
      </c>
      <c r="N30" s="25">
        <f>VLOOKUP(B30,'Data qoq'!$A:$AT,MATCH($N$1,'Data qoq'!$A$1:$AT$1,),)</f>
        <v/>
      </c>
      <c r="O30" s="25">
        <f>VLOOKUP(B30,'Data qoq'!$A:$AT,MATCH($C$1,'Data qoq'!$J$1:$AT$1,),)</f>
        <v/>
      </c>
      <c r="P30" s="25">
        <f>VLOOKUP(B30,'Data qoq'!$A:$AT,MATCH($P$1,'Data qoq'!$A$1:$AT$1,),)</f>
        <v/>
      </c>
      <c r="Q30" s="25">
        <f>VLOOKUP(B30,'Data qoq'!$A:$AT,MATCH($Q$1,'Data qoq'!$A$1:$AT$1,),)</f>
        <v/>
      </c>
      <c r="R30" s="25">
        <f>VLOOKUP(B30,'Data qoq'!$A:$AT,MATCH($E$1,'Data qoq'!$A$1:$AT$1,),)</f>
        <v/>
      </c>
      <c r="S30" s="25">
        <f>VLOOKUP(B30,'Data qoq'!$A:$AT,MATCH($S$1,'Data qoq'!$A$1:$AT$1,),)</f>
        <v/>
      </c>
      <c r="T30" s="25">
        <f>VLOOKUP(B30,'Data qoq'!$A:$AT,MATCH($T$1,'Data qoq'!$A$1:$AT$1,),)</f>
        <v/>
      </c>
      <c r="U30" s="25">
        <f>VLOOKUP(B30,'Data qoq'!$A:$AT,MATCH($U$1,'Data qoq'!$A$1:$AT$1,),)</f>
        <v/>
      </c>
      <c r="V30" s="25">
        <f>VLOOKUP(B30,'Data qoq'!$A:$AT,MATCH($V$1,'Data qoq'!$A$1:$AT$1,),)</f>
        <v/>
      </c>
      <c r="W30" s="25">
        <f>VLOOKUP(B30,'Data qoq'!$A:$AT,MATCH($W$1,'Data qoq'!$A$1:$AT$1,),)</f>
        <v/>
      </c>
      <c r="X30" s="25">
        <f>VLOOKUP(B30,'Data qoq'!$A:$AT,MATCH($X$1,'Data qoq'!$A$1:$AT$1,),)</f>
        <v/>
      </c>
      <c r="Y30" s="25">
        <f>VLOOKUP(B30,'Data qoq'!$A:$AT,MATCH($Y$1,'Data qoq'!$A$1:$AT$1,),)</f>
        <v/>
      </c>
      <c r="Z30" s="25">
        <f>VLOOKUP(B30,'Data qoq'!$A:$AU,MATCH($Z$1,'Data qoq'!$A$1:$AU$1,),)</f>
        <v/>
      </c>
      <c r="AA30" s="25">
        <f>VLOOKUP(B30,'Data qoq'!$A:$AU,MATCH($AA$1,'Data qoq'!$A$1:$AU$1,),)</f>
        <v/>
      </c>
      <c r="AC30" s="26">
        <f>B30</f>
        <v/>
      </c>
      <c r="AD30" s="27">
        <f>(VLOOKUP(AC30,B:Y,MATCH($AE$6,$B$1:$Y$1,),))-(VLOOKUP(AC30,B:Y,MATCH($AE$7,$B$1:$Y$1,),))</f>
        <v/>
      </c>
      <c r="AE30" s="27">
        <f>C30-G30</f>
        <v/>
      </c>
    </row>
    <row r="31" hidden="1" s="68">
      <c r="B31" s="24" t="inlineStr">
        <is>
          <t>2005-Q1</t>
        </is>
      </c>
      <c r="C31" s="25">
        <f>VLOOKUP(B31,'Data qoq'!$A:$AT,MATCH($C$1,'Data qoq'!$A$1:$AT$1,),)</f>
        <v/>
      </c>
      <c r="D31" s="25">
        <f>VLOOKUP(B31,'Data qoq'!$A:$AT,MATCH($D$1,'Data qoq'!$A$1:$AT$1,),)</f>
        <v/>
      </c>
      <c r="E31" s="25">
        <f>VLOOKUP(B31,'Data qoq'!$A:$AT,MATCH($E$1,'Data qoq'!$A$1:$AT$1,),)</f>
        <v/>
      </c>
      <c r="F31" s="25">
        <f>VLOOKUP(B31,'Data qoq'!$A:$AT,MATCH($F$1,'Data qoq'!$A$1:$AT$1,),)</f>
        <v/>
      </c>
      <c r="G31" s="25">
        <f>VLOOKUP(B31,'Data qoq'!$A:$AT,MATCH($G$1,'Data qoq'!$A$1:$AT$1,),)</f>
        <v/>
      </c>
      <c r="H31" s="25">
        <f>VLOOKUP(B31,'Data qoq'!$A:$AT,MATCH($H$1,'Data qoq'!$A$1:$AT$1,),)</f>
        <v/>
      </c>
      <c r="I31" s="25">
        <f>VLOOKUP(B31,'Data qoq'!$A:$AT,MATCH($I$1,'Data qoq'!$A$1:$AT$1,),)</f>
        <v/>
      </c>
      <c r="J31" s="25">
        <f>VLOOKUP(B31,'Data qoq'!$A:$AT,MATCH($J$1,'Data qoq'!$A$1:$AT$1,),)</f>
        <v/>
      </c>
      <c r="K31" s="25">
        <f>VLOOKUP(B31,'Data qoq'!$A:$AT,MATCH($K$1,'Data qoq'!$A$1:$AT$1,),)</f>
        <v/>
      </c>
      <c r="L31" s="25">
        <f>VLOOKUP(B31,'Data qoq'!$A:$AT,MATCH($L$1,'Data qoq'!$A$1:$AT$1,),)</f>
        <v/>
      </c>
      <c r="M31" s="25">
        <f>VLOOKUP(B31,'Data qoq'!$A:$AT,MATCH($M$1,'Data qoq'!$A$1:$AT$1,),)</f>
        <v/>
      </c>
      <c r="N31" s="25">
        <f>VLOOKUP(B31,'Data qoq'!$A:$AT,MATCH($N$1,'Data qoq'!$A$1:$AT$1,),)</f>
        <v/>
      </c>
      <c r="O31" s="25">
        <f>VLOOKUP(B31,'Data qoq'!$A:$AT,MATCH($C$1,'Data qoq'!$J$1:$AT$1,),)</f>
        <v/>
      </c>
      <c r="P31" s="25">
        <f>VLOOKUP(B31,'Data qoq'!$A:$AT,MATCH($P$1,'Data qoq'!$A$1:$AT$1,),)</f>
        <v/>
      </c>
      <c r="Q31" s="25">
        <f>VLOOKUP(B31,'Data qoq'!$A:$AT,MATCH($Q$1,'Data qoq'!$A$1:$AT$1,),)</f>
        <v/>
      </c>
      <c r="R31" s="25">
        <f>VLOOKUP(B31,'Data qoq'!$A:$AT,MATCH($E$1,'Data qoq'!$A$1:$AT$1,),)</f>
        <v/>
      </c>
      <c r="S31" s="25">
        <f>VLOOKUP(B31,'Data qoq'!$A:$AT,MATCH($S$1,'Data qoq'!$A$1:$AT$1,),)</f>
        <v/>
      </c>
      <c r="T31" s="25">
        <f>VLOOKUP(B31,'Data qoq'!$A:$AT,MATCH($T$1,'Data qoq'!$A$1:$AT$1,),)</f>
        <v/>
      </c>
      <c r="U31" s="25">
        <f>VLOOKUP(B31,'Data qoq'!$A:$AT,MATCH($U$1,'Data qoq'!$A$1:$AT$1,),)</f>
        <v/>
      </c>
      <c r="V31" s="25">
        <f>VLOOKUP(B31,'Data qoq'!$A:$AT,MATCH($V$1,'Data qoq'!$A$1:$AT$1,),)</f>
        <v/>
      </c>
      <c r="W31" s="25">
        <f>VLOOKUP(B31,'Data qoq'!$A:$AT,MATCH($W$1,'Data qoq'!$A$1:$AT$1,),)</f>
        <v/>
      </c>
      <c r="X31" s="25">
        <f>VLOOKUP(B31,'Data qoq'!$A:$AT,MATCH($X$1,'Data qoq'!$A$1:$AT$1,),)</f>
        <v/>
      </c>
      <c r="Y31" s="25">
        <f>VLOOKUP(B31,'Data qoq'!$A:$AT,MATCH($Y$1,'Data qoq'!$A$1:$AT$1,),)</f>
        <v/>
      </c>
      <c r="Z31" s="25">
        <f>VLOOKUP(B31,'Data qoq'!$A:$AU,MATCH($Z$1,'Data qoq'!$A$1:$AU$1,),)</f>
        <v/>
      </c>
      <c r="AA31" s="25">
        <f>VLOOKUP(B31,'Data qoq'!$A:$AU,MATCH($AA$1,'Data qoq'!$A$1:$AU$1,),)</f>
        <v/>
      </c>
      <c r="AC31" s="26">
        <f>B31</f>
        <v/>
      </c>
      <c r="AD31" s="27">
        <f>(VLOOKUP(AC31,B:Y,MATCH($AE$6,$B$1:$Y$1,),))-(VLOOKUP(AC31,B:Y,MATCH($AE$7,$B$1:$Y$1,),))</f>
        <v/>
      </c>
      <c r="AE31" s="27">
        <f>C31-G31</f>
        <v/>
      </c>
    </row>
    <row r="32" hidden="1" s="68">
      <c r="B32" s="24" t="inlineStr">
        <is>
          <t>2005-Q2</t>
        </is>
      </c>
      <c r="C32" s="25">
        <f>VLOOKUP(B32,'Data qoq'!$A:$AT,MATCH($C$1,'Data qoq'!$A$1:$AT$1,),)</f>
        <v/>
      </c>
      <c r="D32" s="25">
        <f>VLOOKUP(B32,'Data qoq'!$A:$AT,MATCH($D$1,'Data qoq'!$A$1:$AT$1,),)</f>
        <v/>
      </c>
      <c r="E32" s="25">
        <f>VLOOKUP(B32,'Data qoq'!$A:$AT,MATCH($E$1,'Data qoq'!$A$1:$AT$1,),)</f>
        <v/>
      </c>
      <c r="F32" s="25">
        <f>VLOOKUP(B32,'Data qoq'!$A:$AT,MATCH($F$1,'Data qoq'!$A$1:$AT$1,),)</f>
        <v/>
      </c>
      <c r="G32" s="25">
        <f>VLOOKUP(B32,'Data qoq'!$A:$AT,MATCH($G$1,'Data qoq'!$A$1:$AT$1,),)</f>
        <v/>
      </c>
      <c r="H32" s="25">
        <f>VLOOKUP(B32,'Data qoq'!$A:$AT,MATCH($H$1,'Data qoq'!$A$1:$AT$1,),)</f>
        <v/>
      </c>
      <c r="I32" s="25">
        <f>VLOOKUP(B32,'Data qoq'!$A:$AT,MATCH($I$1,'Data qoq'!$A$1:$AT$1,),)</f>
        <v/>
      </c>
      <c r="J32" s="25">
        <f>VLOOKUP(B32,'Data qoq'!$A:$AT,MATCH($J$1,'Data qoq'!$A$1:$AT$1,),)</f>
        <v/>
      </c>
      <c r="K32" s="25">
        <f>VLOOKUP(B32,'Data qoq'!$A:$AT,MATCH($K$1,'Data qoq'!$A$1:$AT$1,),)</f>
        <v/>
      </c>
      <c r="L32" s="25">
        <f>VLOOKUP(B32,'Data qoq'!$A:$AT,MATCH($L$1,'Data qoq'!$A$1:$AT$1,),)</f>
        <v/>
      </c>
      <c r="M32" s="25">
        <f>VLOOKUP(B32,'Data qoq'!$A:$AT,MATCH($M$1,'Data qoq'!$A$1:$AT$1,),)</f>
        <v/>
      </c>
      <c r="N32" s="25">
        <f>VLOOKUP(B32,'Data qoq'!$A:$AT,MATCH($N$1,'Data qoq'!$A$1:$AT$1,),)</f>
        <v/>
      </c>
      <c r="O32" s="25">
        <f>VLOOKUP(B32,'Data qoq'!$A:$AT,MATCH($C$1,'Data qoq'!$J$1:$AT$1,),)</f>
        <v/>
      </c>
      <c r="P32" s="25">
        <f>VLOOKUP(B32,'Data qoq'!$A:$AT,MATCH($P$1,'Data qoq'!$A$1:$AT$1,),)</f>
        <v/>
      </c>
      <c r="Q32" s="25">
        <f>VLOOKUP(B32,'Data qoq'!$A:$AT,MATCH($Q$1,'Data qoq'!$A$1:$AT$1,),)</f>
        <v/>
      </c>
      <c r="R32" s="25">
        <f>VLOOKUP(B32,'Data qoq'!$A:$AT,MATCH($E$1,'Data qoq'!$A$1:$AT$1,),)</f>
        <v/>
      </c>
      <c r="S32" s="25">
        <f>VLOOKUP(B32,'Data qoq'!$A:$AT,MATCH($S$1,'Data qoq'!$A$1:$AT$1,),)</f>
        <v/>
      </c>
      <c r="T32" s="25">
        <f>VLOOKUP(B32,'Data qoq'!$A:$AT,MATCH($T$1,'Data qoq'!$A$1:$AT$1,),)</f>
        <v/>
      </c>
      <c r="U32" s="25">
        <f>VLOOKUP(B32,'Data qoq'!$A:$AT,MATCH($U$1,'Data qoq'!$A$1:$AT$1,),)</f>
        <v/>
      </c>
      <c r="V32" s="25">
        <f>VLOOKUP(B32,'Data qoq'!$A:$AT,MATCH($V$1,'Data qoq'!$A$1:$AT$1,),)</f>
        <v/>
      </c>
      <c r="W32" s="25">
        <f>VLOOKUP(B32,'Data qoq'!$A:$AT,MATCH($W$1,'Data qoq'!$A$1:$AT$1,),)</f>
        <v/>
      </c>
      <c r="X32" s="25">
        <f>VLOOKUP(B32,'Data qoq'!$A:$AT,MATCH($X$1,'Data qoq'!$A$1:$AT$1,),)</f>
        <v/>
      </c>
      <c r="Y32" s="25">
        <f>VLOOKUP(B32,'Data qoq'!$A:$AT,MATCH($Y$1,'Data qoq'!$A$1:$AT$1,),)</f>
        <v/>
      </c>
      <c r="Z32" s="25">
        <f>VLOOKUP(B32,'Data qoq'!$A:$AU,MATCH($Z$1,'Data qoq'!$A$1:$AU$1,),)</f>
        <v/>
      </c>
      <c r="AA32" s="25">
        <f>VLOOKUP(B32,'Data qoq'!$A:$AU,MATCH($AA$1,'Data qoq'!$A$1:$AU$1,),)</f>
        <v/>
      </c>
      <c r="AC32" s="26">
        <f>B32</f>
        <v/>
      </c>
      <c r="AD32" s="27">
        <f>(VLOOKUP(AC32,B:Y,MATCH($AE$6,$B$1:$Y$1,),))-(VLOOKUP(AC32,B:Y,MATCH($AE$7,$B$1:$Y$1,),))</f>
        <v/>
      </c>
      <c r="AE32" s="27">
        <f>C32-G32</f>
        <v/>
      </c>
    </row>
    <row r="33" hidden="1" s="68">
      <c r="B33" s="24" t="inlineStr">
        <is>
          <t>2005-Q3</t>
        </is>
      </c>
      <c r="C33" s="25">
        <f>VLOOKUP(B33,'Data qoq'!$A:$AT,MATCH($C$1,'Data qoq'!$A$1:$AT$1,),)</f>
        <v/>
      </c>
      <c r="D33" s="25">
        <f>VLOOKUP(B33,'Data qoq'!$A:$AT,MATCH($D$1,'Data qoq'!$A$1:$AT$1,),)</f>
        <v/>
      </c>
      <c r="E33" s="25">
        <f>VLOOKUP(B33,'Data qoq'!$A:$AT,MATCH($E$1,'Data qoq'!$A$1:$AT$1,),)</f>
        <v/>
      </c>
      <c r="F33" s="25">
        <f>VLOOKUP(B33,'Data qoq'!$A:$AT,MATCH($F$1,'Data qoq'!$A$1:$AT$1,),)</f>
        <v/>
      </c>
      <c r="G33" s="25">
        <f>VLOOKUP(B33,'Data qoq'!$A:$AT,MATCH($G$1,'Data qoq'!$A$1:$AT$1,),)</f>
        <v/>
      </c>
      <c r="H33" s="25">
        <f>VLOOKUP(B33,'Data qoq'!$A:$AT,MATCH($H$1,'Data qoq'!$A$1:$AT$1,),)</f>
        <v/>
      </c>
      <c r="I33" s="25">
        <f>VLOOKUP(B33,'Data qoq'!$A:$AT,MATCH($I$1,'Data qoq'!$A$1:$AT$1,),)</f>
        <v/>
      </c>
      <c r="J33" s="25">
        <f>VLOOKUP(B33,'Data qoq'!$A:$AT,MATCH($J$1,'Data qoq'!$A$1:$AT$1,),)</f>
        <v/>
      </c>
      <c r="K33" s="25">
        <f>VLOOKUP(B33,'Data qoq'!$A:$AT,MATCH($K$1,'Data qoq'!$A$1:$AT$1,),)</f>
        <v/>
      </c>
      <c r="L33" s="25">
        <f>VLOOKUP(B33,'Data qoq'!$A:$AT,MATCH($L$1,'Data qoq'!$A$1:$AT$1,),)</f>
        <v/>
      </c>
      <c r="M33" s="25">
        <f>VLOOKUP(B33,'Data qoq'!$A:$AT,MATCH($M$1,'Data qoq'!$A$1:$AT$1,),)</f>
        <v/>
      </c>
      <c r="N33" s="25">
        <f>VLOOKUP(B33,'Data qoq'!$A:$AT,MATCH($N$1,'Data qoq'!$A$1:$AT$1,),)</f>
        <v/>
      </c>
      <c r="O33" s="25">
        <f>VLOOKUP(B33,'Data qoq'!$A:$AT,MATCH($C$1,'Data qoq'!$J$1:$AT$1,),)</f>
        <v/>
      </c>
      <c r="P33" s="25">
        <f>VLOOKUP(B33,'Data qoq'!$A:$AT,MATCH($P$1,'Data qoq'!$A$1:$AT$1,),)</f>
        <v/>
      </c>
      <c r="Q33" s="25">
        <f>VLOOKUP(B33,'Data qoq'!$A:$AT,MATCH($Q$1,'Data qoq'!$A$1:$AT$1,),)</f>
        <v/>
      </c>
      <c r="R33" s="25">
        <f>VLOOKUP(B33,'Data qoq'!$A:$AT,MATCH($E$1,'Data qoq'!$A$1:$AT$1,),)</f>
        <v/>
      </c>
      <c r="S33" s="25">
        <f>VLOOKUP(B33,'Data qoq'!$A:$AT,MATCH($S$1,'Data qoq'!$A$1:$AT$1,),)</f>
        <v/>
      </c>
      <c r="T33" s="25">
        <f>VLOOKUP(B33,'Data qoq'!$A:$AT,MATCH($T$1,'Data qoq'!$A$1:$AT$1,),)</f>
        <v/>
      </c>
      <c r="U33" s="25">
        <f>VLOOKUP(B33,'Data qoq'!$A:$AT,MATCH($U$1,'Data qoq'!$A$1:$AT$1,),)</f>
        <v/>
      </c>
      <c r="V33" s="25">
        <f>VLOOKUP(B33,'Data qoq'!$A:$AT,MATCH($V$1,'Data qoq'!$A$1:$AT$1,),)</f>
        <v/>
      </c>
      <c r="W33" s="25">
        <f>VLOOKUP(B33,'Data qoq'!$A:$AT,MATCH($W$1,'Data qoq'!$A$1:$AT$1,),)</f>
        <v/>
      </c>
      <c r="X33" s="25">
        <f>VLOOKUP(B33,'Data qoq'!$A:$AT,MATCH($X$1,'Data qoq'!$A$1:$AT$1,),)</f>
        <v/>
      </c>
      <c r="Y33" s="25">
        <f>VLOOKUP(B33,'Data qoq'!$A:$AT,MATCH($Y$1,'Data qoq'!$A$1:$AT$1,),)</f>
        <v/>
      </c>
      <c r="Z33" s="25">
        <f>VLOOKUP(B33,'Data qoq'!$A:$AU,MATCH($Z$1,'Data qoq'!$A$1:$AU$1,),)</f>
        <v/>
      </c>
      <c r="AA33" s="25">
        <f>VLOOKUP(B33,'Data qoq'!$A:$AU,MATCH($AA$1,'Data qoq'!$A$1:$AU$1,),)</f>
        <v/>
      </c>
      <c r="AC33" s="26">
        <f>B33</f>
        <v/>
      </c>
      <c r="AD33" s="27">
        <f>(VLOOKUP(AC33,B:Y,MATCH($AE$6,$B$1:$Y$1,),))-(VLOOKUP(AC33,B:Y,MATCH($AE$7,$B$1:$Y$1,),))</f>
        <v/>
      </c>
      <c r="AE33" s="27">
        <f>C33-G33</f>
        <v/>
      </c>
    </row>
    <row r="34" hidden="1" s="68">
      <c r="B34" s="24" t="inlineStr">
        <is>
          <t>2005-Q4</t>
        </is>
      </c>
      <c r="C34" s="25">
        <f>VLOOKUP(B34,'Data qoq'!$A:$AT,MATCH($C$1,'Data qoq'!$A$1:$AT$1,),)</f>
        <v/>
      </c>
      <c r="D34" s="25">
        <f>VLOOKUP(B34,'Data qoq'!$A:$AT,MATCH($D$1,'Data qoq'!$A$1:$AT$1,),)</f>
        <v/>
      </c>
      <c r="E34" s="25">
        <f>VLOOKUP(B34,'Data qoq'!$A:$AT,MATCH($E$1,'Data qoq'!$A$1:$AT$1,),)</f>
        <v/>
      </c>
      <c r="F34" s="25">
        <f>VLOOKUP(B34,'Data qoq'!$A:$AT,MATCH($F$1,'Data qoq'!$A$1:$AT$1,),)</f>
        <v/>
      </c>
      <c r="G34" s="25">
        <f>VLOOKUP(B34,'Data qoq'!$A:$AT,MATCH($G$1,'Data qoq'!$A$1:$AT$1,),)</f>
        <v/>
      </c>
      <c r="H34" s="25">
        <f>VLOOKUP(B34,'Data qoq'!$A:$AT,MATCH($H$1,'Data qoq'!$A$1:$AT$1,),)</f>
        <v/>
      </c>
      <c r="I34" s="25">
        <f>VLOOKUP(B34,'Data qoq'!$A:$AT,MATCH($I$1,'Data qoq'!$A$1:$AT$1,),)</f>
        <v/>
      </c>
      <c r="J34" s="25">
        <f>VLOOKUP(B34,'Data qoq'!$A:$AT,MATCH($J$1,'Data qoq'!$A$1:$AT$1,),)</f>
        <v/>
      </c>
      <c r="K34" s="25">
        <f>VLOOKUP(B34,'Data qoq'!$A:$AT,MATCH($K$1,'Data qoq'!$A$1:$AT$1,),)</f>
        <v/>
      </c>
      <c r="L34" s="25">
        <f>VLOOKUP(B34,'Data qoq'!$A:$AT,MATCH($L$1,'Data qoq'!$A$1:$AT$1,),)</f>
        <v/>
      </c>
      <c r="M34" s="25">
        <f>VLOOKUP(B34,'Data qoq'!$A:$AT,MATCH($M$1,'Data qoq'!$A$1:$AT$1,),)</f>
        <v/>
      </c>
      <c r="N34" s="25">
        <f>VLOOKUP(B34,'Data qoq'!$A:$AT,MATCH($N$1,'Data qoq'!$A$1:$AT$1,),)</f>
        <v/>
      </c>
      <c r="O34" s="25">
        <f>VLOOKUP(B34,'Data qoq'!$A:$AT,MATCH($C$1,'Data qoq'!$J$1:$AT$1,),)</f>
        <v/>
      </c>
      <c r="P34" s="25">
        <f>VLOOKUP(B34,'Data qoq'!$A:$AT,MATCH($P$1,'Data qoq'!$A$1:$AT$1,),)</f>
        <v/>
      </c>
      <c r="Q34" s="25">
        <f>VLOOKUP(B34,'Data qoq'!$A:$AT,MATCH($Q$1,'Data qoq'!$A$1:$AT$1,),)</f>
        <v/>
      </c>
      <c r="R34" s="25">
        <f>VLOOKUP(B34,'Data qoq'!$A:$AT,MATCH($E$1,'Data qoq'!$A$1:$AT$1,),)</f>
        <v/>
      </c>
      <c r="S34" s="25">
        <f>VLOOKUP(B34,'Data qoq'!$A:$AT,MATCH($S$1,'Data qoq'!$A$1:$AT$1,),)</f>
        <v/>
      </c>
      <c r="T34" s="25">
        <f>VLOOKUP(B34,'Data qoq'!$A:$AT,MATCH($T$1,'Data qoq'!$A$1:$AT$1,),)</f>
        <v/>
      </c>
      <c r="U34" s="25">
        <f>VLOOKUP(B34,'Data qoq'!$A:$AT,MATCH($U$1,'Data qoq'!$A$1:$AT$1,),)</f>
        <v/>
      </c>
      <c r="V34" s="25">
        <f>VLOOKUP(B34,'Data qoq'!$A:$AT,MATCH($V$1,'Data qoq'!$A$1:$AT$1,),)</f>
        <v/>
      </c>
      <c r="W34" s="25">
        <f>VLOOKUP(B34,'Data qoq'!$A:$AT,MATCH($W$1,'Data qoq'!$A$1:$AT$1,),)</f>
        <v/>
      </c>
      <c r="X34" s="25">
        <f>VLOOKUP(B34,'Data qoq'!$A:$AT,MATCH($X$1,'Data qoq'!$A$1:$AT$1,),)</f>
        <v/>
      </c>
      <c r="Y34" s="25">
        <f>VLOOKUP(B34,'Data qoq'!$A:$AT,MATCH($Y$1,'Data qoq'!$A$1:$AT$1,),)</f>
        <v/>
      </c>
      <c r="Z34" s="25">
        <f>VLOOKUP(B34,'Data qoq'!$A:$AU,MATCH($Z$1,'Data qoq'!$A$1:$AU$1,),)</f>
        <v/>
      </c>
      <c r="AA34" s="25">
        <f>VLOOKUP(B34,'Data qoq'!$A:$AU,MATCH($AA$1,'Data qoq'!$A$1:$AU$1,),)</f>
        <v/>
      </c>
      <c r="AC34" s="26">
        <f>B34</f>
        <v/>
      </c>
      <c r="AD34" s="27">
        <f>(VLOOKUP(AC34,B:Y,MATCH($AE$6,$B$1:$Y$1,),))-(VLOOKUP(AC34,B:Y,MATCH($AE$7,$B$1:$Y$1,),))</f>
        <v/>
      </c>
      <c r="AE34" s="27">
        <f>C34-G34</f>
        <v/>
      </c>
    </row>
    <row r="35" hidden="1" s="68">
      <c r="B35" s="24" t="inlineStr">
        <is>
          <t>2006-Q1</t>
        </is>
      </c>
      <c r="C35" s="25">
        <f>VLOOKUP(B35,'Data qoq'!$A:$AT,MATCH($C$1,'Data qoq'!$A$1:$AT$1,),)</f>
        <v/>
      </c>
      <c r="D35" s="25">
        <f>VLOOKUP(B35,'Data qoq'!$A:$AT,MATCH($D$1,'Data qoq'!$A$1:$AT$1,),)</f>
        <v/>
      </c>
      <c r="E35" s="25">
        <f>VLOOKUP(B35,'Data qoq'!$A:$AT,MATCH($E$1,'Data qoq'!$A$1:$AT$1,),)</f>
        <v/>
      </c>
      <c r="F35" s="25">
        <f>VLOOKUP(B35,'Data qoq'!$A:$AT,MATCH($F$1,'Data qoq'!$A$1:$AT$1,),)</f>
        <v/>
      </c>
      <c r="G35" s="25">
        <f>VLOOKUP(B35,'Data qoq'!$A:$AT,MATCH($G$1,'Data qoq'!$A$1:$AT$1,),)</f>
        <v/>
      </c>
      <c r="H35" s="25">
        <f>VLOOKUP(B35,'Data qoq'!$A:$AT,MATCH($H$1,'Data qoq'!$A$1:$AT$1,),)</f>
        <v/>
      </c>
      <c r="I35" s="25">
        <f>VLOOKUP(B35,'Data qoq'!$A:$AT,MATCH($I$1,'Data qoq'!$A$1:$AT$1,),)</f>
        <v/>
      </c>
      <c r="J35" s="25">
        <f>VLOOKUP(B35,'Data qoq'!$A:$AT,MATCH($J$1,'Data qoq'!$A$1:$AT$1,),)</f>
        <v/>
      </c>
      <c r="K35" s="25">
        <f>VLOOKUP(B35,'Data qoq'!$A:$AT,MATCH($K$1,'Data qoq'!$A$1:$AT$1,),)</f>
        <v/>
      </c>
      <c r="L35" s="25">
        <f>VLOOKUP(B35,'Data qoq'!$A:$AT,MATCH($L$1,'Data qoq'!$A$1:$AT$1,),)</f>
        <v/>
      </c>
      <c r="M35" s="25">
        <f>VLOOKUP(B35,'Data qoq'!$A:$AT,MATCH($M$1,'Data qoq'!$A$1:$AT$1,),)</f>
        <v/>
      </c>
      <c r="N35" s="25">
        <f>VLOOKUP(B35,'Data qoq'!$A:$AT,MATCH($N$1,'Data qoq'!$A$1:$AT$1,),)</f>
        <v/>
      </c>
      <c r="O35" s="25">
        <f>VLOOKUP(B35,'Data qoq'!$A:$AT,MATCH($C$1,'Data qoq'!$J$1:$AT$1,),)</f>
        <v/>
      </c>
      <c r="P35" s="25">
        <f>VLOOKUP(B35,'Data qoq'!$A:$AT,MATCH($P$1,'Data qoq'!$A$1:$AT$1,),)</f>
        <v/>
      </c>
      <c r="Q35" s="25">
        <f>VLOOKUP(B35,'Data qoq'!$A:$AT,MATCH($Q$1,'Data qoq'!$A$1:$AT$1,),)</f>
        <v/>
      </c>
      <c r="R35" s="25">
        <f>VLOOKUP(B35,'Data qoq'!$A:$AT,MATCH($E$1,'Data qoq'!$A$1:$AT$1,),)</f>
        <v/>
      </c>
      <c r="S35" s="25">
        <f>VLOOKUP(B35,'Data qoq'!$A:$AT,MATCH($S$1,'Data qoq'!$A$1:$AT$1,),)</f>
        <v/>
      </c>
      <c r="T35" s="25">
        <f>VLOOKUP(B35,'Data qoq'!$A:$AT,MATCH($T$1,'Data qoq'!$A$1:$AT$1,),)</f>
        <v/>
      </c>
      <c r="U35" s="25">
        <f>VLOOKUP(B35,'Data qoq'!$A:$AT,MATCH($U$1,'Data qoq'!$A$1:$AT$1,),)</f>
        <v/>
      </c>
      <c r="V35" s="25">
        <f>VLOOKUP(B35,'Data qoq'!$A:$AT,MATCH($V$1,'Data qoq'!$A$1:$AT$1,),)</f>
        <v/>
      </c>
      <c r="W35" s="25">
        <f>VLOOKUP(B35,'Data qoq'!$A:$AT,MATCH($W$1,'Data qoq'!$A$1:$AT$1,),)</f>
        <v/>
      </c>
      <c r="X35" s="25">
        <f>VLOOKUP(B35,'Data qoq'!$A:$AT,MATCH($X$1,'Data qoq'!$A$1:$AT$1,),)</f>
        <v/>
      </c>
      <c r="Y35" s="25">
        <f>VLOOKUP(B35,'Data qoq'!$A:$AT,MATCH($Y$1,'Data qoq'!$A$1:$AT$1,),)</f>
        <v/>
      </c>
      <c r="Z35" s="25">
        <f>VLOOKUP(B35,'Data qoq'!$A:$AU,MATCH($Z$1,'Data qoq'!$A$1:$AU$1,),)</f>
        <v/>
      </c>
      <c r="AA35" s="25">
        <f>VLOOKUP(B35,'Data qoq'!$A:$AU,MATCH($AA$1,'Data qoq'!$A$1:$AU$1,),)</f>
        <v/>
      </c>
      <c r="AC35" s="26">
        <f>B35</f>
        <v/>
      </c>
      <c r="AD35" s="27">
        <f>(VLOOKUP(AC35,B:Y,MATCH($AE$6,$B$1:$Y$1,),))-(VLOOKUP(AC35,B:Y,MATCH($AE$7,$B$1:$Y$1,),))</f>
        <v/>
      </c>
      <c r="AE35" s="27">
        <f>C35-G35</f>
        <v/>
      </c>
    </row>
    <row r="36" hidden="1" s="68">
      <c r="B36" s="24" t="inlineStr">
        <is>
          <t>2006-Q2</t>
        </is>
      </c>
      <c r="C36" s="25">
        <f>VLOOKUP(B36,'Data qoq'!$A:$AT,MATCH($C$1,'Data qoq'!$A$1:$AT$1,),)</f>
        <v/>
      </c>
      <c r="D36" s="25">
        <f>VLOOKUP(B36,'Data qoq'!$A:$AT,MATCH($D$1,'Data qoq'!$A$1:$AT$1,),)</f>
        <v/>
      </c>
      <c r="E36" s="25">
        <f>VLOOKUP(B36,'Data qoq'!$A:$AT,MATCH($E$1,'Data qoq'!$A$1:$AT$1,),)</f>
        <v/>
      </c>
      <c r="F36" s="25">
        <f>VLOOKUP(B36,'Data qoq'!$A:$AT,MATCH($F$1,'Data qoq'!$A$1:$AT$1,),)</f>
        <v/>
      </c>
      <c r="G36" s="25">
        <f>VLOOKUP(B36,'Data qoq'!$A:$AT,MATCH($G$1,'Data qoq'!$A$1:$AT$1,),)</f>
        <v/>
      </c>
      <c r="H36" s="25">
        <f>VLOOKUP(B36,'Data qoq'!$A:$AT,MATCH($H$1,'Data qoq'!$A$1:$AT$1,),)</f>
        <v/>
      </c>
      <c r="I36" s="25">
        <f>VLOOKUP(B36,'Data qoq'!$A:$AT,MATCH($I$1,'Data qoq'!$A$1:$AT$1,),)</f>
        <v/>
      </c>
      <c r="J36" s="25">
        <f>VLOOKUP(B36,'Data qoq'!$A:$AT,MATCH($J$1,'Data qoq'!$A$1:$AT$1,),)</f>
        <v/>
      </c>
      <c r="K36" s="25">
        <f>VLOOKUP(B36,'Data qoq'!$A:$AT,MATCH($K$1,'Data qoq'!$A$1:$AT$1,),)</f>
        <v/>
      </c>
      <c r="L36" s="25">
        <f>VLOOKUP(B36,'Data qoq'!$A:$AT,MATCH($L$1,'Data qoq'!$A$1:$AT$1,),)</f>
        <v/>
      </c>
      <c r="M36" s="25">
        <f>VLOOKUP(B36,'Data qoq'!$A:$AT,MATCH($M$1,'Data qoq'!$A$1:$AT$1,),)</f>
        <v/>
      </c>
      <c r="N36" s="25">
        <f>VLOOKUP(B36,'Data qoq'!$A:$AT,MATCH($N$1,'Data qoq'!$A$1:$AT$1,),)</f>
        <v/>
      </c>
      <c r="O36" s="25">
        <f>VLOOKUP(B36,'Data qoq'!$A:$AT,MATCH($C$1,'Data qoq'!$J$1:$AT$1,),)</f>
        <v/>
      </c>
      <c r="P36" s="25">
        <f>VLOOKUP(B36,'Data qoq'!$A:$AT,MATCH($P$1,'Data qoq'!$A$1:$AT$1,),)</f>
        <v/>
      </c>
      <c r="Q36" s="25">
        <f>VLOOKUP(B36,'Data qoq'!$A:$AT,MATCH($Q$1,'Data qoq'!$A$1:$AT$1,),)</f>
        <v/>
      </c>
      <c r="R36" s="25">
        <f>VLOOKUP(B36,'Data qoq'!$A:$AT,MATCH($E$1,'Data qoq'!$A$1:$AT$1,),)</f>
        <v/>
      </c>
      <c r="S36" s="25">
        <f>VLOOKUP(B36,'Data qoq'!$A:$AT,MATCH($S$1,'Data qoq'!$A$1:$AT$1,),)</f>
        <v/>
      </c>
      <c r="T36" s="25">
        <f>VLOOKUP(B36,'Data qoq'!$A:$AT,MATCH($T$1,'Data qoq'!$A$1:$AT$1,),)</f>
        <v/>
      </c>
      <c r="U36" s="25">
        <f>VLOOKUP(B36,'Data qoq'!$A:$AT,MATCH($U$1,'Data qoq'!$A$1:$AT$1,),)</f>
        <v/>
      </c>
      <c r="V36" s="25">
        <f>VLOOKUP(B36,'Data qoq'!$A:$AT,MATCH($V$1,'Data qoq'!$A$1:$AT$1,),)</f>
        <v/>
      </c>
      <c r="W36" s="25">
        <f>VLOOKUP(B36,'Data qoq'!$A:$AT,MATCH($W$1,'Data qoq'!$A$1:$AT$1,),)</f>
        <v/>
      </c>
      <c r="X36" s="25">
        <f>VLOOKUP(B36,'Data qoq'!$A:$AT,MATCH($X$1,'Data qoq'!$A$1:$AT$1,),)</f>
        <v/>
      </c>
      <c r="Y36" s="25">
        <f>VLOOKUP(B36,'Data qoq'!$A:$AT,MATCH($Y$1,'Data qoq'!$A$1:$AT$1,),)</f>
        <v/>
      </c>
      <c r="Z36" s="25">
        <f>VLOOKUP(B36,'Data qoq'!$A:$AU,MATCH($Z$1,'Data qoq'!$A$1:$AU$1,),)</f>
        <v/>
      </c>
      <c r="AA36" s="25">
        <f>VLOOKUP(B36,'Data qoq'!$A:$AU,MATCH($AA$1,'Data qoq'!$A$1:$AU$1,),)</f>
        <v/>
      </c>
      <c r="AC36" s="26">
        <f>B36</f>
        <v/>
      </c>
      <c r="AD36" s="27">
        <f>(VLOOKUP(AC36,B:Y,MATCH($AE$6,$B$1:$Y$1,),))-(VLOOKUP(AC36,B:Y,MATCH($AE$7,$B$1:$Y$1,),))</f>
        <v/>
      </c>
      <c r="AE36" s="27">
        <f>C36-G36</f>
        <v/>
      </c>
    </row>
    <row r="37" hidden="1" s="68">
      <c r="B37" s="24" t="inlineStr">
        <is>
          <t>2006-Q3</t>
        </is>
      </c>
      <c r="C37" s="25">
        <f>VLOOKUP(B37,'Data qoq'!$A:$AT,MATCH($C$1,'Data qoq'!$A$1:$AT$1,),)</f>
        <v/>
      </c>
      <c r="D37" s="25">
        <f>VLOOKUP(B37,'Data qoq'!$A:$AT,MATCH($D$1,'Data qoq'!$A$1:$AT$1,),)</f>
        <v/>
      </c>
      <c r="E37" s="25">
        <f>VLOOKUP(B37,'Data qoq'!$A:$AT,MATCH($E$1,'Data qoq'!$A$1:$AT$1,),)</f>
        <v/>
      </c>
      <c r="F37" s="25">
        <f>VLOOKUP(B37,'Data qoq'!$A:$AT,MATCH($F$1,'Data qoq'!$A$1:$AT$1,),)</f>
        <v/>
      </c>
      <c r="G37" s="25">
        <f>VLOOKUP(B37,'Data qoq'!$A:$AT,MATCH($G$1,'Data qoq'!$A$1:$AT$1,),)</f>
        <v/>
      </c>
      <c r="H37" s="25">
        <f>VLOOKUP(B37,'Data qoq'!$A:$AT,MATCH($H$1,'Data qoq'!$A$1:$AT$1,),)</f>
        <v/>
      </c>
      <c r="I37" s="25">
        <f>VLOOKUP(B37,'Data qoq'!$A:$AT,MATCH($I$1,'Data qoq'!$A$1:$AT$1,),)</f>
        <v/>
      </c>
      <c r="J37" s="25">
        <f>VLOOKUP(B37,'Data qoq'!$A:$AT,MATCH($J$1,'Data qoq'!$A$1:$AT$1,),)</f>
        <v/>
      </c>
      <c r="K37" s="25">
        <f>VLOOKUP(B37,'Data qoq'!$A:$AT,MATCH($K$1,'Data qoq'!$A$1:$AT$1,),)</f>
        <v/>
      </c>
      <c r="L37" s="25">
        <f>VLOOKUP(B37,'Data qoq'!$A:$AT,MATCH($L$1,'Data qoq'!$A$1:$AT$1,),)</f>
        <v/>
      </c>
      <c r="M37" s="25">
        <f>VLOOKUP(B37,'Data qoq'!$A:$AT,MATCH($M$1,'Data qoq'!$A$1:$AT$1,),)</f>
        <v/>
      </c>
      <c r="N37" s="25">
        <f>VLOOKUP(B37,'Data qoq'!$A:$AT,MATCH($N$1,'Data qoq'!$A$1:$AT$1,),)</f>
        <v/>
      </c>
      <c r="O37" s="25">
        <f>VLOOKUP(B37,'Data qoq'!$A:$AT,MATCH($C$1,'Data qoq'!$J$1:$AT$1,),)</f>
        <v/>
      </c>
      <c r="P37" s="25">
        <f>VLOOKUP(B37,'Data qoq'!$A:$AT,MATCH($P$1,'Data qoq'!$A$1:$AT$1,),)</f>
        <v/>
      </c>
      <c r="Q37" s="25">
        <f>VLOOKUP(B37,'Data qoq'!$A:$AT,MATCH($Q$1,'Data qoq'!$A$1:$AT$1,),)</f>
        <v/>
      </c>
      <c r="R37" s="25">
        <f>VLOOKUP(B37,'Data qoq'!$A:$AT,MATCH($E$1,'Data qoq'!$A$1:$AT$1,),)</f>
        <v/>
      </c>
      <c r="S37" s="25">
        <f>VLOOKUP(B37,'Data qoq'!$A:$AT,MATCH($S$1,'Data qoq'!$A$1:$AT$1,),)</f>
        <v/>
      </c>
      <c r="T37" s="25">
        <f>VLOOKUP(B37,'Data qoq'!$A:$AT,MATCH($T$1,'Data qoq'!$A$1:$AT$1,),)</f>
        <v/>
      </c>
      <c r="U37" s="25">
        <f>VLOOKUP(B37,'Data qoq'!$A:$AT,MATCH($U$1,'Data qoq'!$A$1:$AT$1,),)</f>
        <v/>
      </c>
      <c r="V37" s="25">
        <f>VLOOKUP(B37,'Data qoq'!$A:$AT,MATCH($V$1,'Data qoq'!$A$1:$AT$1,),)</f>
        <v/>
      </c>
      <c r="W37" s="25">
        <f>VLOOKUP(B37,'Data qoq'!$A:$AT,MATCH($W$1,'Data qoq'!$A$1:$AT$1,),)</f>
        <v/>
      </c>
      <c r="X37" s="25">
        <f>VLOOKUP(B37,'Data qoq'!$A:$AT,MATCH($X$1,'Data qoq'!$A$1:$AT$1,),)</f>
        <v/>
      </c>
      <c r="Y37" s="25">
        <f>VLOOKUP(B37,'Data qoq'!$A:$AT,MATCH($Y$1,'Data qoq'!$A$1:$AT$1,),)</f>
        <v/>
      </c>
      <c r="Z37" s="25">
        <f>VLOOKUP(B37,'Data qoq'!$A:$AU,MATCH($Z$1,'Data qoq'!$A$1:$AU$1,),)</f>
        <v/>
      </c>
      <c r="AA37" s="25">
        <f>VLOOKUP(B37,'Data qoq'!$A:$AU,MATCH($AA$1,'Data qoq'!$A$1:$AU$1,),)</f>
        <v/>
      </c>
      <c r="AC37" s="26">
        <f>B37</f>
        <v/>
      </c>
      <c r="AD37" s="27">
        <f>(VLOOKUP(AC37,B:Y,MATCH($AE$6,$B$1:$Y$1,),))-(VLOOKUP(AC37,B:Y,MATCH($AE$7,$B$1:$Y$1,),))</f>
        <v/>
      </c>
      <c r="AE37" s="27">
        <f>C37-G37</f>
        <v/>
      </c>
    </row>
    <row r="38" hidden="1" s="68">
      <c r="B38" s="24" t="inlineStr">
        <is>
          <t>2006-Q4</t>
        </is>
      </c>
      <c r="C38" s="25">
        <f>VLOOKUP(B38,'Data qoq'!$A:$AT,MATCH($C$1,'Data qoq'!$A$1:$AT$1,),)</f>
        <v/>
      </c>
      <c r="D38" s="25">
        <f>VLOOKUP(B38,'Data qoq'!$A:$AT,MATCH($D$1,'Data qoq'!$A$1:$AT$1,),)</f>
        <v/>
      </c>
      <c r="E38" s="25">
        <f>VLOOKUP(B38,'Data qoq'!$A:$AT,MATCH($E$1,'Data qoq'!$A$1:$AT$1,),)</f>
        <v/>
      </c>
      <c r="F38" s="25">
        <f>VLOOKUP(B38,'Data qoq'!$A:$AT,MATCH($F$1,'Data qoq'!$A$1:$AT$1,),)</f>
        <v/>
      </c>
      <c r="G38" s="25">
        <f>VLOOKUP(B38,'Data qoq'!$A:$AT,MATCH($G$1,'Data qoq'!$A$1:$AT$1,),)</f>
        <v/>
      </c>
      <c r="H38" s="25">
        <f>VLOOKUP(B38,'Data qoq'!$A:$AT,MATCH($H$1,'Data qoq'!$A$1:$AT$1,),)</f>
        <v/>
      </c>
      <c r="I38" s="25">
        <f>VLOOKUP(B38,'Data qoq'!$A:$AT,MATCH($I$1,'Data qoq'!$A$1:$AT$1,),)</f>
        <v/>
      </c>
      <c r="J38" s="25">
        <f>VLOOKUP(B38,'Data qoq'!$A:$AT,MATCH($J$1,'Data qoq'!$A$1:$AT$1,),)</f>
        <v/>
      </c>
      <c r="K38" s="25">
        <f>VLOOKUP(B38,'Data qoq'!$A:$AT,MATCH($K$1,'Data qoq'!$A$1:$AT$1,),)</f>
        <v/>
      </c>
      <c r="L38" s="25">
        <f>VLOOKUP(B38,'Data qoq'!$A:$AT,MATCH($L$1,'Data qoq'!$A$1:$AT$1,),)</f>
        <v/>
      </c>
      <c r="M38" s="25">
        <f>VLOOKUP(B38,'Data qoq'!$A:$AT,MATCH($M$1,'Data qoq'!$A$1:$AT$1,),)</f>
        <v/>
      </c>
      <c r="N38" s="25">
        <f>VLOOKUP(B38,'Data qoq'!$A:$AT,MATCH($N$1,'Data qoq'!$A$1:$AT$1,),)</f>
        <v/>
      </c>
      <c r="O38" s="25">
        <f>VLOOKUP(B38,'Data qoq'!$A:$AT,MATCH($C$1,'Data qoq'!$J$1:$AT$1,),)</f>
        <v/>
      </c>
      <c r="P38" s="25">
        <f>VLOOKUP(B38,'Data qoq'!$A:$AT,MATCH($P$1,'Data qoq'!$A$1:$AT$1,),)</f>
        <v/>
      </c>
      <c r="Q38" s="25">
        <f>VLOOKUP(B38,'Data qoq'!$A:$AT,MATCH($Q$1,'Data qoq'!$A$1:$AT$1,),)</f>
        <v/>
      </c>
      <c r="R38" s="25">
        <f>VLOOKUP(B38,'Data qoq'!$A:$AT,MATCH($E$1,'Data qoq'!$A$1:$AT$1,),)</f>
        <v/>
      </c>
      <c r="S38" s="25">
        <f>VLOOKUP(B38,'Data qoq'!$A:$AT,MATCH($S$1,'Data qoq'!$A$1:$AT$1,),)</f>
        <v/>
      </c>
      <c r="T38" s="25">
        <f>VLOOKUP(B38,'Data qoq'!$A:$AT,MATCH($T$1,'Data qoq'!$A$1:$AT$1,),)</f>
        <v/>
      </c>
      <c r="U38" s="25">
        <f>VLOOKUP(B38,'Data qoq'!$A:$AT,MATCH($U$1,'Data qoq'!$A$1:$AT$1,),)</f>
        <v/>
      </c>
      <c r="V38" s="25">
        <f>VLOOKUP(B38,'Data qoq'!$A:$AT,MATCH($V$1,'Data qoq'!$A$1:$AT$1,),)</f>
        <v/>
      </c>
      <c r="W38" s="25">
        <f>VLOOKUP(B38,'Data qoq'!$A:$AT,MATCH($W$1,'Data qoq'!$A$1:$AT$1,),)</f>
        <v/>
      </c>
      <c r="X38" s="25">
        <f>VLOOKUP(B38,'Data qoq'!$A:$AT,MATCH($X$1,'Data qoq'!$A$1:$AT$1,),)</f>
        <v/>
      </c>
      <c r="Y38" s="25">
        <f>VLOOKUP(B38,'Data qoq'!$A:$AT,MATCH($Y$1,'Data qoq'!$A$1:$AT$1,),)</f>
        <v/>
      </c>
      <c r="Z38" s="25">
        <f>VLOOKUP(B38,'Data qoq'!$A:$AU,MATCH($Z$1,'Data qoq'!$A$1:$AU$1,),)</f>
        <v/>
      </c>
      <c r="AA38" s="25">
        <f>VLOOKUP(B38,'Data qoq'!$A:$AU,MATCH($AA$1,'Data qoq'!$A$1:$AU$1,),)</f>
        <v/>
      </c>
      <c r="AC38" s="26">
        <f>B38</f>
        <v/>
      </c>
      <c r="AD38" s="27">
        <f>(VLOOKUP(AC38,B:Y,MATCH($AE$6,$B$1:$Y$1,),))-(VLOOKUP(AC38,B:Y,MATCH($AE$7,$B$1:$Y$1,),))</f>
        <v/>
      </c>
      <c r="AE38" s="27">
        <f>C38-G38</f>
        <v/>
      </c>
    </row>
    <row r="39" hidden="1" s="68">
      <c r="B39" s="24" t="inlineStr">
        <is>
          <t>2007-Q1</t>
        </is>
      </c>
      <c r="C39" s="25">
        <f>VLOOKUP(B39,'Data qoq'!$A:$AT,MATCH($C$1,'Data qoq'!$A$1:$AT$1,),)</f>
        <v/>
      </c>
      <c r="D39" s="25">
        <f>VLOOKUP(B39,'Data qoq'!$A:$AT,MATCH($D$1,'Data qoq'!$A$1:$AT$1,),)</f>
        <v/>
      </c>
      <c r="E39" s="25">
        <f>VLOOKUP(B39,'Data qoq'!$A:$AT,MATCH($E$1,'Data qoq'!$A$1:$AT$1,),)</f>
        <v/>
      </c>
      <c r="F39" s="25">
        <f>VLOOKUP(B39,'Data qoq'!$A:$AT,MATCH($F$1,'Data qoq'!$A$1:$AT$1,),)</f>
        <v/>
      </c>
      <c r="G39" s="25">
        <f>VLOOKUP(B39,'Data qoq'!$A:$AT,MATCH($G$1,'Data qoq'!$A$1:$AT$1,),)</f>
        <v/>
      </c>
      <c r="H39" s="25">
        <f>VLOOKUP(B39,'Data qoq'!$A:$AT,MATCH($H$1,'Data qoq'!$A$1:$AT$1,),)</f>
        <v/>
      </c>
      <c r="I39" s="25">
        <f>VLOOKUP(B39,'Data qoq'!$A:$AT,MATCH($I$1,'Data qoq'!$A$1:$AT$1,),)</f>
        <v/>
      </c>
      <c r="J39" s="25">
        <f>VLOOKUP(B39,'Data qoq'!$A:$AT,MATCH($J$1,'Data qoq'!$A$1:$AT$1,),)</f>
        <v/>
      </c>
      <c r="K39" s="25">
        <f>VLOOKUP(B39,'Data qoq'!$A:$AT,MATCH($K$1,'Data qoq'!$A$1:$AT$1,),)</f>
        <v/>
      </c>
      <c r="L39" s="25">
        <f>VLOOKUP(B39,'Data qoq'!$A:$AT,MATCH($L$1,'Data qoq'!$A$1:$AT$1,),)</f>
        <v/>
      </c>
      <c r="M39" s="25">
        <f>VLOOKUP(B39,'Data qoq'!$A:$AT,MATCH($M$1,'Data qoq'!$A$1:$AT$1,),)</f>
        <v/>
      </c>
      <c r="N39" s="25">
        <f>VLOOKUP(B39,'Data qoq'!$A:$AT,MATCH($N$1,'Data qoq'!$A$1:$AT$1,),)</f>
        <v/>
      </c>
      <c r="O39" s="25">
        <f>VLOOKUP(B39,'Data qoq'!$A:$AT,MATCH($C$1,'Data qoq'!$J$1:$AT$1,),)</f>
        <v/>
      </c>
      <c r="P39" s="25">
        <f>VLOOKUP(B39,'Data qoq'!$A:$AT,MATCH($P$1,'Data qoq'!$A$1:$AT$1,),)</f>
        <v/>
      </c>
      <c r="Q39" s="25">
        <f>VLOOKUP(B39,'Data qoq'!$A:$AT,MATCH($Q$1,'Data qoq'!$A$1:$AT$1,),)</f>
        <v/>
      </c>
      <c r="R39" s="25">
        <f>VLOOKUP(B39,'Data qoq'!$A:$AT,MATCH($E$1,'Data qoq'!$A$1:$AT$1,),)</f>
        <v/>
      </c>
      <c r="S39" s="25">
        <f>VLOOKUP(B39,'Data qoq'!$A:$AT,MATCH($S$1,'Data qoq'!$A$1:$AT$1,),)</f>
        <v/>
      </c>
      <c r="T39" s="25">
        <f>VLOOKUP(B39,'Data qoq'!$A:$AT,MATCH($T$1,'Data qoq'!$A$1:$AT$1,),)</f>
        <v/>
      </c>
      <c r="U39" s="25">
        <f>VLOOKUP(B39,'Data qoq'!$A:$AT,MATCH($U$1,'Data qoq'!$A$1:$AT$1,),)</f>
        <v/>
      </c>
      <c r="V39" s="25">
        <f>VLOOKUP(B39,'Data qoq'!$A:$AT,MATCH($V$1,'Data qoq'!$A$1:$AT$1,),)</f>
        <v/>
      </c>
      <c r="W39" s="25">
        <f>VLOOKUP(B39,'Data qoq'!$A:$AT,MATCH($W$1,'Data qoq'!$A$1:$AT$1,),)</f>
        <v/>
      </c>
      <c r="X39" s="25">
        <f>VLOOKUP(B39,'Data qoq'!$A:$AT,MATCH($X$1,'Data qoq'!$A$1:$AT$1,),)</f>
        <v/>
      </c>
      <c r="Y39" s="25">
        <f>VLOOKUP(B39,'Data qoq'!$A:$AT,MATCH($Y$1,'Data qoq'!$A$1:$AT$1,),)</f>
        <v/>
      </c>
      <c r="Z39" s="25">
        <f>VLOOKUP(B39,'Data qoq'!$A:$AU,MATCH($Z$1,'Data qoq'!$A$1:$AU$1,),)</f>
        <v/>
      </c>
      <c r="AA39" s="25">
        <f>VLOOKUP(B39,'Data qoq'!$A:$AU,MATCH($AA$1,'Data qoq'!$A$1:$AU$1,),)</f>
        <v/>
      </c>
      <c r="AC39" s="26">
        <f>B39</f>
        <v/>
      </c>
      <c r="AD39" s="27">
        <f>(VLOOKUP(AC39,B:Y,MATCH($AE$6,$B$1:$Y$1,),))-(VLOOKUP(AC39,B:Y,MATCH($AE$7,$B$1:$Y$1,),))</f>
        <v/>
      </c>
      <c r="AE39" s="27">
        <f>C39-G39</f>
        <v/>
      </c>
    </row>
    <row r="40" hidden="1" s="68">
      <c r="B40" s="24" t="inlineStr">
        <is>
          <t>2007-Q2</t>
        </is>
      </c>
      <c r="C40" s="25">
        <f>VLOOKUP(B40,'Data qoq'!$A:$AT,MATCH($C$1,'Data qoq'!$A$1:$AT$1,),)</f>
        <v/>
      </c>
      <c r="D40" s="25">
        <f>VLOOKUP(B40,'Data qoq'!$A:$AT,MATCH($D$1,'Data qoq'!$A$1:$AT$1,),)</f>
        <v/>
      </c>
      <c r="E40" s="25">
        <f>VLOOKUP(B40,'Data qoq'!$A:$AT,MATCH($E$1,'Data qoq'!$A$1:$AT$1,),)</f>
        <v/>
      </c>
      <c r="F40" s="25">
        <f>VLOOKUP(B40,'Data qoq'!$A:$AT,MATCH($F$1,'Data qoq'!$A$1:$AT$1,),)</f>
        <v/>
      </c>
      <c r="G40" s="25">
        <f>VLOOKUP(B40,'Data qoq'!$A:$AT,MATCH($G$1,'Data qoq'!$A$1:$AT$1,),)</f>
        <v/>
      </c>
      <c r="H40" s="25">
        <f>VLOOKUP(B40,'Data qoq'!$A:$AT,MATCH($H$1,'Data qoq'!$A$1:$AT$1,),)</f>
        <v/>
      </c>
      <c r="I40" s="25">
        <f>VLOOKUP(B40,'Data qoq'!$A:$AT,MATCH($I$1,'Data qoq'!$A$1:$AT$1,),)</f>
        <v/>
      </c>
      <c r="J40" s="25">
        <f>VLOOKUP(B40,'Data qoq'!$A:$AT,MATCH($J$1,'Data qoq'!$A$1:$AT$1,),)</f>
        <v/>
      </c>
      <c r="K40" s="25">
        <f>VLOOKUP(B40,'Data qoq'!$A:$AT,MATCH($K$1,'Data qoq'!$A$1:$AT$1,),)</f>
        <v/>
      </c>
      <c r="L40" s="25">
        <f>VLOOKUP(B40,'Data qoq'!$A:$AT,MATCH($L$1,'Data qoq'!$A$1:$AT$1,),)</f>
        <v/>
      </c>
      <c r="M40" s="25">
        <f>VLOOKUP(B40,'Data qoq'!$A:$AT,MATCH($M$1,'Data qoq'!$A$1:$AT$1,),)</f>
        <v/>
      </c>
      <c r="N40" s="25">
        <f>VLOOKUP(B40,'Data qoq'!$A:$AT,MATCH($N$1,'Data qoq'!$A$1:$AT$1,),)</f>
        <v/>
      </c>
      <c r="O40" s="25">
        <f>VLOOKUP(B40,'Data qoq'!$A:$AT,MATCH($C$1,'Data qoq'!$J$1:$AT$1,),)</f>
        <v/>
      </c>
      <c r="P40" s="25">
        <f>VLOOKUP(B40,'Data qoq'!$A:$AT,MATCH($P$1,'Data qoq'!$A$1:$AT$1,),)</f>
        <v/>
      </c>
      <c r="Q40" s="25">
        <f>VLOOKUP(B40,'Data qoq'!$A:$AT,MATCH($Q$1,'Data qoq'!$A$1:$AT$1,),)</f>
        <v/>
      </c>
      <c r="R40" s="25">
        <f>VLOOKUP(B40,'Data qoq'!$A:$AT,MATCH($E$1,'Data qoq'!$A$1:$AT$1,),)</f>
        <v/>
      </c>
      <c r="S40" s="25">
        <f>VLOOKUP(B40,'Data qoq'!$A:$AT,MATCH($S$1,'Data qoq'!$A$1:$AT$1,),)</f>
        <v/>
      </c>
      <c r="T40" s="25">
        <f>VLOOKUP(B40,'Data qoq'!$A:$AT,MATCH($T$1,'Data qoq'!$A$1:$AT$1,),)</f>
        <v/>
      </c>
      <c r="U40" s="25">
        <f>VLOOKUP(B40,'Data qoq'!$A:$AT,MATCH($U$1,'Data qoq'!$A$1:$AT$1,),)</f>
        <v/>
      </c>
      <c r="V40" s="25">
        <f>VLOOKUP(B40,'Data qoq'!$A:$AT,MATCH($V$1,'Data qoq'!$A$1:$AT$1,),)</f>
        <v/>
      </c>
      <c r="W40" s="25">
        <f>VLOOKUP(B40,'Data qoq'!$A:$AT,MATCH($W$1,'Data qoq'!$A$1:$AT$1,),)</f>
        <v/>
      </c>
      <c r="X40" s="25">
        <f>VLOOKUP(B40,'Data qoq'!$A:$AT,MATCH($X$1,'Data qoq'!$A$1:$AT$1,),)</f>
        <v/>
      </c>
      <c r="Y40" s="25">
        <f>VLOOKUP(B40,'Data qoq'!$A:$AT,MATCH($Y$1,'Data qoq'!$A$1:$AT$1,),)</f>
        <v/>
      </c>
      <c r="Z40" s="25">
        <f>VLOOKUP(B40,'Data qoq'!$A:$AU,MATCH($Z$1,'Data qoq'!$A$1:$AU$1,),)</f>
        <v/>
      </c>
      <c r="AA40" s="25">
        <f>VLOOKUP(B40,'Data qoq'!$A:$AU,MATCH($AA$1,'Data qoq'!$A$1:$AU$1,),)</f>
        <v/>
      </c>
      <c r="AC40" s="26">
        <f>B40</f>
        <v/>
      </c>
      <c r="AD40" s="27">
        <f>(VLOOKUP(AC40,B:Y,MATCH($AE$6,$B$1:$Y$1,),))-(VLOOKUP(AC40,B:Y,MATCH($AE$7,$B$1:$Y$1,),))</f>
        <v/>
      </c>
      <c r="AE40" s="27">
        <f>C40-G40</f>
        <v/>
      </c>
    </row>
    <row r="41" hidden="1" s="68">
      <c r="B41" s="24" t="inlineStr">
        <is>
          <t>2007-Q3</t>
        </is>
      </c>
      <c r="C41" s="25">
        <f>VLOOKUP(B41,'Data qoq'!$A:$AT,MATCH($C$1,'Data qoq'!$A$1:$AT$1,),)</f>
        <v/>
      </c>
      <c r="D41" s="25">
        <f>VLOOKUP(B41,'Data qoq'!$A:$AT,MATCH($D$1,'Data qoq'!$A$1:$AT$1,),)</f>
        <v/>
      </c>
      <c r="E41" s="25">
        <f>VLOOKUP(B41,'Data qoq'!$A:$AT,MATCH($E$1,'Data qoq'!$A$1:$AT$1,),)</f>
        <v/>
      </c>
      <c r="F41" s="25">
        <f>VLOOKUP(B41,'Data qoq'!$A:$AT,MATCH($F$1,'Data qoq'!$A$1:$AT$1,),)</f>
        <v/>
      </c>
      <c r="G41" s="25">
        <f>VLOOKUP(B41,'Data qoq'!$A:$AT,MATCH($G$1,'Data qoq'!$A$1:$AT$1,),)</f>
        <v/>
      </c>
      <c r="H41" s="25">
        <f>VLOOKUP(B41,'Data qoq'!$A:$AT,MATCH($H$1,'Data qoq'!$A$1:$AT$1,),)</f>
        <v/>
      </c>
      <c r="I41" s="25">
        <f>VLOOKUP(B41,'Data qoq'!$A:$AT,MATCH($I$1,'Data qoq'!$A$1:$AT$1,),)</f>
        <v/>
      </c>
      <c r="J41" s="25">
        <f>VLOOKUP(B41,'Data qoq'!$A:$AT,MATCH($J$1,'Data qoq'!$A$1:$AT$1,),)</f>
        <v/>
      </c>
      <c r="K41" s="25">
        <f>VLOOKUP(B41,'Data qoq'!$A:$AT,MATCH($K$1,'Data qoq'!$A$1:$AT$1,),)</f>
        <v/>
      </c>
      <c r="L41" s="25">
        <f>VLOOKUP(B41,'Data qoq'!$A:$AT,MATCH($L$1,'Data qoq'!$A$1:$AT$1,),)</f>
        <v/>
      </c>
      <c r="M41" s="25">
        <f>VLOOKUP(B41,'Data qoq'!$A:$AT,MATCH($M$1,'Data qoq'!$A$1:$AT$1,),)</f>
        <v/>
      </c>
      <c r="N41" s="25">
        <f>VLOOKUP(B41,'Data qoq'!$A:$AT,MATCH($N$1,'Data qoq'!$A$1:$AT$1,),)</f>
        <v/>
      </c>
      <c r="O41" s="25">
        <f>VLOOKUP(B41,'Data qoq'!$A:$AT,MATCH($C$1,'Data qoq'!$J$1:$AT$1,),)</f>
        <v/>
      </c>
      <c r="P41" s="25">
        <f>VLOOKUP(B41,'Data qoq'!$A:$AT,MATCH($P$1,'Data qoq'!$A$1:$AT$1,),)</f>
        <v/>
      </c>
      <c r="Q41" s="25">
        <f>VLOOKUP(B41,'Data qoq'!$A:$AT,MATCH($Q$1,'Data qoq'!$A$1:$AT$1,),)</f>
        <v/>
      </c>
      <c r="R41" s="25">
        <f>VLOOKUP(B41,'Data qoq'!$A:$AT,MATCH($E$1,'Data qoq'!$A$1:$AT$1,),)</f>
        <v/>
      </c>
      <c r="S41" s="25">
        <f>VLOOKUP(B41,'Data qoq'!$A:$AT,MATCH($S$1,'Data qoq'!$A$1:$AT$1,),)</f>
        <v/>
      </c>
      <c r="T41" s="25">
        <f>VLOOKUP(B41,'Data qoq'!$A:$AT,MATCH($T$1,'Data qoq'!$A$1:$AT$1,),)</f>
        <v/>
      </c>
      <c r="U41" s="25">
        <f>VLOOKUP(B41,'Data qoq'!$A:$AT,MATCH($U$1,'Data qoq'!$A$1:$AT$1,),)</f>
        <v/>
      </c>
      <c r="V41" s="25">
        <f>VLOOKUP(B41,'Data qoq'!$A:$AT,MATCH($V$1,'Data qoq'!$A$1:$AT$1,),)</f>
        <v/>
      </c>
      <c r="W41" s="25">
        <f>VLOOKUP(B41,'Data qoq'!$A:$AT,MATCH($W$1,'Data qoq'!$A$1:$AT$1,),)</f>
        <v/>
      </c>
      <c r="X41" s="25">
        <f>VLOOKUP(B41,'Data qoq'!$A:$AT,MATCH($X$1,'Data qoq'!$A$1:$AT$1,),)</f>
        <v/>
      </c>
      <c r="Y41" s="25">
        <f>VLOOKUP(B41,'Data qoq'!$A:$AT,MATCH($Y$1,'Data qoq'!$A$1:$AT$1,),)</f>
        <v/>
      </c>
      <c r="Z41" s="25">
        <f>VLOOKUP(B41,'Data qoq'!$A:$AU,MATCH($Z$1,'Data qoq'!$A$1:$AU$1,),)</f>
        <v/>
      </c>
      <c r="AA41" s="25">
        <f>VLOOKUP(B41,'Data qoq'!$A:$AU,MATCH($AA$1,'Data qoq'!$A$1:$AU$1,),)</f>
        <v/>
      </c>
      <c r="AC41" s="26">
        <f>B41</f>
        <v/>
      </c>
      <c r="AD41" s="27">
        <f>(VLOOKUP(AC41,B:Y,MATCH($AE$6,$B$1:$Y$1,),))-(VLOOKUP(AC41,B:Y,MATCH($AE$7,$B$1:$Y$1,),))</f>
        <v/>
      </c>
      <c r="AE41" s="27">
        <f>C41-G41</f>
        <v/>
      </c>
    </row>
    <row r="42" hidden="1" s="68">
      <c r="B42" s="24" t="inlineStr">
        <is>
          <t>2007-Q4</t>
        </is>
      </c>
      <c r="C42" s="25">
        <f>VLOOKUP(B42,'Data qoq'!$A:$AT,MATCH($C$1,'Data qoq'!$A$1:$AT$1,),)</f>
        <v/>
      </c>
      <c r="D42" s="25">
        <f>VLOOKUP(B42,'Data qoq'!$A:$AT,MATCH($D$1,'Data qoq'!$A$1:$AT$1,),)</f>
        <v/>
      </c>
      <c r="E42" s="25">
        <f>VLOOKUP(B42,'Data qoq'!$A:$AT,MATCH($E$1,'Data qoq'!$A$1:$AT$1,),)</f>
        <v/>
      </c>
      <c r="F42" s="25">
        <f>VLOOKUP(B42,'Data qoq'!$A:$AT,MATCH($F$1,'Data qoq'!$A$1:$AT$1,),)</f>
        <v/>
      </c>
      <c r="G42" s="25">
        <f>VLOOKUP(B42,'Data qoq'!$A:$AT,MATCH($G$1,'Data qoq'!$A$1:$AT$1,),)</f>
        <v/>
      </c>
      <c r="H42" s="25">
        <f>VLOOKUP(B42,'Data qoq'!$A:$AT,MATCH($H$1,'Data qoq'!$A$1:$AT$1,),)</f>
        <v/>
      </c>
      <c r="I42" s="25">
        <f>VLOOKUP(B42,'Data qoq'!$A:$AT,MATCH($I$1,'Data qoq'!$A$1:$AT$1,),)</f>
        <v/>
      </c>
      <c r="J42" s="25">
        <f>VLOOKUP(B42,'Data qoq'!$A:$AT,MATCH($J$1,'Data qoq'!$A$1:$AT$1,),)</f>
        <v/>
      </c>
      <c r="K42" s="25">
        <f>VLOOKUP(B42,'Data qoq'!$A:$AT,MATCH($K$1,'Data qoq'!$A$1:$AT$1,),)</f>
        <v/>
      </c>
      <c r="L42" s="25">
        <f>VLOOKUP(B42,'Data qoq'!$A:$AT,MATCH($L$1,'Data qoq'!$A$1:$AT$1,),)</f>
        <v/>
      </c>
      <c r="M42" s="25">
        <f>VLOOKUP(B42,'Data qoq'!$A:$AT,MATCH($M$1,'Data qoq'!$A$1:$AT$1,),)</f>
        <v/>
      </c>
      <c r="N42" s="25">
        <f>VLOOKUP(B42,'Data qoq'!$A:$AT,MATCH($N$1,'Data qoq'!$A$1:$AT$1,),)</f>
        <v/>
      </c>
      <c r="O42" s="25">
        <f>VLOOKUP(B42,'Data qoq'!$A:$AT,MATCH($C$1,'Data qoq'!$J$1:$AT$1,),)</f>
        <v/>
      </c>
      <c r="P42" s="25">
        <f>VLOOKUP(B42,'Data qoq'!$A:$AT,MATCH($P$1,'Data qoq'!$A$1:$AT$1,),)</f>
        <v/>
      </c>
      <c r="Q42" s="25">
        <f>VLOOKUP(B42,'Data qoq'!$A:$AT,MATCH($Q$1,'Data qoq'!$A$1:$AT$1,),)</f>
        <v/>
      </c>
      <c r="R42" s="25">
        <f>VLOOKUP(B42,'Data qoq'!$A:$AT,MATCH($E$1,'Data qoq'!$A$1:$AT$1,),)</f>
        <v/>
      </c>
      <c r="S42" s="25">
        <f>VLOOKUP(B42,'Data qoq'!$A:$AT,MATCH($S$1,'Data qoq'!$A$1:$AT$1,),)</f>
        <v/>
      </c>
      <c r="T42" s="25">
        <f>VLOOKUP(B42,'Data qoq'!$A:$AT,MATCH($T$1,'Data qoq'!$A$1:$AT$1,),)</f>
        <v/>
      </c>
      <c r="U42" s="25">
        <f>VLOOKUP(B42,'Data qoq'!$A:$AT,MATCH($U$1,'Data qoq'!$A$1:$AT$1,),)</f>
        <v/>
      </c>
      <c r="V42" s="25">
        <f>VLOOKUP(B42,'Data qoq'!$A:$AT,MATCH($V$1,'Data qoq'!$A$1:$AT$1,),)</f>
        <v/>
      </c>
      <c r="W42" s="25">
        <f>VLOOKUP(B42,'Data qoq'!$A:$AT,MATCH($W$1,'Data qoq'!$A$1:$AT$1,),)</f>
        <v/>
      </c>
      <c r="X42" s="25">
        <f>VLOOKUP(B42,'Data qoq'!$A:$AT,MATCH($X$1,'Data qoq'!$A$1:$AT$1,),)</f>
        <v/>
      </c>
      <c r="Y42" s="25">
        <f>VLOOKUP(B42,'Data qoq'!$A:$AT,MATCH($Y$1,'Data qoq'!$A$1:$AT$1,),)</f>
        <v/>
      </c>
      <c r="Z42" s="25">
        <f>VLOOKUP(B42,'Data qoq'!$A:$AU,MATCH($Z$1,'Data qoq'!$A$1:$AU$1,),)</f>
        <v/>
      </c>
      <c r="AA42" s="25">
        <f>VLOOKUP(B42,'Data qoq'!$A:$AU,MATCH($AA$1,'Data qoq'!$A$1:$AU$1,),)</f>
        <v/>
      </c>
      <c r="AC42" s="26">
        <f>B42</f>
        <v/>
      </c>
      <c r="AD42" s="27">
        <f>(VLOOKUP(AC42,B:Y,MATCH($AE$6,$B$1:$Y$1,),))-(VLOOKUP(AC42,B:Y,MATCH($AE$7,$B$1:$Y$1,),))</f>
        <v/>
      </c>
      <c r="AE42" s="27">
        <f>C42-G42</f>
        <v/>
      </c>
    </row>
    <row r="43" hidden="1" s="68">
      <c r="B43" s="24" t="inlineStr">
        <is>
          <t>2008-Q1</t>
        </is>
      </c>
      <c r="C43" s="25">
        <f>VLOOKUP(B43,'Data qoq'!$A:$AT,MATCH($C$1,'Data qoq'!$A$1:$AT$1,),)</f>
        <v/>
      </c>
      <c r="D43" s="25">
        <f>VLOOKUP(B43,'Data qoq'!$A:$AT,MATCH($D$1,'Data qoq'!$A$1:$AT$1,),)</f>
        <v/>
      </c>
      <c r="E43" s="25">
        <f>VLOOKUP(B43,'Data qoq'!$A:$AT,MATCH($E$1,'Data qoq'!$A$1:$AT$1,),)</f>
        <v/>
      </c>
      <c r="F43" s="25">
        <f>VLOOKUP(B43,'Data qoq'!$A:$AT,MATCH($F$1,'Data qoq'!$A$1:$AT$1,),)</f>
        <v/>
      </c>
      <c r="G43" s="25">
        <f>VLOOKUP(B43,'Data qoq'!$A:$AT,MATCH($G$1,'Data qoq'!$A$1:$AT$1,),)</f>
        <v/>
      </c>
      <c r="H43" s="25">
        <f>VLOOKUP(B43,'Data qoq'!$A:$AT,MATCH($H$1,'Data qoq'!$A$1:$AT$1,),)</f>
        <v/>
      </c>
      <c r="I43" s="25">
        <f>VLOOKUP(B43,'Data qoq'!$A:$AT,MATCH($I$1,'Data qoq'!$A$1:$AT$1,),)</f>
        <v/>
      </c>
      <c r="J43" s="25">
        <f>VLOOKUP(B43,'Data qoq'!$A:$AT,MATCH($J$1,'Data qoq'!$A$1:$AT$1,),)</f>
        <v/>
      </c>
      <c r="K43" s="25">
        <f>VLOOKUP(B43,'Data qoq'!$A:$AT,MATCH($K$1,'Data qoq'!$A$1:$AT$1,),)</f>
        <v/>
      </c>
      <c r="L43" s="25">
        <f>VLOOKUP(B43,'Data qoq'!$A:$AT,MATCH($L$1,'Data qoq'!$A$1:$AT$1,),)</f>
        <v/>
      </c>
      <c r="M43" s="25">
        <f>VLOOKUP(B43,'Data qoq'!$A:$AT,MATCH($M$1,'Data qoq'!$A$1:$AT$1,),)</f>
        <v/>
      </c>
      <c r="N43" s="25">
        <f>VLOOKUP(B43,'Data qoq'!$A:$AT,MATCH($N$1,'Data qoq'!$A$1:$AT$1,),)</f>
        <v/>
      </c>
      <c r="O43" s="25">
        <f>VLOOKUP(B43,'Data qoq'!$A:$AT,MATCH($C$1,'Data qoq'!$J$1:$AT$1,),)</f>
        <v/>
      </c>
      <c r="P43" s="25">
        <f>VLOOKUP(B43,'Data qoq'!$A:$AT,MATCH($P$1,'Data qoq'!$A$1:$AT$1,),)</f>
        <v/>
      </c>
      <c r="Q43" s="25">
        <f>VLOOKUP(B43,'Data qoq'!$A:$AT,MATCH($Q$1,'Data qoq'!$A$1:$AT$1,),)</f>
        <v/>
      </c>
      <c r="R43" s="25">
        <f>VLOOKUP(B43,'Data qoq'!$A:$AT,MATCH($E$1,'Data qoq'!$A$1:$AT$1,),)</f>
        <v/>
      </c>
      <c r="S43" s="25">
        <f>VLOOKUP(B43,'Data qoq'!$A:$AT,MATCH($S$1,'Data qoq'!$A$1:$AT$1,),)</f>
        <v/>
      </c>
      <c r="T43" s="25">
        <f>VLOOKUP(B43,'Data qoq'!$A:$AT,MATCH($T$1,'Data qoq'!$A$1:$AT$1,),)</f>
        <v/>
      </c>
      <c r="U43" s="25">
        <f>VLOOKUP(B43,'Data qoq'!$A:$AT,MATCH($U$1,'Data qoq'!$A$1:$AT$1,),)</f>
        <v/>
      </c>
      <c r="V43" s="25">
        <f>VLOOKUP(B43,'Data qoq'!$A:$AT,MATCH($V$1,'Data qoq'!$A$1:$AT$1,),)</f>
        <v/>
      </c>
      <c r="W43" s="25">
        <f>VLOOKUP(B43,'Data qoq'!$A:$AT,MATCH($W$1,'Data qoq'!$A$1:$AT$1,),)</f>
        <v/>
      </c>
      <c r="X43" s="25">
        <f>VLOOKUP(B43,'Data qoq'!$A:$AT,MATCH($X$1,'Data qoq'!$A$1:$AT$1,),)</f>
        <v/>
      </c>
      <c r="Y43" s="25">
        <f>VLOOKUP(B43,'Data qoq'!$A:$AT,MATCH($Y$1,'Data qoq'!$A$1:$AT$1,),)</f>
        <v/>
      </c>
      <c r="Z43" s="25">
        <f>VLOOKUP(B43,'Data qoq'!$A:$AU,MATCH($Z$1,'Data qoq'!$A$1:$AU$1,),)</f>
        <v/>
      </c>
      <c r="AA43" s="25">
        <f>VLOOKUP(B43,'Data qoq'!$A:$AU,MATCH($AA$1,'Data qoq'!$A$1:$AU$1,),)</f>
        <v/>
      </c>
      <c r="AC43" s="26">
        <f>B43</f>
        <v/>
      </c>
      <c r="AD43" s="27">
        <f>(VLOOKUP(AC43,B:Y,MATCH($AE$6,$B$1:$Y$1,),))-(VLOOKUP(AC43,B:Y,MATCH($AE$7,$B$1:$Y$1,),))</f>
        <v/>
      </c>
      <c r="AE43" s="27">
        <f>C43-G43</f>
        <v/>
      </c>
    </row>
    <row r="44" hidden="1" s="68">
      <c r="B44" s="24" t="inlineStr">
        <is>
          <t>2008-Q2</t>
        </is>
      </c>
      <c r="C44" s="25">
        <f>VLOOKUP(B44,'Data qoq'!$A:$AT,MATCH($C$1,'Data qoq'!$A$1:$AT$1,),)</f>
        <v/>
      </c>
      <c r="D44" s="25">
        <f>VLOOKUP(B44,'Data qoq'!$A:$AT,MATCH($D$1,'Data qoq'!$A$1:$AT$1,),)</f>
        <v/>
      </c>
      <c r="E44" s="25">
        <f>VLOOKUP(B44,'Data qoq'!$A:$AT,MATCH($E$1,'Data qoq'!$A$1:$AT$1,),)</f>
        <v/>
      </c>
      <c r="F44" s="25">
        <f>VLOOKUP(B44,'Data qoq'!$A:$AT,MATCH($F$1,'Data qoq'!$A$1:$AT$1,),)</f>
        <v/>
      </c>
      <c r="G44" s="25">
        <f>VLOOKUP(B44,'Data qoq'!$A:$AT,MATCH($G$1,'Data qoq'!$A$1:$AT$1,),)</f>
        <v/>
      </c>
      <c r="H44" s="25">
        <f>VLOOKUP(B44,'Data qoq'!$A:$AT,MATCH($H$1,'Data qoq'!$A$1:$AT$1,),)</f>
        <v/>
      </c>
      <c r="I44" s="25">
        <f>VLOOKUP(B44,'Data qoq'!$A:$AT,MATCH($I$1,'Data qoq'!$A$1:$AT$1,),)</f>
        <v/>
      </c>
      <c r="J44" s="25">
        <f>VLOOKUP(B44,'Data qoq'!$A:$AT,MATCH($J$1,'Data qoq'!$A$1:$AT$1,),)</f>
        <v/>
      </c>
      <c r="K44" s="25">
        <f>VLOOKUP(B44,'Data qoq'!$A:$AT,MATCH($K$1,'Data qoq'!$A$1:$AT$1,),)</f>
        <v/>
      </c>
      <c r="L44" s="25">
        <f>VLOOKUP(B44,'Data qoq'!$A:$AT,MATCH($L$1,'Data qoq'!$A$1:$AT$1,),)</f>
        <v/>
      </c>
      <c r="M44" s="25">
        <f>VLOOKUP(B44,'Data qoq'!$A:$AT,MATCH($M$1,'Data qoq'!$A$1:$AT$1,),)</f>
        <v/>
      </c>
      <c r="N44" s="25">
        <f>VLOOKUP(B44,'Data qoq'!$A:$AT,MATCH($N$1,'Data qoq'!$A$1:$AT$1,),)</f>
        <v/>
      </c>
      <c r="O44" s="25">
        <f>VLOOKUP(B44,'Data qoq'!$A:$AT,MATCH($C$1,'Data qoq'!$J$1:$AT$1,),)</f>
        <v/>
      </c>
      <c r="P44" s="25">
        <f>VLOOKUP(B44,'Data qoq'!$A:$AT,MATCH($P$1,'Data qoq'!$A$1:$AT$1,),)</f>
        <v/>
      </c>
      <c r="Q44" s="25">
        <f>VLOOKUP(B44,'Data qoq'!$A:$AT,MATCH($Q$1,'Data qoq'!$A$1:$AT$1,),)</f>
        <v/>
      </c>
      <c r="R44" s="25">
        <f>VLOOKUP(B44,'Data qoq'!$A:$AT,MATCH($E$1,'Data qoq'!$A$1:$AT$1,),)</f>
        <v/>
      </c>
      <c r="S44" s="25">
        <f>VLOOKUP(B44,'Data qoq'!$A:$AT,MATCH($S$1,'Data qoq'!$A$1:$AT$1,),)</f>
        <v/>
      </c>
      <c r="T44" s="25">
        <f>VLOOKUP(B44,'Data qoq'!$A:$AT,MATCH($T$1,'Data qoq'!$A$1:$AT$1,),)</f>
        <v/>
      </c>
      <c r="U44" s="25">
        <f>VLOOKUP(B44,'Data qoq'!$A:$AT,MATCH($U$1,'Data qoq'!$A$1:$AT$1,),)</f>
        <v/>
      </c>
      <c r="V44" s="25">
        <f>VLOOKUP(B44,'Data qoq'!$A:$AT,MATCH($V$1,'Data qoq'!$A$1:$AT$1,),)</f>
        <v/>
      </c>
      <c r="W44" s="25">
        <f>VLOOKUP(B44,'Data qoq'!$A:$AT,MATCH($W$1,'Data qoq'!$A$1:$AT$1,),)</f>
        <v/>
      </c>
      <c r="X44" s="25">
        <f>VLOOKUP(B44,'Data qoq'!$A:$AT,MATCH($X$1,'Data qoq'!$A$1:$AT$1,),)</f>
        <v/>
      </c>
      <c r="Y44" s="25">
        <f>VLOOKUP(B44,'Data qoq'!$A:$AT,MATCH($Y$1,'Data qoq'!$A$1:$AT$1,),)</f>
        <v/>
      </c>
      <c r="Z44" s="25">
        <f>VLOOKUP(B44,'Data qoq'!$A:$AU,MATCH($Z$1,'Data qoq'!$A$1:$AU$1,),)</f>
        <v/>
      </c>
      <c r="AA44" s="25">
        <f>VLOOKUP(B44,'Data qoq'!$A:$AU,MATCH($AA$1,'Data qoq'!$A$1:$AU$1,),)</f>
        <v/>
      </c>
      <c r="AC44" s="26">
        <f>B44</f>
        <v/>
      </c>
      <c r="AD44" s="27">
        <f>(VLOOKUP(AC44,B:Y,MATCH($AE$6,$B$1:$Y$1,),))-(VLOOKUP(AC44,B:Y,MATCH($AE$7,$B$1:$Y$1,),))</f>
        <v/>
      </c>
      <c r="AE44" s="27">
        <f>C44-G44</f>
        <v/>
      </c>
    </row>
    <row r="45" hidden="1" s="68">
      <c r="B45" s="24" t="inlineStr">
        <is>
          <t>2008-Q3</t>
        </is>
      </c>
      <c r="C45" s="25">
        <f>VLOOKUP(B45,'Data qoq'!$A:$AT,MATCH($C$1,'Data qoq'!$A$1:$AT$1,),)</f>
        <v/>
      </c>
      <c r="D45" s="25">
        <f>VLOOKUP(B45,'Data qoq'!$A:$AT,MATCH($D$1,'Data qoq'!$A$1:$AT$1,),)</f>
        <v/>
      </c>
      <c r="E45" s="25">
        <f>VLOOKUP(B45,'Data qoq'!$A:$AT,MATCH($E$1,'Data qoq'!$A$1:$AT$1,),)</f>
        <v/>
      </c>
      <c r="F45" s="25">
        <f>VLOOKUP(B45,'Data qoq'!$A:$AT,MATCH($F$1,'Data qoq'!$A$1:$AT$1,),)</f>
        <v/>
      </c>
      <c r="G45" s="25">
        <f>VLOOKUP(B45,'Data qoq'!$A:$AT,MATCH($G$1,'Data qoq'!$A$1:$AT$1,),)</f>
        <v/>
      </c>
      <c r="H45" s="25">
        <f>VLOOKUP(B45,'Data qoq'!$A:$AT,MATCH($H$1,'Data qoq'!$A$1:$AT$1,),)</f>
        <v/>
      </c>
      <c r="I45" s="25">
        <f>VLOOKUP(B45,'Data qoq'!$A:$AT,MATCH($I$1,'Data qoq'!$A$1:$AT$1,),)</f>
        <v/>
      </c>
      <c r="J45" s="25">
        <f>VLOOKUP(B45,'Data qoq'!$A:$AT,MATCH($J$1,'Data qoq'!$A$1:$AT$1,),)</f>
        <v/>
      </c>
      <c r="K45" s="25">
        <f>VLOOKUP(B45,'Data qoq'!$A:$AT,MATCH($K$1,'Data qoq'!$A$1:$AT$1,),)</f>
        <v/>
      </c>
      <c r="L45" s="25">
        <f>VLOOKUP(B45,'Data qoq'!$A:$AT,MATCH($L$1,'Data qoq'!$A$1:$AT$1,),)</f>
        <v/>
      </c>
      <c r="M45" s="25">
        <f>VLOOKUP(B45,'Data qoq'!$A:$AT,MATCH($M$1,'Data qoq'!$A$1:$AT$1,),)</f>
        <v/>
      </c>
      <c r="N45" s="25">
        <f>VLOOKUP(B45,'Data qoq'!$A:$AT,MATCH($N$1,'Data qoq'!$A$1:$AT$1,),)</f>
        <v/>
      </c>
      <c r="O45" s="25">
        <f>VLOOKUP(B45,'Data qoq'!$A:$AT,MATCH($C$1,'Data qoq'!$J$1:$AT$1,),)</f>
        <v/>
      </c>
      <c r="P45" s="25">
        <f>VLOOKUP(B45,'Data qoq'!$A:$AT,MATCH($P$1,'Data qoq'!$A$1:$AT$1,),)</f>
        <v/>
      </c>
      <c r="Q45" s="25">
        <f>VLOOKUP(B45,'Data qoq'!$A:$AT,MATCH($Q$1,'Data qoq'!$A$1:$AT$1,),)</f>
        <v/>
      </c>
      <c r="R45" s="25">
        <f>VLOOKUP(B45,'Data qoq'!$A:$AT,MATCH($E$1,'Data qoq'!$A$1:$AT$1,),)</f>
        <v/>
      </c>
      <c r="S45" s="25">
        <f>VLOOKUP(B45,'Data qoq'!$A:$AT,MATCH($S$1,'Data qoq'!$A$1:$AT$1,),)</f>
        <v/>
      </c>
      <c r="T45" s="25">
        <f>VLOOKUP(B45,'Data qoq'!$A:$AT,MATCH($T$1,'Data qoq'!$A$1:$AT$1,),)</f>
        <v/>
      </c>
      <c r="U45" s="25">
        <f>VLOOKUP(B45,'Data qoq'!$A:$AT,MATCH($U$1,'Data qoq'!$A$1:$AT$1,),)</f>
        <v/>
      </c>
      <c r="V45" s="25">
        <f>VLOOKUP(B45,'Data qoq'!$A:$AT,MATCH($V$1,'Data qoq'!$A$1:$AT$1,),)</f>
        <v/>
      </c>
      <c r="W45" s="25">
        <f>VLOOKUP(B45,'Data qoq'!$A:$AT,MATCH($W$1,'Data qoq'!$A$1:$AT$1,),)</f>
        <v/>
      </c>
      <c r="X45" s="25">
        <f>VLOOKUP(B45,'Data qoq'!$A:$AT,MATCH($X$1,'Data qoq'!$A$1:$AT$1,),)</f>
        <v/>
      </c>
      <c r="Y45" s="25">
        <f>VLOOKUP(B45,'Data qoq'!$A:$AT,MATCH($Y$1,'Data qoq'!$A$1:$AT$1,),)</f>
        <v/>
      </c>
      <c r="Z45" s="25">
        <f>VLOOKUP(B45,'Data qoq'!$A:$AU,MATCH($Z$1,'Data qoq'!$A$1:$AU$1,),)</f>
        <v/>
      </c>
      <c r="AA45" s="25">
        <f>VLOOKUP(B45,'Data qoq'!$A:$AU,MATCH($AA$1,'Data qoq'!$A$1:$AU$1,),)</f>
        <v/>
      </c>
      <c r="AC45" s="26">
        <f>B45</f>
        <v/>
      </c>
      <c r="AD45" s="27">
        <f>(VLOOKUP(AC45,B:Y,MATCH($AE$6,$B$1:$Y$1,),))-(VLOOKUP(AC45,B:Y,MATCH($AE$7,$B$1:$Y$1,),))</f>
        <v/>
      </c>
      <c r="AE45" s="27">
        <f>C45-G45</f>
        <v/>
      </c>
    </row>
    <row r="46" hidden="1" s="68">
      <c r="B46" s="24" t="inlineStr">
        <is>
          <t>2008-Q4</t>
        </is>
      </c>
      <c r="C46" s="25">
        <f>VLOOKUP(B46,'Data qoq'!$A:$AT,MATCH($C$1,'Data qoq'!$A$1:$AT$1,),)</f>
        <v/>
      </c>
      <c r="D46" s="25">
        <f>VLOOKUP(B46,'Data qoq'!$A:$AT,MATCH($D$1,'Data qoq'!$A$1:$AT$1,),)</f>
        <v/>
      </c>
      <c r="E46" s="25">
        <f>VLOOKUP(B46,'Data qoq'!$A:$AT,MATCH($E$1,'Data qoq'!$A$1:$AT$1,),)</f>
        <v/>
      </c>
      <c r="F46" s="25">
        <f>VLOOKUP(B46,'Data qoq'!$A:$AT,MATCH($F$1,'Data qoq'!$A$1:$AT$1,),)</f>
        <v/>
      </c>
      <c r="G46" s="25">
        <f>VLOOKUP(B46,'Data qoq'!$A:$AT,MATCH($G$1,'Data qoq'!$A$1:$AT$1,),)</f>
        <v/>
      </c>
      <c r="H46" s="25">
        <f>VLOOKUP(B46,'Data qoq'!$A:$AT,MATCH($H$1,'Data qoq'!$A$1:$AT$1,),)</f>
        <v/>
      </c>
      <c r="I46" s="25">
        <f>VLOOKUP(B46,'Data qoq'!$A:$AT,MATCH($I$1,'Data qoq'!$A$1:$AT$1,),)</f>
        <v/>
      </c>
      <c r="J46" s="25">
        <f>VLOOKUP(B46,'Data qoq'!$A:$AT,MATCH($J$1,'Data qoq'!$A$1:$AT$1,),)</f>
        <v/>
      </c>
      <c r="K46" s="25">
        <f>VLOOKUP(B46,'Data qoq'!$A:$AT,MATCH($K$1,'Data qoq'!$A$1:$AT$1,),)</f>
        <v/>
      </c>
      <c r="L46" s="25">
        <f>VLOOKUP(B46,'Data qoq'!$A:$AT,MATCH($L$1,'Data qoq'!$A$1:$AT$1,),)</f>
        <v/>
      </c>
      <c r="M46" s="25">
        <f>VLOOKUP(B46,'Data qoq'!$A:$AT,MATCH($M$1,'Data qoq'!$A$1:$AT$1,),)</f>
        <v/>
      </c>
      <c r="N46" s="25">
        <f>VLOOKUP(B46,'Data qoq'!$A:$AT,MATCH($N$1,'Data qoq'!$A$1:$AT$1,),)</f>
        <v/>
      </c>
      <c r="O46" s="25">
        <f>VLOOKUP(B46,'Data qoq'!$A:$AT,MATCH($C$1,'Data qoq'!$J$1:$AT$1,),)</f>
        <v/>
      </c>
      <c r="P46" s="25">
        <f>VLOOKUP(B46,'Data qoq'!$A:$AT,MATCH($P$1,'Data qoq'!$A$1:$AT$1,),)</f>
        <v/>
      </c>
      <c r="Q46" s="25">
        <f>VLOOKUP(B46,'Data qoq'!$A:$AT,MATCH($Q$1,'Data qoq'!$A$1:$AT$1,),)</f>
        <v/>
      </c>
      <c r="R46" s="25">
        <f>VLOOKUP(B46,'Data qoq'!$A:$AT,MATCH($E$1,'Data qoq'!$A$1:$AT$1,),)</f>
        <v/>
      </c>
      <c r="S46" s="25">
        <f>VLOOKUP(B46,'Data qoq'!$A:$AT,MATCH($S$1,'Data qoq'!$A$1:$AT$1,),)</f>
        <v/>
      </c>
      <c r="T46" s="25">
        <f>VLOOKUP(B46,'Data qoq'!$A:$AT,MATCH($T$1,'Data qoq'!$A$1:$AT$1,),)</f>
        <v/>
      </c>
      <c r="U46" s="25">
        <f>VLOOKUP(B46,'Data qoq'!$A:$AT,MATCH($U$1,'Data qoq'!$A$1:$AT$1,),)</f>
        <v/>
      </c>
      <c r="V46" s="25">
        <f>VLOOKUP(B46,'Data qoq'!$A:$AT,MATCH($V$1,'Data qoq'!$A$1:$AT$1,),)</f>
        <v/>
      </c>
      <c r="W46" s="25">
        <f>VLOOKUP(B46,'Data qoq'!$A:$AT,MATCH($W$1,'Data qoq'!$A$1:$AT$1,),)</f>
        <v/>
      </c>
      <c r="X46" s="25">
        <f>VLOOKUP(B46,'Data qoq'!$A:$AT,MATCH($X$1,'Data qoq'!$A$1:$AT$1,),)</f>
        <v/>
      </c>
      <c r="Y46" s="25">
        <f>VLOOKUP(B46,'Data qoq'!$A:$AT,MATCH($Y$1,'Data qoq'!$A$1:$AT$1,),)</f>
        <v/>
      </c>
      <c r="Z46" s="25">
        <f>VLOOKUP(B46,'Data qoq'!$A:$AU,MATCH($Z$1,'Data qoq'!$A$1:$AU$1,),)</f>
        <v/>
      </c>
      <c r="AA46" s="25">
        <f>VLOOKUP(B46,'Data qoq'!$A:$AU,MATCH($AA$1,'Data qoq'!$A$1:$AU$1,),)</f>
        <v/>
      </c>
      <c r="AC46" s="26">
        <f>B46</f>
        <v/>
      </c>
      <c r="AD46" s="27">
        <f>(VLOOKUP(AC46,B:Y,MATCH($AE$6,$B$1:$Y$1,),))-(VLOOKUP(AC46,B:Y,MATCH($AE$7,$B$1:$Y$1,),))</f>
        <v/>
      </c>
      <c r="AE46" s="27">
        <f>C46-G46</f>
        <v/>
      </c>
    </row>
    <row r="47" hidden="1" s="68">
      <c r="B47" s="24" t="inlineStr">
        <is>
          <t>2009-Q1</t>
        </is>
      </c>
      <c r="C47" s="25">
        <f>VLOOKUP(B47,'Data qoq'!$A:$AT,MATCH($C$1,'Data qoq'!$A$1:$AT$1,),)</f>
        <v/>
      </c>
      <c r="D47" s="25">
        <f>VLOOKUP(B47,'Data qoq'!$A:$AT,MATCH($D$1,'Data qoq'!$A$1:$AT$1,),)</f>
        <v/>
      </c>
      <c r="E47" s="25">
        <f>VLOOKUP(B47,'Data qoq'!$A:$AT,MATCH($E$1,'Data qoq'!$A$1:$AT$1,),)</f>
        <v/>
      </c>
      <c r="F47" s="25">
        <f>VLOOKUP(B47,'Data qoq'!$A:$AT,MATCH($F$1,'Data qoq'!$A$1:$AT$1,),)</f>
        <v/>
      </c>
      <c r="G47" s="25">
        <f>VLOOKUP(B47,'Data qoq'!$A:$AT,MATCH($G$1,'Data qoq'!$A$1:$AT$1,),)</f>
        <v/>
      </c>
      <c r="H47" s="25">
        <f>VLOOKUP(B47,'Data qoq'!$A:$AT,MATCH($H$1,'Data qoq'!$A$1:$AT$1,),)</f>
        <v/>
      </c>
      <c r="I47" s="25">
        <f>VLOOKUP(B47,'Data qoq'!$A:$AT,MATCH($I$1,'Data qoq'!$A$1:$AT$1,),)</f>
        <v/>
      </c>
      <c r="J47" s="25">
        <f>VLOOKUP(B47,'Data qoq'!$A:$AT,MATCH($J$1,'Data qoq'!$A$1:$AT$1,),)</f>
        <v/>
      </c>
      <c r="K47" s="25">
        <f>VLOOKUP(B47,'Data qoq'!$A:$AT,MATCH($K$1,'Data qoq'!$A$1:$AT$1,),)</f>
        <v/>
      </c>
      <c r="L47" s="25">
        <f>VLOOKUP(B47,'Data qoq'!$A:$AT,MATCH($L$1,'Data qoq'!$A$1:$AT$1,),)</f>
        <v/>
      </c>
      <c r="M47" s="25">
        <f>VLOOKUP(B47,'Data qoq'!$A:$AT,MATCH($M$1,'Data qoq'!$A$1:$AT$1,),)</f>
        <v/>
      </c>
      <c r="N47" s="25">
        <f>VLOOKUP(B47,'Data qoq'!$A:$AT,MATCH($N$1,'Data qoq'!$A$1:$AT$1,),)</f>
        <v/>
      </c>
      <c r="O47" s="25">
        <f>VLOOKUP(B47,'Data qoq'!$A:$AT,MATCH($C$1,'Data qoq'!$J$1:$AT$1,),)</f>
        <v/>
      </c>
      <c r="P47" s="25">
        <f>VLOOKUP(B47,'Data qoq'!$A:$AT,MATCH($P$1,'Data qoq'!$A$1:$AT$1,),)</f>
        <v/>
      </c>
      <c r="Q47" s="25">
        <f>VLOOKUP(B47,'Data qoq'!$A:$AT,MATCH($Q$1,'Data qoq'!$A$1:$AT$1,),)</f>
        <v/>
      </c>
      <c r="R47" s="25">
        <f>VLOOKUP(B47,'Data qoq'!$A:$AT,MATCH($E$1,'Data qoq'!$A$1:$AT$1,),)</f>
        <v/>
      </c>
      <c r="S47" s="25">
        <f>VLOOKUP(B47,'Data qoq'!$A:$AT,MATCH($S$1,'Data qoq'!$A$1:$AT$1,),)</f>
        <v/>
      </c>
      <c r="T47" s="25">
        <f>VLOOKUP(B47,'Data qoq'!$A:$AT,MATCH($T$1,'Data qoq'!$A$1:$AT$1,),)</f>
        <v/>
      </c>
      <c r="U47" s="25">
        <f>VLOOKUP(B47,'Data qoq'!$A:$AT,MATCH($U$1,'Data qoq'!$A$1:$AT$1,),)</f>
        <v/>
      </c>
      <c r="V47" s="25">
        <f>VLOOKUP(B47,'Data qoq'!$A:$AT,MATCH($V$1,'Data qoq'!$A$1:$AT$1,),)</f>
        <v/>
      </c>
      <c r="W47" s="25">
        <f>VLOOKUP(B47,'Data qoq'!$A:$AT,MATCH($W$1,'Data qoq'!$A$1:$AT$1,),)</f>
        <v/>
      </c>
      <c r="X47" s="25">
        <f>VLOOKUP(B47,'Data qoq'!$A:$AT,MATCH($X$1,'Data qoq'!$A$1:$AT$1,),)</f>
        <v/>
      </c>
      <c r="Y47" s="25">
        <f>VLOOKUP(B47,'Data qoq'!$A:$AT,MATCH($Y$1,'Data qoq'!$A$1:$AT$1,),)</f>
        <v/>
      </c>
      <c r="Z47" s="25">
        <f>VLOOKUP(B47,'Data qoq'!$A:$AU,MATCH($Z$1,'Data qoq'!$A$1:$AU$1,),)</f>
        <v/>
      </c>
      <c r="AA47" s="25">
        <f>VLOOKUP(B47,'Data qoq'!$A:$AU,MATCH($AA$1,'Data qoq'!$A$1:$AU$1,),)</f>
        <v/>
      </c>
      <c r="AC47" s="26">
        <f>B47</f>
        <v/>
      </c>
      <c r="AD47" s="27">
        <f>(VLOOKUP(AC47,B:Y,MATCH($AE$6,$B$1:$Y$1,),))-(VLOOKUP(AC47,B:Y,MATCH($AE$7,$B$1:$Y$1,),))</f>
        <v/>
      </c>
      <c r="AE47" s="27">
        <f>C47-G47</f>
        <v/>
      </c>
    </row>
    <row r="48" hidden="1" s="68">
      <c r="B48" s="24" t="inlineStr">
        <is>
          <t>2009-Q2</t>
        </is>
      </c>
      <c r="C48" s="25">
        <f>VLOOKUP(B48,'Data qoq'!$A:$AT,MATCH($C$1,'Data qoq'!$A$1:$AT$1,),)</f>
        <v/>
      </c>
      <c r="D48" s="25">
        <f>VLOOKUP(B48,'Data qoq'!$A:$AT,MATCH($D$1,'Data qoq'!$A$1:$AT$1,),)</f>
        <v/>
      </c>
      <c r="E48" s="25">
        <f>VLOOKUP(B48,'Data qoq'!$A:$AT,MATCH($E$1,'Data qoq'!$A$1:$AT$1,),)</f>
        <v/>
      </c>
      <c r="F48" s="25">
        <f>VLOOKUP(B48,'Data qoq'!$A:$AT,MATCH($F$1,'Data qoq'!$A$1:$AT$1,),)</f>
        <v/>
      </c>
      <c r="G48" s="25">
        <f>VLOOKUP(B48,'Data qoq'!$A:$AT,MATCH($G$1,'Data qoq'!$A$1:$AT$1,),)</f>
        <v/>
      </c>
      <c r="H48" s="25">
        <f>VLOOKUP(B48,'Data qoq'!$A:$AT,MATCH($H$1,'Data qoq'!$A$1:$AT$1,),)</f>
        <v/>
      </c>
      <c r="I48" s="25">
        <f>VLOOKUP(B48,'Data qoq'!$A:$AT,MATCH($I$1,'Data qoq'!$A$1:$AT$1,),)</f>
        <v/>
      </c>
      <c r="J48" s="25">
        <f>VLOOKUP(B48,'Data qoq'!$A:$AT,MATCH($J$1,'Data qoq'!$A$1:$AT$1,),)</f>
        <v/>
      </c>
      <c r="K48" s="25">
        <f>VLOOKUP(B48,'Data qoq'!$A:$AT,MATCH($K$1,'Data qoq'!$A$1:$AT$1,),)</f>
        <v/>
      </c>
      <c r="L48" s="25">
        <f>VLOOKUP(B48,'Data qoq'!$A:$AT,MATCH($L$1,'Data qoq'!$A$1:$AT$1,),)</f>
        <v/>
      </c>
      <c r="M48" s="25">
        <f>VLOOKUP(B48,'Data qoq'!$A:$AT,MATCH($M$1,'Data qoq'!$A$1:$AT$1,),)</f>
        <v/>
      </c>
      <c r="N48" s="25">
        <f>VLOOKUP(B48,'Data qoq'!$A:$AT,MATCH($N$1,'Data qoq'!$A$1:$AT$1,),)</f>
        <v/>
      </c>
      <c r="O48" s="25">
        <f>VLOOKUP(B48,'Data qoq'!$A:$AT,MATCH($C$1,'Data qoq'!$J$1:$AT$1,),)</f>
        <v/>
      </c>
      <c r="P48" s="25">
        <f>VLOOKUP(B48,'Data qoq'!$A:$AT,MATCH($P$1,'Data qoq'!$A$1:$AT$1,),)</f>
        <v/>
      </c>
      <c r="Q48" s="25">
        <f>VLOOKUP(B48,'Data qoq'!$A:$AT,MATCH($Q$1,'Data qoq'!$A$1:$AT$1,),)</f>
        <v/>
      </c>
      <c r="R48" s="25">
        <f>VLOOKUP(B48,'Data qoq'!$A:$AT,MATCH($E$1,'Data qoq'!$A$1:$AT$1,),)</f>
        <v/>
      </c>
      <c r="S48" s="25">
        <f>VLOOKUP(B48,'Data qoq'!$A:$AT,MATCH($S$1,'Data qoq'!$A$1:$AT$1,),)</f>
        <v/>
      </c>
      <c r="T48" s="25">
        <f>VLOOKUP(B48,'Data qoq'!$A:$AT,MATCH($T$1,'Data qoq'!$A$1:$AT$1,),)</f>
        <v/>
      </c>
      <c r="U48" s="25">
        <f>VLOOKUP(B48,'Data qoq'!$A:$AT,MATCH($U$1,'Data qoq'!$A$1:$AT$1,),)</f>
        <v/>
      </c>
      <c r="V48" s="25">
        <f>VLOOKUP(B48,'Data qoq'!$A:$AT,MATCH($V$1,'Data qoq'!$A$1:$AT$1,),)</f>
        <v/>
      </c>
      <c r="W48" s="25">
        <f>VLOOKUP(B48,'Data qoq'!$A:$AT,MATCH($W$1,'Data qoq'!$A$1:$AT$1,),)</f>
        <v/>
      </c>
      <c r="X48" s="25">
        <f>VLOOKUP(B48,'Data qoq'!$A:$AT,MATCH($X$1,'Data qoq'!$A$1:$AT$1,),)</f>
        <v/>
      </c>
      <c r="Y48" s="25">
        <f>VLOOKUP(B48,'Data qoq'!$A:$AT,MATCH($Y$1,'Data qoq'!$A$1:$AT$1,),)</f>
        <v/>
      </c>
      <c r="Z48" s="25">
        <f>VLOOKUP(B48,'Data qoq'!$A:$AU,MATCH($Z$1,'Data qoq'!$A$1:$AU$1,),)</f>
        <v/>
      </c>
      <c r="AA48" s="25">
        <f>VLOOKUP(B48,'Data qoq'!$A:$AU,MATCH($AA$1,'Data qoq'!$A$1:$AU$1,),)</f>
        <v/>
      </c>
      <c r="AC48" s="26">
        <f>B48</f>
        <v/>
      </c>
      <c r="AD48" s="27">
        <f>(VLOOKUP(AC48,B:Y,MATCH($AE$6,$B$1:$Y$1,),))-(VLOOKUP(AC48,B:Y,MATCH($AE$7,$B$1:$Y$1,),))</f>
        <v/>
      </c>
      <c r="AE48" s="27">
        <f>C48-G48</f>
        <v/>
      </c>
    </row>
    <row r="49" hidden="1" s="68">
      <c r="B49" s="24" t="inlineStr">
        <is>
          <t>2009-Q3</t>
        </is>
      </c>
      <c r="C49" s="25">
        <f>VLOOKUP(B49,'Data qoq'!$A:$AT,MATCH($C$1,'Data qoq'!$A$1:$AT$1,),)</f>
        <v/>
      </c>
      <c r="D49" s="25">
        <f>VLOOKUP(B49,'Data qoq'!$A:$AT,MATCH($D$1,'Data qoq'!$A$1:$AT$1,),)</f>
        <v/>
      </c>
      <c r="E49" s="25">
        <f>VLOOKUP(B49,'Data qoq'!$A:$AT,MATCH($E$1,'Data qoq'!$A$1:$AT$1,),)</f>
        <v/>
      </c>
      <c r="F49" s="25">
        <f>VLOOKUP(B49,'Data qoq'!$A:$AT,MATCH($F$1,'Data qoq'!$A$1:$AT$1,),)</f>
        <v/>
      </c>
      <c r="G49" s="25">
        <f>VLOOKUP(B49,'Data qoq'!$A:$AT,MATCH($G$1,'Data qoq'!$A$1:$AT$1,),)</f>
        <v/>
      </c>
      <c r="H49" s="25">
        <f>VLOOKUP(B49,'Data qoq'!$A:$AT,MATCH($H$1,'Data qoq'!$A$1:$AT$1,),)</f>
        <v/>
      </c>
      <c r="I49" s="25">
        <f>VLOOKUP(B49,'Data qoq'!$A:$AT,MATCH($I$1,'Data qoq'!$A$1:$AT$1,),)</f>
        <v/>
      </c>
      <c r="J49" s="25">
        <f>VLOOKUP(B49,'Data qoq'!$A:$AT,MATCH($J$1,'Data qoq'!$A$1:$AT$1,),)</f>
        <v/>
      </c>
      <c r="K49" s="25">
        <f>VLOOKUP(B49,'Data qoq'!$A:$AT,MATCH($K$1,'Data qoq'!$A$1:$AT$1,),)</f>
        <v/>
      </c>
      <c r="L49" s="25">
        <f>VLOOKUP(B49,'Data qoq'!$A:$AT,MATCH($L$1,'Data qoq'!$A$1:$AT$1,),)</f>
        <v/>
      </c>
      <c r="M49" s="25">
        <f>VLOOKUP(B49,'Data qoq'!$A:$AT,MATCH($M$1,'Data qoq'!$A$1:$AT$1,),)</f>
        <v/>
      </c>
      <c r="N49" s="25">
        <f>VLOOKUP(B49,'Data qoq'!$A:$AT,MATCH($N$1,'Data qoq'!$A$1:$AT$1,),)</f>
        <v/>
      </c>
      <c r="O49" s="25">
        <f>VLOOKUP(B49,'Data qoq'!$A:$AT,MATCH($C$1,'Data qoq'!$J$1:$AT$1,),)</f>
        <v/>
      </c>
      <c r="P49" s="25">
        <f>VLOOKUP(B49,'Data qoq'!$A:$AT,MATCH($P$1,'Data qoq'!$A$1:$AT$1,),)</f>
        <v/>
      </c>
      <c r="Q49" s="25">
        <f>VLOOKUP(B49,'Data qoq'!$A:$AT,MATCH($Q$1,'Data qoq'!$A$1:$AT$1,),)</f>
        <v/>
      </c>
      <c r="R49" s="25">
        <f>VLOOKUP(B49,'Data qoq'!$A:$AT,MATCH($E$1,'Data qoq'!$A$1:$AT$1,),)</f>
        <v/>
      </c>
      <c r="S49" s="25">
        <f>VLOOKUP(B49,'Data qoq'!$A:$AT,MATCH($S$1,'Data qoq'!$A$1:$AT$1,),)</f>
        <v/>
      </c>
      <c r="T49" s="25">
        <f>VLOOKUP(B49,'Data qoq'!$A:$AT,MATCH($T$1,'Data qoq'!$A$1:$AT$1,),)</f>
        <v/>
      </c>
      <c r="U49" s="25">
        <f>VLOOKUP(B49,'Data qoq'!$A:$AT,MATCH($U$1,'Data qoq'!$A$1:$AT$1,),)</f>
        <v/>
      </c>
      <c r="V49" s="25">
        <f>VLOOKUP(B49,'Data qoq'!$A:$AT,MATCH($V$1,'Data qoq'!$A$1:$AT$1,),)</f>
        <v/>
      </c>
      <c r="W49" s="25">
        <f>VLOOKUP(B49,'Data qoq'!$A:$AT,MATCH($W$1,'Data qoq'!$A$1:$AT$1,),)</f>
        <v/>
      </c>
      <c r="X49" s="25">
        <f>VLOOKUP(B49,'Data qoq'!$A:$AT,MATCH($X$1,'Data qoq'!$A$1:$AT$1,),)</f>
        <v/>
      </c>
      <c r="Y49" s="25">
        <f>VLOOKUP(B49,'Data qoq'!$A:$AT,MATCH($Y$1,'Data qoq'!$A$1:$AT$1,),)</f>
        <v/>
      </c>
      <c r="Z49" s="25">
        <f>VLOOKUP(B49,'Data qoq'!$A:$AU,MATCH($Z$1,'Data qoq'!$A$1:$AU$1,),)</f>
        <v/>
      </c>
      <c r="AA49" s="25">
        <f>VLOOKUP(B49,'Data qoq'!$A:$AU,MATCH($AA$1,'Data qoq'!$A$1:$AU$1,),)</f>
        <v/>
      </c>
      <c r="AC49" s="26">
        <f>B49</f>
        <v/>
      </c>
      <c r="AD49" s="27">
        <f>(VLOOKUP(AC49,B:Y,MATCH($AE$6,$B$1:$Y$1,),))-(VLOOKUP(AC49,B:Y,MATCH($AE$7,$B$1:$Y$1,),))</f>
        <v/>
      </c>
      <c r="AE49" s="27">
        <f>C49-G49</f>
        <v/>
      </c>
    </row>
    <row r="50" hidden="1" s="68">
      <c r="B50" s="24" t="inlineStr">
        <is>
          <t>2009-Q4</t>
        </is>
      </c>
      <c r="C50" s="25">
        <f>VLOOKUP(B50,'Data qoq'!$A:$AT,MATCH($C$1,'Data qoq'!$A$1:$AT$1,),)</f>
        <v/>
      </c>
      <c r="D50" s="25">
        <f>VLOOKUP(B50,'Data qoq'!$A:$AT,MATCH($D$1,'Data qoq'!$A$1:$AT$1,),)</f>
        <v/>
      </c>
      <c r="E50" s="25">
        <f>VLOOKUP(B50,'Data qoq'!$A:$AT,MATCH($E$1,'Data qoq'!$A$1:$AT$1,),)</f>
        <v/>
      </c>
      <c r="F50" s="25">
        <f>VLOOKUP(B50,'Data qoq'!$A:$AT,MATCH($F$1,'Data qoq'!$A$1:$AT$1,),)</f>
        <v/>
      </c>
      <c r="G50" s="25">
        <f>VLOOKUP(B50,'Data qoq'!$A:$AT,MATCH($G$1,'Data qoq'!$A$1:$AT$1,),)</f>
        <v/>
      </c>
      <c r="H50" s="25">
        <f>VLOOKUP(B50,'Data qoq'!$A:$AT,MATCH($H$1,'Data qoq'!$A$1:$AT$1,),)</f>
        <v/>
      </c>
      <c r="I50" s="25">
        <f>VLOOKUP(B50,'Data qoq'!$A:$AT,MATCH($I$1,'Data qoq'!$A$1:$AT$1,),)</f>
        <v/>
      </c>
      <c r="J50" s="25">
        <f>VLOOKUP(B50,'Data qoq'!$A:$AT,MATCH($J$1,'Data qoq'!$A$1:$AT$1,),)</f>
        <v/>
      </c>
      <c r="K50" s="25">
        <f>VLOOKUP(B50,'Data qoq'!$A:$AT,MATCH($K$1,'Data qoq'!$A$1:$AT$1,),)</f>
        <v/>
      </c>
      <c r="L50" s="25">
        <f>VLOOKUP(B50,'Data qoq'!$A:$AT,MATCH($L$1,'Data qoq'!$A$1:$AT$1,),)</f>
        <v/>
      </c>
      <c r="M50" s="25">
        <f>VLOOKUP(B50,'Data qoq'!$A:$AT,MATCH($M$1,'Data qoq'!$A$1:$AT$1,),)</f>
        <v/>
      </c>
      <c r="N50" s="25">
        <f>VLOOKUP(B50,'Data qoq'!$A:$AT,MATCH($N$1,'Data qoq'!$A$1:$AT$1,),)</f>
        <v/>
      </c>
      <c r="O50" s="25">
        <f>VLOOKUP(B50,'Data qoq'!$A:$AT,MATCH($C$1,'Data qoq'!$J$1:$AT$1,),)</f>
        <v/>
      </c>
      <c r="P50" s="25">
        <f>VLOOKUP(B50,'Data qoq'!$A:$AT,MATCH($P$1,'Data qoq'!$A$1:$AT$1,),)</f>
        <v/>
      </c>
      <c r="Q50" s="25">
        <f>VLOOKUP(B50,'Data qoq'!$A:$AT,MATCH($Q$1,'Data qoq'!$A$1:$AT$1,),)</f>
        <v/>
      </c>
      <c r="R50" s="25">
        <f>VLOOKUP(B50,'Data qoq'!$A:$AT,MATCH($E$1,'Data qoq'!$A$1:$AT$1,),)</f>
        <v/>
      </c>
      <c r="S50" s="25">
        <f>VLOOKUP(B50,'Data qoq'!$A:$AT,MATCH($S$1,'Data qoq'!$A$1:$AT$1,),)</f>
        <v/>
      </c>
      <c r="T50" s="25">
        <f>VLOOKUP(B50,'Data qoq'!$A:$AT,MATCH($T$1,'Data qoq'!$A$1:$AT$1,),)</f>
        <v/>
      </c>
      <c r="U50" s="25">
        <f>VLOOKUP(B50,'Data qoq'!$A:$AT,MATCH($U$1,'Data qoq'!$A$1:$AT$1,),)</f>
        <v/>
      </c>
      <c r="V50" s="25">
        <f>VLOOKUP(B50,'Data qoq'!$A:$AT,MATCH($V$1,'Data qoq'!$A$1:$AT$1,),)</f>
        <v/>
      </c>
      <c r="W50" s="25">
        <f>VLOOKUP(B50,'Data qoq'!$A:$AT,MATCH($W$1,'Data qoq'!$A$1:$AT$1,),)</f>
        <v/>
      </c>
      <c r="X50" s="25">
        <f>VLOOKUP(B50,'Data qoq'!$A:$AT,MATCH($X$1,'Data qoq'!$A$1:$AT$1,),)</f>
        <v/>
      </c>
      <c r="Y50" s="25">
        <f>VLOOKUP(B50,'Data qoq'!$A:$AT,MATCH($Y$1,'Data qoq'!$A$1:$AT$1,),)</f>
        <v/>
      </c>
      <c r="Z50" s="25">
        <f>VLOOKUP(B50,'Data qoq'!$A:$AU,MATCH($Z$1,'Data qoq'!$A$1:$AU$1,),)</f>
        <v/>
      </c>
      <c r="AA50" s="25">
        <f>VLOOKUP(B50,'Data qoq'!$A:$AU,MATCH($AA$1,'Data qoq'!$A$1:$AU$1,),)</f>
        <v/>
      </c>
      <c r="AC50" s="26">
        <f>B50</f>
        <v/>
      </c>
      <c r="AD50" s="27">
        <f>(VLOOKUP(AC50,B:Y,MATCH($AE$6,$B$1:$Y$1,),))-(VLOOKUP(AC50,B:Y,MATCH($AE$7,$B$1:$Y$1,),))</f>
        <v/>
      </c>
      <c r="AE50" s="27">
        <f>C50-G50</f>
        <v/>
      </c>
    </row>
    <row r="51" hidden="1" s="68">
      <c r="B51" s="24" t="inlineStr">
        <is>
          <t>2010-Q1</t>
        </is>
      </c>
      <c r="C51" s="25">
        <f>VLOOKUP(B51,'Data qoq'!$A:$AT,MATCH($C$1,'Data qoq'!$A$1:$AT$1,),)</f>
        <v/>
      </c>
      <c r="D51" s="25">
        <f>VLOOKUP(B51,'Data qoq'!$A:$AT,MATCH($D$1,'Data qoq'!$A$1:$AT$1,),)</f>
        <v/>
      </c>
      <c r="E51" s="25">
        <f>VLOOKUP(B51,'Data qoq'!$A:$AT,MATCH($E$1,'Data qoq'!$A$1:$AT$1,),)</f>
        <v/>
      </c>
      <c r="F51" s="25">
        <f>VLOOKUP(B51,'Data qoq'!$A:$AT,MATCH($F$1,'Data qoq'!$A$1:$AT$1,),)</f>
        <v/>
      </c>
      <c r="G51" s="25">
        <f>VLOOKUP(B51,'Data qoq'!$A:$AT,MATCH($G$1,'Data qoq'!$A$1:$AT$1,),)</f>
        <v/>
      </c>
      <c r="H51" s="25">
        <f>VLOOKUP(B51,'Data qoq'!$A:$AT,MATCH($H$1,'Data qoq'!$A$1:$AT$1,),)</f>
        <v/>
      </c>
      <c r="I51" s="25">
        <f>VLOOKUP(B51,'Data qoq'!$A:$AT,MATCH($I$1,'Data qoq'!$A$1:$AT$1,),)</f>
        <v/>
      </c>
      <c r="J51" s="25">
        <f>VLOOKUP(B51,'Data qoq'!$A:$AT,MATCH($J$1,'Data qoq'!$A$1:$AT$1,),)</f>
        <v/>
      </c>
      <c r="K51" s="25">
        <f>VLOOKUP(B51,'Data qoq'!$A:$AT,MATCH($K$1,'Data qoq'!$A$1:$AT$1,),)</f>
        <v/>
      </c>
      <c r="L51" s="25">
        <f>VLOOKUP(B51,'Data qoq'!$A:$AT,MATCH($L$1,'Data qoq'!$A$1:$AT$1,),)</f>
        <v/>
      </c>
      <c r="M51" s="25">
        <f>VLOOKUP(B51,'Data qoq'!$A:$AT,MATCH($M$1,'Data qoq'!$A$1:$AT$1,),)</f>
        <v/>
      </c>
      <c r="N51" s="25">
        <f>VLOOKUP(B51,'Data qoq'!$A:$AT,MATCH($N$1,'Data qoq'!$A$1:$AT$1,),)</f>
        <v/>
      </c>
      <c r="O51" s="25">
        <f>VLOOKUP(B51,'Data qoq'!$A:$AT,MATCH($C$1,'Data qoq'!$J$1:$AT$1,),)</f>
        <v/>
      </c>
      <c r="P51" s="25">
        <f>VLOOKUP(B51,'Data qoq'!$A:$AT,MATCH($P$1,'Data qoq'!$A$1:$AT$1,),)</f>
        <v/>
      </c>
      <c r="Q51" s="25">
        <f>VLOOKUP(B51,'Data qoq'!$A:$AT,MATCH($Q$1,'Data qoq'!$A$1:$AT$1,),)</f>
        <v/>
      </c>
      <c r="R51" s="25">
        <f>VLOOKUP(B51,'Data qoq'!$A:$AT,MATCH($E$1,'Data qoq'!$A$1:$AT$1,),)</f>
        <v/>
      </c>
      <c r="S51" s="25">
        <f>VLOOKUP(B51,'Data qoq'!$A:$AT,MATCH($S$1,'Data qoq'!$A$1:$AT$1,),)</f>
        <v/>
      </c>
      <c r="T51" s="25">
        <f>VLOOKUP(B51,'Data qoq'!$A:$AT,MATCH($T$1,'Data qoq'!$A$1:$AT$1,),)</f>
        <v/>
      </c>
      <c r="U51" s="25">
        <f>VLOOKUP(B51,'Data qoq'!$A:$AT,MATCH($U$1,'Data qoq'!$A$1:$AT$1,),)</f>
        <v/>
      </c>
      <c r="V51" s="25">
        <f>VLOOKUP(B51,'Data qoq'!$A:$AT,MATCH($V$1,'Data qoq'!$A$1:$AT$1,),)</f>
        <v/>
      </c>
      <c r="W51" s="25">
        <f>VLOOKUP(B51,'Data qoq'!$A:$AT,MATCH($W$1,'Data qoq'!$A$1:$AT$1,),)</f>
        <v/>
      </c>
      <c r="X51" s="25">
        <f>VLOOKUP(B51,'Data qoq'!$A:$AT,MATCH($X$1,'Data qoq'!$A$1:$AT$1,),)</f>
        <v/>
      </c>
      <c r="Y51" s="25">
        <f>VLOOKUP(B51,'Data qoq'!$A:$AT,MATCH($Y$1,'Data qoq'!$A$1:$AT$1,),)</f>
        <v/>
      </c>
      <c r="Z51" s="25">
        <f>VLOOKUP(B51,'Data qoq'!$A:$AU,MATCH($Z$1,'Data qoq'!$A$1:$AU$1,),)</f>
        <v/>
      </c>
      <c r="AA51" s="25">
        <f>VLOOKUP(B51,'Data qoq'!$A:$AU,MATCH($AA$1,'Data qoq'!$A$1:$AU$1,),)</f>
        <v/>
      </c>
      <c r="AC51" s="26">
        <f>B51</f>
        <v/>
      </c>
      <c r="AD51" s="27">
        <f>(VLOOKUP(AC51,B:Y,MATCH($AE$6,$B$1:$Y$1,),))-(VLOOKUP(AC51,B:Y,MATCH($AE$7,$B$1:$Y$1,),))</f>
        <v/>
      </c>
      <c r="AE51" s="27">
        <f>C51-G51</f>
        <v/>
      </c>
    </row>
    <row r="52" hidden="1" s="68">
      <c r="B52" s="24" t="inlineStr">
        <is>
          <t>2010-Q2</t>
        </is>
      </c>
      <c r="C52" s="25">
        <f>VLOOKUP(B52,'Data qoq'!$A:$AT,MATCH($C$1,'Data qoq'!$A$1:$AT$1,),)</f>
        <v/>
      </c>
      <c r="D52" s="25">
        <f>VLOOKUP(B52,'Data qoq'!$A:$AT,MATCH($D$1,'Data qoq'!$A$1:$AT$1,),)</f>
        <v/>
      </c>
      <c r="E52" s="25">
        <f>VLOOKUP(B52,'Data qoq'!$A:$AT,MATCH($E$1,'Data qoq'!$A$1:$AT$1,),)</f>
        <v/>
      </c>
      <c r="F52" s="25">
        <f>VLOOKUP(B52,'Data qoq'!$A:$AT,MATCH($F$1,'Data qoq'!$A$1:$AT$1,),)</f>
        <v/>
      </c>
      <c r="G52" s="25">
        <f>VLOOKUP(B52,'Data qoq'!$A:$AT,MATCH($G$1,'Data qoq'!$A$1:$AT$1,),)</f>
        <v/>
      </c>
      <c r="H52" s="25">
        <f>VLOOKUP(B52,'Data qoq'!$A:$AT,MATCH($H$1,'Data qoq'!$A$1:$AT$1,),)</f>
        <v/>
      </c>
      <c r="I52" s="25">
        <f>VLOOKUP(B52,'Data qoq'!$A:$AT,MATCH($I$1,'Data qoq'!$A$1:$AT$1,),)</f>
        <v/>
      </c>
      <c r="J52" s="25">
        <f>VLOOKUP(B52,'Data qoq'!$A:$AT,MATCH($J$1,'Data qoq'!$A$1:$AT$1,),)</f>
        <v/>
      </c>
      <c r="K52" s="25">
        <f>VLOOKUP(B52,'Data qoq'!$A:$AT,MATCH($K$1,'Data qoq'!$A$1:$AT$1,),)</f>
        <v/>
      </c>
      <c r="L52" s="25">
        <f>VLOOKUP(B52,'Data qoq'!$A:$AT,MATCH($L$1,'Data qoq'!$A$1:$AT$1,),)</f>
        <v/>
      </c>
      <c r="M52" s="25">
        <f>VLOOKUP(B52,'Data qoq'!$A:$AT,MATCH($M$1,'Data qoq'!$A$1:$AT$1,),)</f>
        <v/>
      </c>
      <c r="N52" s="25">
        <f>VLOOKUP(B52,'Data qoq'!$A:$AT,MATCH($N$1,'Data qoq'!$A$1:$AT$1,),)</f>
        <v/>
      </c>
      <c r="O52" s="25">
        <f>VLOOKUP(B52,'Data qoq'!$A:$AT,MATCH($C$1,'Data qoq'!$J$1:$AT$1,),)</f>
        <v/>
      </c>
      <c r="P52" s="25">
        <f>VLOOKUP(B52,'Data qoq'!$A:$AT,MATCH($P$1,'Data qoq'!$A$1:$AT$1,),)</f>
        <v/>
      </c>
      <c r="Q52" s="25">
        <f>VLOOKUP(B52,'Data qoq'!$A:$AT,MATCH($Q$1,'Data qoq'!$A$1:$AT$1,),)</f>
        <v/>
      </c>
      <c r="R52" s="25">
        <f>VLOOKUP(B52,'Data qoq'!$A:$AT,MATCH($E$1,'Data qoq'!$A$1:$AT$1,),)</f>
        <v/>
      </c>
      <c r="S52" s="25">
        <f>VLOOKUP(B52,'Data qoq'!$A:$AT,MATCH($S$1,'Data qoq'!$A$1:$AT$1,),)</f>
        <v/>
      </c>
      <c r="T52" s="25">
        <f>VLOOKUP(B52,'Data qoq'!$A:$AT,MATCH($T$1,'Data qoq'!$A$1:$AT$1,),)</f>
        <v/>
      </c>
      <c r="U52" s="25">
        <f>VLOOKUP(B52,'Data qoq'!$A:$AT,MATCH($U$1,'Data qoq'!$A$1:$AT$1,),)</f>
        <v/>
      </c>
      <c r="V52" s="25">
        <f>VLOOKUP(B52,'Data qoq'!$A:$AT,MATCH($V$1,'Data qoq'!$A$1:$AT$1,),)</f>
        <v/>
      </c>
      <c r="W52" s="25">
        <f>VLOOKUP(B52,'Data qoq'!$A:$AT,MATCH($W$1,'Data qoq'!$A$1:$AT$1,),)</f>
        <v/>
      </c>
      <c r="X52" s="25">
        <f>VLOOKUP(B52,'Data qoq'!$A:$AT,MATCH($X$1,'Data qoq'!$A$1:$AT$1,),)</f>
        <v/>
      </c>
      <c r="Y52" s="25">
        <f>VLOOKUP(B52,'Data qoq'!$A:$AT,MATCH($Y$1,'Data qoq'!$A$1:$AT$1,),)</f>
        <v/>
      </c>
      <c r="Z52" s="25">
        <f>VLOOKUP(B52,'Data qoq'!$A:$AU,MATCH($Z$1,'Data qoq'!$A$1:$AU$1,),)</f>
        <v/>
      </c>
      <c r="AA52" s="25">
        <f>VLOOKUP(B52,'Data qoq'!$A:$AU,MATCH($AA$1,'Data qoq'!$A$1:$AU$1,),)</f>
        <v/>
      </c>
      <c r="AC52" s="26">
        <f>B52</f>
        <v/>
      </c>
      <c r="AD52" s="27">
        <f>(VLOOKUP(AC52,B:Y,MATCH($AE$6,$B$1:$Y$1,),))-(VLOOKUP(AC52,B:Y,MATCH($AE$7,$B$1:$Y$1,),))</f>
        <v/>
      </c>
      <c r="AE52" s="27">
        <f>C52-G52</f>
        <v/>
      </c>
    </row>
    <row r="53" hidden="1" s="68">
      <c r="B53" s="24" t="inlineStr">
        <is>
          <t>2010-Q3</t>
        </is>
      </c>
      <c r="C53" s="25">
        <f>VLOOKUP(B53,'Data qoq'!$A:$AT,MATCH($C$1,'Data qoq'!$A$1:$AT$1,),)</f>
        <v/>
      </c>
      <c r="D53" s="25">
        <f>VLOOKUP(B53,'Data qoq'!$A:$AT,MATCH($D$1,'Data qoq'!$A$1:$AT$1,),)</f>
        <v/>
      </c>
      <c r="E53" s="25">
        <f>VLOOKUP(B53,'Data qoq'!$A:$AT,MATCH($E$1,'Data qoq'!$A$1:$AT$1,),)</f>
        <v/>
      </c>
      <c r="F53" s="25">
        <f>VLOOKUP(B53,'Data qoq'!$A:$AT,MATCH($F$1,'Data qoq'!$A$1:$AT$1,),)</f>
        <v/>
      </c>
      <c r="G53" s="25">
        <f>VLOOKUP(B53,'Data qoq'!$A:$AT,MATCH($G$1,'Data qoq'!$A$1:$AT$1,),)</f>
        <v/>
      </c>
      <c r="H53" s="25">
        <f>VLOOKUP(B53,'Data qoq'!$A:$AT,MATCH($H$1,'Data qoq'!$A$1:$AT$1,),)</f>
        <v/>
      </c>
      <c r="I53" s="25">
        <f>VLOOKUP(B53,'Data qoq'!$A:$AT,MATCH($I$1,'Data qoq'!$A$1:$AT$1,),)</f>
        <v/>
      </c>
      <c r="J53" s="25">
        <f>VLOOKUP(B53,'Data qoq'!$A:$AT,MATCH($J$1,'Data qoq'!$A$1:$AT$1,),)</f>
        <v/>
      </c>
      <c r="K53" s="25">
        <f>VLOOKUP(B53,'Data qoq'!$A:$AT,MATCH($K$1,'Data qoq'!$A$1:$AT$1,),)</f>
        <v/>
      </c>
      <c r="L53" s="25">
        <f>VLOOKUP(B53,'Data qoq'!$A:$AT,MATCH($L$1,'Data qoq'!$A$1:$AT$1,),)</f>
        <v/>
      </c>
      <c r="M53" s="25">
        <f>VLOOKUP(B53,'Data qoq'!$A:$AT,MATCH($M$1,'Data qoq'!$A$1:$AT$1,),)</f>
        <v/>
      </c>
      <c r="N53" s="25">
        <f>VLOOKUP(B53,'Data qoq'!$A:$AT,MATCH($N$1,'Data qoq'!$A$1:$AT$1,),)</f>
        <v/>
      </c>
      <c r="O53" s="25">
        <f>VLOOKUP(B53,'Data qoq'!$A:$AT,MATCH($C$1,'Data qoq'!$J$1:$AT$1,),)</f>
        <v/>
      </c>
      <c r="P53" s="25">
        <f>VLOOKUP(B53,'Data qoq'!$A:$AT,MATCH($P$1,'Data qoq'!$A$1:$AT$1,),)</f>
        <v/>
      </c>
      <c r="Q53" s="25">
        <f>VLOOKUP(B53,'Data qoq'!$A:$AT,MATCH($Q$1,'Data qoq'!$A$1:$AT$1,),)</f>
        <v/>
      </c>
      <c r="R53" s="25">
        <f>VLOOKUP(B53,'Data qoq'!$A:$AT,MATCH($E$1,'Data qoq'!$A$1:$AT$1,),)</f>
        <v/>
      </c>
      <c r="S53" s="25">
        <f>VLOOKUP(B53,'Data qoq'!$A:$AT,MATCH($S$1,'Data qoq'!$A$1:$AT$1,),)</f>
        <v/>
      </c>
      <c r="T53" s="25">
        <f>VLOOKUP(B53,'Data qoq'!$A:$AT,MATCH($T$1,'Data qoq'!$A$1:$AT$1,),)</f>
        <v/>
      </c>
      <c r="U53" s="25">
        <f>VLOOKUP(B53,'Data qoq'!$A:$AT,MATCH($U$1,'Data qoq'!$A$1:$AT$1,),)</f>
        <v/>
      </c>
      <c r="V53" s="25">
        <f>VLOOKUP(B53,'Data qoq'!$A:$AT,MATCH($V$1,'Data qoq'!$A$1:$AT$1,),)</f>
        <v/>
      </c>
      <c r="W53" s="25">
        <f>VLOOKUP(B53,'Data qoq'!$A:$AT,MATCH($W$1,'Data qoq'!$A$1:$AT$1,),)</f>
        <v/>
      </c>
      <c r="X53" s="25">
        <f>VLOOKUP(B53,'Data qoq'!$A:$AT,MATCH($X$1,'Data qoq'!$A$1:$AT$1,),)</f>
        <v/>
      </c>
      <c r="Y53" s="25">
        <f>VLOOKUP(B53,'Data qoq'!$A:$AT,MATCH($Y$1,'Data qoq'!$A$1:$AT$1,),)</f>
        <v/>
      </c>
      <c r="Z53" s="25">
        <f>VLOOKUP(B53,'Data qoq'!$A:$AU,MATCH($Z$1,'Data qoq'!$A$1:$AU$1,),)</f>
        <v/>
      </c>
      <c r="AA53" s="25">
        <f>VLOOKUP(B53,'Data qoq'!$A:$AU,MATCH($AA$1,'Data qoq'!$A$1:$AU$1,),)</f>
        <v/>
      </c>
      <c r="AC53" s="26">
        <f>B53</f>
        <v/>
      </c>
      <c r="AD53" s="27">
        <f>(VLOOKUP(AC53,B:Y,MATCH($AE$6,$B$1:$Y$1,),))-(VLOOKUP(AC53,B:Y,MATCH($AE$7,$B$1:$Y$1,),))</f>
        <v/>
      </c>
      <c r="AE53" s="27">
        <f>C53-G53</f>
        <v/>
      </c>
    </row>
    <row r="54" hidden="1" s="68">
      <c r="B54" s="24" t="inlineStr">
        <is>
          <t>2010-Q4</t>
        </is>
      </c>
      <c r="C54" s="25">
        <f>VLOOKUP(B54,'Data qoq'!$A:$AT,MATCH($C$1,'Data qoq'!$A$1:$AT$1,),)</f>
        <v/>
      </c>
      <c r="D54" s="25">
        <f>VLOOKUP(B54,'Data qoq'!$A:$AT,MATCH($D$1,'Data qoq'!$A$1:$AT$1,),)</f>
        <v/>
      </c>
      <c r="E54" s="25">
        <f>VLOOKUP(B54,'Data qoq'!$A:$AT,MATCH($E$1,'Data qoq'!$A$1:$AT$1,),)</f>
        <v/>
      </c>
      <c r="F54" s="25">
        <f>VLOOKUP(B54,'Data qoq'!$A:$AT,MATCH($F$1,'Data qoq'!$A$1:$AT$1,),)</f>
        <v/>
      </c>
      <c r="G54" s="25">
        <f>VLOOKUP(B54,'Data qoq'!$A:$AT,MATCH($G$1,'Data qoq'!$A$1:$AT$1,),)</f>
        <v/>
      </c>
      <c r="H54" s="25">
        <f>VLOOKUP(B54,'Data qoq'!$A:$AT,MATCH($H$1,'Data qoq'!$A$1:$AT$1,),)</f>
        <v/>
      </c>
      <c r="I54" s="25">
        <f>VLOOKUP(B54,'Data qoq'!$A:$AT,MATCH($I$1,'Data qoq'!$A$1:$AT$1,),)</f>
        <v/>
      </c>
      <c r="J54" s="25">
        <f>VLOOKUP(B54,'Data qoq'!$A:$AT,MATCH($J$1,'Data qoq'!$A$1:$AT$1,),)</f>
        <v/>
      </c>
      <c r="K54" s="25">
        <f>VLOOKUP(B54,'Data qoq'!$A:$AT,MATCH($K$1,'Data qoq'!$A$1:$AT$1,),)</f>
        <v/>
      </c>
      <c r="L54" s="25">
        <f>VLOOKUP(B54,'Data qoq'!$A:$AT,MATCH($L$1,'Data qoq'!$A$1:$AT$1,),)</f>
        <v/>
      </c>
      <c r="M54" s="25">
        <f>VLOOKUP(B54,'Data qoq'!$A:$AT,MATCH($M$1,'Data qoq'!$A$1:$AT$1,),)</f>
        <v/>
      </c>
      <c r="N54" s="25">
        <f>VLOOKUP(B54,'Data qoq'!$A:$AT,MATCH($N$1,'Data qoq'!$A$1:$AT$1,),)</f>
        <v/>
      </c>
      <c r="O54" s="25">
        <f>VLOOKUP(B54,'Data qoq'!$A:$AT,MATCH($C$1,'Data qoq'!$J$1:$AT$1,),)</f>
        <v/>
      </c>
      <c r="P54" s="25">
        <f>VLOOKUP(B54,'Data qoq'!$A:$AT,MATCH($P$1,'Data qoq'!$A$1:$AT$1,),)</f>
        <v/>
      </c>
      <c r="Q54" s="25">
        <f>VLOOKUP(B54,'Data qoq'!$A:$AT,MATCH($Q$1,'Data qoq'!$A$1:$AT$1,),)</f>
        <v/>
      </c>
      <c r="R54" s="25">
        <f>VLOOKUP(B54,'Data qoq'!$A:$AT,MATCH($E$1,'Data qoq'!$A$1:$AT$1,),)</f>
        <v/>
      </c>
      <c r="S54" s="25">
        <f>VLOOKUP(B54,'Data qoq'!$A:$AT,MATCH($S$1,'Data qoq'!$A$1:$AT$1,),)</f>
        <v/>
      </c>
      <c r="T54" s="25">
        <f>VLOOKUP(B54,'Data qoq'!$A:$AT,MATCH($T$1,'Data qoq'!$A$1:$AT$1,),)</f>
        <v/>
      </c>
      <c r="U54" s="25">
        <f>VLOOKUP(B54,'Data qoq'!$A:$AT,MATCH($U$1,'Data qoq'!$A$1:$AT$1,),)</f>
        <v/>
      </c>
      <c r="V54" s="25">
        <f>VLOOKUP(B54,'Data qoq'!$A:$AT,MATCH($V$1,'Data qoq'!$A$1:$AT$1,),)</f>
        <v/>
      </c>
      <c r="W54" s="25">
        <f>VLOOKUP(B54,'Data qoq'!$A:$AT,MATCH($W$1,'Data qoq'!$A$1:$AT$1,),)</f>
        <v/>
      </c>
      <c r="X54" s="25">
        <f>VLOOKUP(B54,'Data qoq'!$A:$AT,MATCH($X$1,'Data qoq'!$A$1:$AT$1,),)</f>
        <v/>
      </c>
      <c r="Y54" s="25">
        <f>VLOOKUP(B54,'Data qoq'!$A:$AT,MATCH($Y$1,'Data qoq'!$A$1:$AT$1,),)</f>
        <v/>
      </c>
      <c r="Z54" s="25">
        <f>VLOOKUP(B54,'Data qoq'!$A:$AU,MATCH($Z$1,'Data qoq'!$A$1:$AU$1,),)</f>
        <v/>
      </c>
      <c r="AA54" s="25">
        <f>VLOOKUP(B54,'Data qoq'!$A:$AU,MATCH($AA$1,'Data qoq'!$A$1:$AU$1,),)</f>
        <v/>
      </c>
      <c r="AC54" s="26">
        <f>B54</f>
        <v/>
      </c>
      <c r="AD54" s="27">
        <f>(VLOOKUP(AC54,B:Y,MATCH($AE$6,$B$1:$Y$1,),))-(VLOOKUP(AC54,B:Y,MATCH($AE$7,$B$1:$Y$1,),))</f>
        <v/>
      </c>
      <c r="AE54" s="27">
        <f>C54-G54</f>
        <v/>
      </c>
    </row>
    <row r="55" hidden="1" s="68">
      <c r="B55" s="24" t="inlineStr">
        <is>
          <t>2011-Q1</t>
        </is>
      </c>
      <c r="C55" s="25">
        <f>VLOOKUP(B55,'Data qoq'!$A:$AT,MATCH($C$1,'Data qoq'!$A$1:$AT$1,),)</f>
        <v/>
      </c>
      <c r="D55" s="25">
        <f>VLOOKUP(B55,'Data qoq'!$A:$AT,MATCH($D$1,'Data qoq'!$A$1:$AT$1,),)</f>
        <v/>
      </c>
      <c r="E55" s="25">
        <f>VLOOKUP(B55,'Data qoq'!$A:$AT,MATCH($E$1,'Data qoq'!$A$1:$AT$1,),)</f>
        <v/>
      </c>
      <c r="F55" s="25">
        <f>VLOOKUP(B55,'Data qoq'!$A:$AT,MATCH($F$1,'Data qoq'!$A$1:$AT$1,),)</f>
        <v/>
      </c>
      <c r="G55" s="25">
        <f>VLOOKUP(B55,'Data qoq'!$A:$AT,MATCH($G$1,'Data qoq'!$A$1:$AT$1,),)</f>
        <v/>
      </c>
      <c r="H55" s="25">
        <f>VLOOKUP(B55,'Data qoq'!$A:$AT,MATCH($H$1,'Data qoq'!$A$1:$AT$1,),)</f>
        <v/>
      </c>
      <c r="I55" s="25">
        <f>VLOOKUP(B55,'Data qoq'!$A:$AT,MATCH($I$1,'Data qoq'!$A$1:$AT$1,),)</f>
        <v/>
      </c>
      <c r="J55" s="25">
        <f>VLOOKUP(B55,'Data qoq'!$A:$AT,MATCH($J$1,'Data qoq'!$A$1:$AT$1,),)</f>
        <v/>
      </c>
      <c r="K55" s="25">
        <f>VLOOKUP(B55,'Data qoq'!$A:$AT,MATCH($K$1,'Data qoq'!$A$1:$AT$1,),)</f>
        <v/>
      </c>
      <c r="L55" s="25">
        <f>VLOOKUP(B55,'Data qoq'!$A:$AT,MATCH($L$1,'Data qoq'!$A$1:$AT$1,),)</f>
        <v/>
      </c>
      <c r="M55" s="25">
        <f>VLOOKUP(B55,'Data qoq'!$A:$AT,MATCH($M$1,'Data qoq'!$A$1:$AT$1,),)</f>
        <v/>
      </c>
      <c r="N55" s="25">
        <f>VLOOKUP(B55,'Data qoq'!$A:$AT,MATCH($N$1,'Data qoq'!$A$1:$AT$1,),)</f>
        <v/>
      </c>
      <c r="O55" s="25">
        <f>VLOOKUP(B55,'Data qoq'!$A:$AT,MATCH($C$1,'Data qoq'!$J$1:$AT$1,),)</f>
        <v/>
      </c>
      <c r="P55" s="25">
        <f>VLOOKUP(B55,'Data qoq'!$A:$AT,MATCH($P$1,'Data qoq'!$A$1:$AT$1,),)</f>
        <v/>
      </c>
      <c r="Q55" s="25">
        <f>VLOOKUP(B55,'Data qoq'!$A:$AT,MATCH($Q$1,'Data qoq'!$A$1:$AT$1,),)</f>
        <v/>
      </c>
      <c r="R55" s="25">
        <f>VLOOKUP(B55,'Data qoq'!$A:$AT,MATCH($E$1,'Data qoq'!$A$1:$AT$1,),)</f>
        <v/>
      </c>
      <c r="S55" s="25">
        <f>VLOOKUP(B55,'Data qoq'!$A:$AT,MATCH($S$1,'Data qoq'!$A$1:$AT$1,),)</f>
        <v/>
      </c>
      <c r="T55" s="25">
        <f>VLOOKUP(B55,'Data qoq'!$A:$AT,MATCH($T$1,'Data qoq'!$A$1:$AT$1,),)</f>
        <v/>
      </c>
      <c r="U55" s="25">
        <f>VLOOKUP(B55,'Data qoq'!$A:$AT,MATCH($U$1,'Data qoq'!$A$1:$AT$1,),)</f>
        <v/>
      </c>
      <c r="V55" s="25">
        <f>VLOOKUP(B55,'Data qoq'!$A:$AT,MATCH($V$1,'Data qoq'!$A$1:$AT$1,),)</f>
        <v/>
      </c>
      <c r="W55" s="25">
        <f>VLOOKUP(B55,'Data qoq'!$A:$AT,MATCH($W$1,'Data qoq'!$A$1:$AT$1,),)</f>
        <v/>
      </c>
      <c r="X55" s="25">
        <f>VLOOKUP(B55,'Data qoq'!$A:$AT,MATCH($X$1,'Data qoq'!$A$1:$AT$1,),)</f>
        <v/>
      </c>
      <c r="Y55" s="25">
        <f>VLOOKUP(B55,'Data qoq'!$A:$AT,MATCH($Y$1,'Data qoq'!$A$1:$AT$1,),)</f>
        <v/>
      </c>
      <c r="Z55" s="25">
        <f>VLOOKUP(B55,'Data qoq'!$A:$AU,MATCH($Z$1,'Data qoq'!$A$1:$AU$1,),)</f>
        <v/>
      </c>
      <c r="AA55" s="25">
        <f>VLOOKUP(B55,'Data qoq'!$A:$AU,MATCH($AA$1,'Data qoq'!$A$1:$AU$1,),)</f>
        <v/>
      </c>
      <c r="AC55" s="26">
        <f>B55</f>
        <v/>
      </c>
      <c r="AD55" s="27">
        <f>(VLOOKUP(AC55,B:Y,MATCH($AE$6,$B$1:$Y$1,),))-(VLOOKUP(AC55,B:Y,MATCH($AE$7,$B$1:$Y$1,),))</f>
        <v/>
      </c>
      <c r="AE55" s="27">
        <f>C55-G55</f>
        <v/>
      </c>
    </row>
    <row r="56" hidden="1" s="68">
      <c r="B56" s="24" t="inlineStr">
        <is>
          <t>2011-Q2</t>
        </is>
      </c>
      <c r="C56" s="25">
        <f>VLOOKUP(B56,'Data qoq'!$A:$AT,MATCH($C$1,'Data qoq'!$A$1:$AT$1,),)</f>
        <v/>
      </c>
      <c r="D56" s="25">
        <f>VLOOKUP(B56,'Data qoq'!$A:$AT,MATCH($D$1,'Data qoq'!$A$1:$AT$1,),)</f>
        <v/>
      </c>
      <c r="E56" s="25">
        <f>VLOOKUP(B56,'Data qoq'!$A:$AT,MATCH($E$1,'Data qoq'!$A$1:$AT$1,),)</f>
        <v/>
      </c>
      <c r="F56" s="25">
        <f>VLOOKUP(B56,'Data qoq'!$A:$AT,MATCH($F$1,'Data qoq'!$A$1:$AT$1,),)</f>
        <v/>
      </c>
      <c r="G56" s="25">
        <f>VLOOKUP(B56,'Data qoq'!$A:$AT,MATCH($G$1,'Data qoq'!$A$1:$AT$1,),)</f>
        <v/>
      </c>
      <c r="H56" s="25">
        <f>VLOOKUP(B56,'Data qoq'!$A:$AT,MATCH($H$1,'Data qoq'!$A$1:$AT$1,),)</f>
        <v/>
      </c>
      <c r="I56" s="25">
        <f>VLOOKUP(B56,'Data qoq'!$A:$AT,MATCH($I$1,'Data qoq'!$A$1:$AT$1,),)</f>
        <v/>
      </c>
      <c r="J56" s="25">
        <f>VLOOKUP(B56,'Data qoq'!$A:$AT,MATCH($J$1,'Data qoq'!$A$1:$AT$1,),)</f>
        <v/>
      </c>
      <c r="K56" s="25">
        <f>VLOOKUP(B56,'Data qoq'!$A:$AT,MATCH($K$1,'Data qoq'!$A$1:$AT$1,),)</f>
        <v/>
      </c>
      <c r="L56" s="25">
        <f>VLOOKUP(B56,'Data qoq'!$A:$AT,MATCH($L$1,'Data qoq'!$A$1:$AT$1,),)</f>
        <v/>
      </c>
      <c r="M56" s="25">
        <f>VLOOKUP(B56,'Data qoq'!$A:$AT,MATCH($M$1,'Data qoq'!$A$1:$AT$1,),)</f>
        <v/>
      </c>
      <c r="N56" s="25">
        <f>VLOOKUP(B56,'Data qoq'!$A:$AT,MATCH($N$1,'Data qoq'!$A$1:$AT$1,),)</f>
        <v/>
      </c>
      <c r="O56" s="25">
        <f>VLOOKUP(B56,'Data qoq'!$A:$AT,MATCH($C$1,'Data qoq'!$J$1:$AT$1,),)</f>
        <v/>
      </c>
      <c r="P56" s="25">
        <f>VLOOKUP(B56,'Data qoq'!$A:$AT,MATCH($P$1,'Data qoq'!$A$1:$AT$1,),)</f>
        <v/>
      </c>
      <c r="Q56" s="25">
        <f>VLOOKUP(B56,'Data qoq'!$A:$AT,MATCH($Q$1,'Data qoq'!$A$1:$AT$1,),)</f>
        <v/>
      </c>
      <c r="R56" s="25">
        <f>VLOOKUP(B56,'Data qoq'!$A:$AT,MATCH($E$1,'Data qoq'!$A$1:$AT$1,),)</f>
        <v/>
      </c>
      <c r="S56" s="25">
        <f>VLOOKUP(B56,'Data qoq'!$A:$AT,MATCH($S$1,'Data qoq'!$A$1:$AT$1,),)</f>
        <v/>
      </c>
      <c r="T56" s="25">
        <f>VLOOKUP(B56,'Data qoq'!$A:$AT,MATCH($T$1,'Data qoq'!$A$1:$AT$1,),)</f>
        <v/>
      </c>
      <c r="U56" s="25">
        <f>VLOOKUP(B56,'Data qoq'!$A:$AT,MATCH($U$1,'Data qoq'!$A$1:$AT$1,),)</f>
        <v/>
      </c>
      <c r="V56" s="25">
        <f>VLOOKUP(B56,'Data qoq'!$A:$AT,MATCH($V$1,'Data qoq'!$A$1:$AT$1,),)</f>
        <v/>
      </c>
      <c r="W56" s="25">
        <f>VLOOKUP(B56,'Data qoq'!$A:$AT,MATCH($W$1,'Data qoq'!$A$1:$AT$1,),)</f>
        <v/>
      </c>
      <c r="X56" s="25">
        <f>VLOOKUP(B56,'Data qoq'!$A:$AT,MATCH($X$1,'Data qoq'!$A$1:$AT$1,),)</f>
        <v/>
      </c>
      <c r="Y56" s="25">
        <f>VLOOKUP(B56,'Data qoq'!$A:$AT,MATCH($Y$1,'Data qoq'!$A$1:$AT$1,),)</f>
        <v/>
      </c>
      <c r="Z56" s="25">
        <f>VLOOKUP(B56,'Data qoq'!$A:$AU,MATCH($Z$1,'Data qoq'!$A$1:$AU$1,),)</f>
        <v/>
      </c>
      <c r="AA56" s="25">
        <f>VLOOKUP(B56,'Data qoq'!$A:$AU,MATCH($AA$1,'Data qoq'!$A$1:$AU$1,),)</f>
        <v/>
      </c>
      <c r="AC56" s="26">
        <f>B56</f>
        <v/>
      </c>
      <c r="AD56" s="27">
        <f>(VLOOKUP(AC56,B:Y,MATCH($AE$6,$B$1:$Y$1,),))-(VLOOKUP(AC56,B:Y,MATCH($AE$7,$B$1:$Y$1,),))</f>
        <v/>
      </c>
      <c r="AE56" s="27">
        <f>C56-G56</f>
        <v/>
      </c>
    </row>
    <row r="57" hidden="1" s="68">
      <c r="B57" s="24" t="inlineStr">
        <is>
          <t>2011-Q3</t>
        </is>
      </c>
      <c r="C57" s="25">
        <f>VLOOKUP(B57,'Data qoq'!$A:$AT,MATCH($C$1,'Data qoq'!$A$1:$AT$1,),)</f>
        <v/>
      </c>
      <c r="D57" s="25">
        <f>VLOOKUP(B57,'Data qoq'!$A:$AT,MATCH($D$1,'Data qoq'!$A$1:$AT$1,),)</f>
        <v/>
      </c>
      <c r="E57" s="25">
        <f>VLOOKUP(B57,'Data qoq'!$A:$AT,MATCH($E$1,'Data qoq'!$A$1:$AT$1,),)</f>
        <v/>
      </c>
      <c r="F57" s="25">
        <f>VLOOKUP(B57,'Data qoq'!$A:$AT,MATCH($F$1,'Data qoq'!$A$1:$AT$1,),)</f>
        <v/>
      </c>
      <c r="G57" s="25">
        <f>VLOOKUP(B57,'Data qoq'!$A:$AT,MATCH($G$1,'Data qoq'!$A$1:$AT$1,),)</f>
        <v/>
      </c>
      <c r="H57" s="25">
        <f>VLOOKUP(B57,'Data qoq'!$A:$AT,MATCH($H$1,'Data qoq'!$A$1:$AT$1,),)</f>
        <v/>
      </c>
      <c r="I57" s="25">
        <f>VLOOKUP(B57,'Data qoq'!$A:$AT,MATCH($I$1,'Data qoq'!$A$1:$AT$1,),)</f>
        <v/>
      </c>
      <c r="J57" s="25">
        <f>VLOOKUP(B57,'Data qoq'!$A:$AT,MATCH($J$1,'Data qoq'!$A$1:$AT$1,),)</f>
        <v/>
      </c>
      <c r="K57" s="25">
        <f>VLOOKUP(B57,'Data qoq'!$A:$AT,MATCH($K$1,'Data qoq'!$A$1:$AT$1,),)</f>
        <v/>
      </c>
      <c r="L57" s="25">
        <f>VLOOKUP(B57,'Data qoq'!$A:$AT,MATCH($L$1,'Data qoq'!$A$1:$AT$1,),)</f>
        <v/>
      </c>
      <c r="M57" s="25">
        <f>VLOOKUP(B57,'Data qoq'!$A:$AT,MATCH($M$1,'Data qoq'!$A$1:$AT$1,),)</f>
        <v/>
      </c>
      <c r="N57" s="25">
        <f>VLOOKUP(B57,'Data qoq'!$A:$AT,MATCH($N$1,'Data qoq'!$A$1:$AT$1,),)</f>
        <v/>
      </c>
      <c r="O57" s="25">
        <f>VLOOKUP(B57,'Data qoq'!$A:$AT,MATCH($C$1,'Data qoq'!$J$1:$AT$1,),)</f>
        <v/>
      </c>
      <c r="P57" s="25">
        <f>VLOOKUP(B57,'Data qoq'!$A:$AT,MATCH($P$1,'Data qoq'!$A$1:$AT$1,),)</f>
        <v/>
      </c>
      <c r="Q57" s="25">
        <f>VLOOKUP(B57,'Data qoq'!$A:$AT,MATCH($Q$1,'Data qoq'!$A$1:$AT$1,),)</f>
        <v/>
      </c>
      <c r="R57" s="25">
        <f>VLOOKUP(B57,'Data qoq'!$A:$AT,MATCH($E$1,'Data qoq'!$A$1:$AT$1,),)</f>
        <v/>
      </c>
      <c r="S57" s="25">
        <f>VLOOKUP(B57,'Data qoq'!$A:$AT,MATCH($S$1,'Data qoq'!$A$1:$AT$1,),)</f>
        <v/>
      </c>
      <c r="T57" s="25">
        <f>VLOOKUP(B57,'Data qoq'!$A:$AT,MATCH($T$1,'Data qoq'!$A$1:$AT$1,),)</f>
        <v/>
      </c>
      <c r="U57" s="25">
        <f>VLOOKUP(B57,'Data qoq'!$A:$AT,MATCH($U$1,'Data qoq'!$A$1:$AT$1,),)</f>
        <v/>
      </c>
      <c r="V57" s="25">
        <f>VLOOKUP(B57,'Data qoq'!$A:$AT,MATCH($V$1,'Data qoq'!$A$1:$AT$1,),)</f>
        <v/>
      </c>
      <c r="W57" s="25">
        <f>VLOOKUP(B57,'Data qoq'!$A:$AT,MATCH($W$1,'Data qoq'!$A$1:$AT$1,),)</f>
        <v/>
      </c>
      <c r="X57" s="25">
        <f>VLOOKUP(B57,'Data qoq'!$A:$AT,MATCH($X$1,'Data qoq'!$A$1:$AT$1,),)</f>
        <v/>
      </c>
      <c r="Y57" s="25">
        <f>VLOOKUP(B57,'Data qoq'!$A:$AT,MATCH($Y$1,'Data qoq'!$A$1:$AT$1,),)</f>
        <v/>
      </c>
      <c r="Z57" s="25">
        <f>VLOOKUP(B57,'Data qoq'!$A:$AU,MATCH($Z$1,'Data qoq'!$A$1:$AU$1,),)</f>
        <v/>
      </c>
      <c r="AA57" s="25">
        <f>VLOOKUP(B57,'Data qoq'!$A:$AU,MATCH($AA$1,'Data qoq'!$A$1:$AU$1,),)</f>
        <v/>
      </c>
      <c r="AC57" s="26">
        <f>B57</f>
        <v/>
      </c>
      <c r="AD57" s="27">
        <f>(VLOOKUP(AC57,B:Y,MATCH($AE$6,$B$1:$Y$1,),))-(VLOOKUP(AC57,B:Y,MATCH($AE$7,$B$1:$Y$1,),))</f>
        <v/>
      </c>
      <c r="AE57" s="27">
        <f>C57-G57</f>
        <v/>
      </c>
    </row>
    <row r="58" hidden="1" s="68">
      <c r="B58" s="24" t="inlineStr">
        <is>
          <t>2011-Q4</t>
        </is>
      </c>
      <c r="C58" s="25">
        <f>VLOOKUP(B58,'Data qoq'!$A:$AT,MATCH($C$1,'Data qoq'!$A$1:$AT$1,),)</f>
        <v/>
      </c>
      <c r="D58" s="25">
        <f>VLOOKUP(B58,'Data qoq'!$A:$AT,MATCH($D$1,'Data qoq'!$A$1:$AT$1,),)</f>
        <v/>
      </c>
      <c r="E58" s="25">
        <f>VLOOKUP(B58,'Data qoq'!$A:$AT,MATCH($E$1,'Data qoq'!$A$1:$AT$1,),)</f>
        <v/>
      </c>
      <c r="F58" s="25">
        <f>VLOOKUP(B58,'Data qoq'!$A:$AT,MATCH($F$1,'Data qoq'!$A$1:$AT$1,),)</f>
        <v/>
      </c>
      <c r="G58" s="25">
        <f>VLOOKUP(B58,'Data qoq'!$A:$AT,MATCH($G$1,'Data qoq'!$A$1:$AT$1,),)</f>
        <v/>
      </c>
      <c r="H58" s="25">
        <f>VLOOKUP(B58,'Data qoq'!$A:$AT,MATCH($H$1,'Data qoq'!$A$1:$AT$1,),)</f>
        <v/>
      </c>
      <c r="I58" s="25">
        <f>VLOOKUP(B58,'Data qoq'!$A:$AT,MATCH($I$1,'Data qoq'!$A$1:$AT$1,),)</f>
        <v/>
      </c>
      <c r="J58" s="25">
        <f>VLOOKUP(B58,'Data qoq'!$A:$AT,MATCH($J$1,'Data qoq'!$A$1:$AT$1,),)</f>
        <v/>
      </c>
      <c r="K58" s="25">
        <f>VLOOKUP(B58,'Data qoq'!$A:$AT,MATCH($K$1,'Data qoq'!$A$1:$AT$1,),)</f>
        <v/>
      </c>
      <c r="L58" s="25">
        <f>VLOOKUP(B58,'Data qoq'!$A:$AT,MATCH($L$1,'Data qoq'!$A$1:$AT$1,),)</f>
        <v/>
      </c>
      <c r="M58" s="25">
        <f>VLOOKUP(B58,'Data qoq'!$A:$AT,MATCH($M$1,'Data qoq'!$A$1:$AT$1,),)</f>
        <v/>
      </c>
      <c r="N58" s="25">
        <f>VLOOKUP(B58,'Data qoq'!$A:$AT,MATCH($N$1,'Data qoq'!$A$1:$AT$1,),)</f>
        <v/>
      </c>
      <c r="O58" s="25">
        <f>VLOOKUP(B58,'Data qoq'!$A:$AT,MATCH($C$1,'Data qoq'!$J$1:$AT$1,),)</f>
        <v/>
      </c>
      <c r="P58" s="25">
        <f>VLOOKUP(B58,'Data qoq'!$A:$AT,MATCH($P$1,'Data qoq'!$A$1:$AT$1,),)</f>
        <v/>
      </c>
      <c r="Q58" s="25">
        <f>VLOOKUP(B58,'Data qoq'!$A:$AT,MATCH($Q$1,'Data qoq'!$A$1:$AT$1,),)</f>
        <v/>
      </c>
      <c r="R58" s="25">
        <f>VLOOKUP(B58,'Data qoq'!$A:$AT,MATCH($E$1,'Data qoq'!$A$1:$AT$1,),)</f>
        <v/>
      </c>
      <c r="S58" s="25">
        <f>VLOOKUP(B58,'Data qoq'!$A:$AT,MATCH($S$1,'Data qoq'!$A$1:$AT$1,),)</f>
        <v/>
      </c>
      <c r="T58" s="25">
        <f>VLOOKUP(B58,'Data qoq'!$A:$AT,MATCH($T$1,'Data qoq'!$A$1:$AT$1,),)</f>
        <v/>
      </c>
      <c r="U58" s="25">
        <f>VLOOKUP(B58,'Data qoq'!$A:$AT,MATCH($U$1,'Data qoq'!$A$1:$AT$1,),)</f>
        <v/>
      </c>
      <c r="V58" s="25">
        <f>VLOOKUP(B58,'Data qoq'!$A:$AT,MATCH($V$1,'Data qoq'!$A$1:$AT$1,),)</f>
        <v/>
      </c>
      <c r="W58" s="25">
        <f>VLOOKUP(B58,'Data qoq'!$A:$AT,MATCH($W$1,'Data qoq'!$A$1:$AT$1,),)</f>
        <v/>
      </c>
      <c r="X58" s="25">
        <f>VLOOKUP(B58,'Data qoq'!$A:$AT,MATCH($X$1,'Data qoq'!$A$1:$AT$1,),)</f>
        <v/>
      </c>
      <c r="Y58" s="25">
        <f>VLOOKUP(B58,'Data qoq'!$A:$AT,MATCH($Y$1,'Data qoq'!$A$1:$AT$1,),)</f>
        <v/>
      </c>
      <c r="Z58" s="25">
        <f>VLOOKUP(B58,'Data qoq'!$A:$AU,MATCH($Z$1,'Data qoq'!$A$1:$AU$1,),)</f>
        <v/>
      </c>
      <c r="AA58" s="25">
        <f>VLOOKUP(B58,'Data qoq'!$A:$AU,MATCH($AA$1,'Data qoq'!$A$1:$AU$1,),)</f>
        <v/>
      </c>
      <c r="AC58" s="26">
        <f>B58</f>
        <v/>
      </c>
      <c r="AD58" s="27">
        <f>(VLOOKUP(AC58,B:Y,MATCH($AE$6,$B$1:$Y$1,),))-(VLOOKUP(AC58,B:Y,MATCH($AE$7,$B$1:$Y$1,),))</f>
        <v/>
      </c>
      <c r="AE58" s="27">
        <f>C58-G58</f>
        <v/>
      </c>
    </row>
    <row r="59" hidden="1" s="68">
      <c r="B59" s="24" t="inlineStr">
        <is>
          <t>2012-Q1</t>
        </is>
      </c>
      <c r="C59" s="25">
        <f>VLOOKUP(B59,'Data qoq'!$A:$AT,MATCH($C$1,'Data qoq'!$A$1:$AT$1,),)</f>
        <v/>
      </c>
      <c r="D59" s="25">
        <f>VLOOKUP(B59,'Data qoq'!$A:$AT,MATCH($D$1,'Data qoq'!$A$1:$AT$1,),)</f>
        <v/>
      </c>
      <c r="E59" s="25">
        <f>VLOOKUP(B59,'Data qoq'!$A:$AT,MATCH($E$1,'Data qoq'!$A$1:$AT$1,),)</f>
        <v/>
      </c>
      <c r="F59" s="25">
        <f>VLOOKUP(B59,'Data qoq'!$A:$AT,MATCH($F$1,'Data qoq'!$A$1:$AT$1,),)</f>
        <v/>
      </c>
      <c r="G59" s="25">
        <f>VLOOKUP(B59,'Data qoq'!$A:$AT,MATCH($G$1,'Data qoq'!$A$1:$AT$1,),)</f>
        <v/>
      </c>
      <c r="H59" s="25">
        <f>VLOOKUP(B59,'Data qoq'!$A:$AT,MATCH($H$1,'Data qoq'!$A$1:$AT$1,),)</f>
        <v/>
      </c>
      <c r="I59" s="25">
        <f>VLOOKUP(B59,'Data qoq'!$A:$AT,MATCH($I$1,'Data qoq'!$A$1:$AT$1,),)</f>
        <v/>
      </c>
      <c r="J59" s="25">
        <f>VLOOKUP(B59,'Data qoq'!$A:$AT,MATCH($J$1,'Data qoq'!$A$1:$AT$1,),)</f>
        <v/>
      </c>
      <c r="K59" s="25">
        <f>VLOOKUP(B59,'Data qoq'!$A:$AT,MATCH($K$1,'Data qoq'!$A$1:$AT$1,),)</f>
        <v/>
      </c>
      <c r="L59" s="25">
        <f>VLOOKUP(B59,'Data qoq'!$A:$AT,MATCH($L$1,'Data qoq'!$A$1:$AT$1,),)</f>
        <v/>
      </c>
      <c r="M59" s="25">
        <f>VLOOKUP(B59,'Data qoq'!$A:$AT,MATCH($M$1,'Data qoq'!$A$1:$AT$1,),)</f>
        <v/>
      </c>
      <c r="N59" s="25">
        <f>VLOOKUP(B59,'Data qoq'!$A:$AT,MATCH($N$1,'Data qoq'!$A$1:$AT$1,),)</f>
        <v/>
      </c>
      <c r="O59" s="25">
        <f>VLOOKUP(B59,'Data qoq'!$A:$AT,MATCH($C$1,'Data qoq'!$J$1:$AT$1,),)</f>
        <v/>
      </c>
      <c r="P59" s="25">
        <f>VLOOKUP(B59,'Data qoq'!$A:$AT,MATCH($P$1,'Data qoq'!$A$1:$AT$1,),)</f>
        <v/>
      </c>
      <c r="Q59" s="25">
        <f>VLOOKUP(B59,'Data qoq'!$A:$AT,MATCH($Q$1,'Data qoq'!$A$1:$AT$1,),)</f>
        <v/>
      </c>
      <c r="R59" s="25">
        <f>VLOOKUP(B59,'Data qoq'!$A:$AT,MATCH($E$1,'Data qoq'!$A$1:$AT$1,),)</f>
        <v/>
      </c>
      <c r="S59" s="25">
        <f>VLOOKUP(B59,'Data qoq'!$A:$AT,MATCH($S$1,'Data qoq'!$A$1:$AT$1,),)</f>
        <v/>
      </c>
      <c r="T59" s="25">
        <f>VLOOKUP(B59,'Data qoq'!$A:$AT,MATCH($T$1,'Data qoq'!$A$1:$AT$1,),)</f>
        <v/>
      </c>
      <c r="U59" s="25">
        <f>VLOOKUP(B59,'Data qoq'!$A:$AT,MATCH($U$1,'Data qoq'!$A$1:$AT$1,),)</f>
        <v/>
      </c>
      <c r="V59" s="25">
        <f>VLOOKUP(B59,'Data qoq'!$A:$AT,MATCH($V$1,'Data qoq'!$A$1:$AT$1,),)</f>
        <v/>
      </c>
      <c r="W59" s="25">
        <f>VLOOKUP(B59,'Data qoq'!$A:$AT,MATCH($W$1,'Data qoq'!$A$1:$AT$1,),)</f>
        <v/>
      </c>
      <c r="X59" s="25">
        <f>VLOOKUP(B59,'Data qoq'!$A:$AT,MATCH($X$1,'Data qoq'!$A$1:$AT$1,),)</f>
        <v/>
      </c>
      <c r="Y59" s="25">
        <f>VLOOKUP(B59,'Data qoq'!$A:$AT,MATCH($Y$1,'Data qoq'!$A$1:$AT$1,),)</f>
        <v/>
      </c>
      <c r="Z59" s="25">
        <f>VLOOKUP(B59,'Data qoq'!$A:$AU,MATCH($Z$1,'Data qoq'!$A$1:$AU$1,),)</f>
        <v/>
      </c>
      <c r="AA59" s="25">
        <f>VLOOKUP(B59,'Data qoq'!$A:$AU,MATCH($AA$1,'Data qoq'!$A$1:$AU$1,),)</f>
        <v/>
      </c>
      <c r="AC59" s="26">
        <f>B59</f>
        <v/>
      </c>
      <c r="AD59" s="27">
        <f>(VLOOKUP(AC59,B:Y,MATCH($AE$6,$B$1:$Y$1,),))-(VLOOKUP(AC59,B:Y,MATCH($AE$7,$B$1:$Y$1,),))</f>
        <v/>
      </c>
      <c r="AE59" s="27">
        <f>C59-G59</f>
        <v/>
      </c>
    </row>
    <row r="60" hidden="1" s="68">
      <c r="B60" s="24" t="inlineStr">
        <is>
          <t>2012-Q2</t>
        </is>
      </c>
      <c r="C60" s="25">
        <f>VLOOKUP(B60,'Data qoq'!$A:$AT,MATCH($C$1,'Data qoq'!$A$1:$AT$1,),)</f>
        <v/>
      </c>
      <c r="D60" s="25">
        <f>VLOOKUP(B60,'Data qoq'!$A:$AT,MATCH($D$1,'Data qoq'!$A$1:$AT$1,),)</f>
        <v/>
      </c>
      <c r="E60" s="25">
        <f>VLOOKUP(B60,'Data qoq'!$A:$AT,MATCH($E$1,'Data qoq'!$A$1:$AT$1,),)</f>
        <v/>
      </c>
      <c r="F60" s="25">
        <f>VLOOKUP(B60,'Data qoq'!$A:$AT,MATCH($F$1,'Data qoq'!$A$1:$AT$1,),)</f>
        <v/>
      </c>
      <c r="G60" s="25">
        <f>VLOOKUP(B60,'Data qoq'!$A:$AT,MATCH($G$1,'Data qoq'!$A$1:$AT$1,),)</f>
        <v/>
      </c>
      <c r="H60" s="25">
        <f>VLOOKUP(B60,'Data qoq'!$A:$AT,MATCH($H$1,'Data qoq'!$A$1:$AT$1,),)</f>
        <v/>
      </c>
      <c r="I60" s="25">
        <f>VLOOKUP(B60,'Data qoq'!$A:$AT,MATCH($I$1,'Data qoq'!$A$1:$AT$1,),)</f>
        <v/>
      </c>
      <c r="J60" s="25">
        <f>VLOOKUP(B60,'Data qoq'!$A:$AT,MATCH($J$1,'Data qoq'!$A$1:$AT$1,),)</f>
        <v/>
      </c>
      <c r="K60" s="25">
        <f>VLOOKUP(B60,'Data qoq'!$A:$AT,MATCH($K$1,'Data qoq'!$A$1:$AT$1,),)</f>
        <v/>
      </c>
      <c r="L60" s="25">
        <f>VLOOKUP(B60,'Data qoq'!$A:$AT,MATCH($L$1,'Data qoq'!$A$1:$AT$1,),)</f>
        <v/>
      </c>
      <c r="M60" s="25">
        <f>VLOOKUP(B60,'Data qoq'!$A:$AT,MATCH($M$1,'Data qoq'!$A$1:$AT$1,),)</f>
        <v/>
      </c>
      <c r="N60" s="25">
        <f>VLOOKUP(B60,'Data qoq'!$A:$AT,MATCH($N$1,'Data qoq'!$A$1:$AT$1,),)</f>
        <v/>
      </c>
      <c r="O60" s="25">
        <f>VLOOKUP(B60,'Data qoq'!$A:$AT,MATCH($C$1,'Data qoq'!$J$1:$AT$1,),)</f>
        <v/>
      </c>
      <c r="P60" s="25">
        <f>VLOOKUP(B60,'Data qoq'!$A:$AT,MATCH($P$1,'Data qoq'!$A$1:$AT$1,),)</f>
        <v/>
      </c>
      <c r="Q60" s="25">
        <f>VLOOKUP(B60,'Data qoq'!$A:$AT,MATCH($Q$1,'Data qoq'!$A$1:$AT$1,),)</f>
        <v/>
      </c>
      <c r="R60" s="25">
        <f>VLOOKUP(B60,'Data qoq'!$A:$AT,MATCH($E$1,'Data qoq'!$A$1:$AT$1,),)</f>
        <v/>
      </c>
      <c r="S60" s="25">
        <f>VLOOKUP(B60,'Data qoq'!$A:$AT,MATCH($S$1,'Data qoq'!$A$1:$AT$1,),)</f>
        <v/>
      </c>
      <c r="T60" s="25">
        <f>VLOOKUP(B60,'Data qoq'!$A:$AT,MATCH($T$1,'Data qoq'!$A$1:$AT$1,),)</f>
        <v/>
      </c>
      <c r="U60" s="25">
        <f>VLOOKUP(B60,'Data qoq'!$A:$AT,MATCH($U$1,'Data qoq'!$A$1:$AT$1,),)</f>
        <v/>
      </c>
      <c r="V60" s="25">
        <f>VLOOKUP(B60,'Data qoq'!$A:$AT,MATCH($V$1,'Data qoq'!$A$1:$AT$1,),)</f>
        <v/>
      </c>
      <c r="W60" s="25">
        <f>VLOOKUP(B60,'Data qoq'!$A:$AT,MATCH($W$1,'Data qoq'!$A$1:$AT$1,),)</f>
        <v/>
      </c>
      <c r="X60" s="25">
        <f>VLOOKUP(B60,'Data qoq'!$A:$AT,MATCH($X$1,'Data qoq'!$A$1:$AT$1,),)</f>
        <v/>
      </c>
      <c r="Y60" s="25">
        <f>VLOOKUP(B60,'Data qoq'!$A:$AT,MATCH($Y$1,'Data qoq'!$A$1:$AT$1,),)</f>
        <v/>
      </c>
      <c r="Z60" s="25">
        <f>VLOOKUP(B60,'Data qoq'!$A:$AU,MATCH($Z$1,'Data qoq'!$A$1:$AU$1,),)</f>
        <v/>
      </c>
      <c r="AA60" s="25">
        <f>VLOOKUP(B60,'Data qoq'!$A:$AU,MATCH($AA$1,'Data qoq'!$A$1:$AU$1,),)</f>
        <v/>
      </c>
      <c r="AC60" s="26">
        <f>B60</f>
        <v/>
      </c>
      <c r="AD60" s="27">
        <f>(VLOOKUP(AC60,B:Y,MATCH($AE$6,$B$1:$Y$1,),))-(VLOOKUP(AC60,B:Y,MATCH($AE$7,$B$1:$Y$1,),))</f>
        <v/>
      </c>
      <c r="AE60" s="27">
        <f>C60-G60</f>
        <v/>
      </c>
    </row>
    <row r="61" hidden="1" s="68">
      <c r="B61" s="24" t="inlineStr">
        <is>
          <t>2012-Q3</t>
        </is>
      </c>
      <c r="C61" s="25">
        <f>VLOOKUP(B61,'Data qoq'!$A:$AT,MATCH($C$1,'Data qoq'!$A$1:$AT$1,),)</f>
        <v/>
      </c>
      <c r="D61" s="25">
        <f>VLOOKUP(B61,'Data qoq'!$A:$AT,MATCH($D$1,'Data qoq'!$A$1:$AT$1,),)</f>
        <v/>
      </c>
      <c r="E61" s="25">
        <f>VLOOKUP(B61,'Data qoq'!$A:$AT,MATCH($E$1,'Data qoq'!$A$1:$AT$1,),)</f>
        <v/>
      </c>
      <c r="F61" s="25">
        <f>VLOOKUP(B61,'Data qoq'!$A:$AT,MATCH($F$1,'Data qoq'!$A$1:$AT$1,),)</f>
        <v/>
      </c>
      <c r="G61" s="25">
        <f>VLOOKUP(B61,'Data qoq'!$A:$AT,MATCH($G$1,'Data qoq'!$A$1:$AT$1,),)</f>
        <v/>
      </c>
      <c r="H61" s="25">
        <f>VLOOKUP(B61,'Data qoq'!$A:$AT,MATCH($H$1,'Data qoq'!$A$1:$AT$1,),)</f>
        <v/>
      </c>
      <c r="I61" s="25">
        <f>VLOOKUP(B61,'Data qoq'!$A:$AT,MATCH($I$1,'Data qoq'!$A$1:$AT$1,),)</f>
        <v/>
      </c>
      <c r="J61" s="25">
        <f>VLOOKUP(B61,'Data qoq'!$A:$AT,MATCH($J$1,'Data qoq'!$A$1:$AT$1,),)</f>
        <v/>
      </c>
      <c r="K61" s="25">
        <f>VLOOKUP(B61,'Data qoq'!$A:$AT,MATCH($K$1,'Data qoq'!$A$1:$AT$1,),)</f>
        <v/>
      </c>
      <c r="L61" s="25">
        <f>VLOOKUP(B61,'Data qoq'!$A:$AT,MATCH($L$1,'Data qoq'!$A$1:$AT$1,),)</f>
        <v/>
      </c>
      <c r="M61" s="25">
        <f>VLOOKUP(B61,'Data qoq'!$A:$AT,MATCH($M$1,'Data qoq'!$A$1:$AT$1,),)</f>
        <v/>
      </c>
      <c r="N61" s="25">
        <f>VLOOKUP(B61,'Data qoq'!$A:$AT,MATCH($N$1,'Data qoq'!$A$1:$AT$1,),)</f>
        <v/>
      </c>
      <c r="O61" s="25">
        <f>VLOOKUP(B61,'Data qoq'!$A:$AT,MATCH($C$1,'Data qoq'!$J$1:$AT$1,),)</f>
        <v/>
      </c>
      <c r="P61" s="25">
        <f>VLOOKUP(B61,'Data qoq'!$A:$AT,MATCH($P$1,'Data qoq'!$A$1:$AT$1,),)</f>
        <v/>
      </c>
      <c r="Q61" s="25">
        <f>VLOOKUP(B61,'Data qoq'!$A:$AT,MATCH($Q$1,'Data qoq'!$A$1:$AT$1,),)</f>
        <v/>
      </c>
      <c r="R61" s="25">
        <f>VLOOKUP(B61,'Data qoq'!$A:$AT,MATCH($E$1,'Data qoq'!$A$1:$AT$1,),)</f>
        <v/>
      </c>
      <c r="S61" s="25">
        <f>VLOOKUP(B61,'Data qoq'!$A:$AT,MATCH($S$1,'Data qoq'!$A$1:$AT$1,),)</f>
        <v/>
      </c>
      <c r="T61" s="25">
        <f>VLOOKUP(B61,'Data qoq'!$A:$AT,MATCH($T$1,'Data qoq'!$A$1:$AT$1,),)</f>
        <v/>
      </c>
      <c r="U61" s="25">
        <f>VLOOKUP(B61,'Data qoq'!$A:$AT,MATCH($U$1,'Data qoq'!$A$1:$AT$1,),)</f>
        <v/>
      </c>
      <c r="V61" s="25">
        <f>VLOOKUP(B61,'Data qoq'!$A:$AT,MATCH($V$1,'Data qoq'!$A$1:$AT$1,),)</f>
        <v/>
      </c>
      <c r="W61" s="25">
        <f>VLOOKUP(B61,'Data qoq'!$A:$AT,MATCH($W$1,'Data qoq'!$A$1:$AT$1,),)</f>
        <v/>
      </c>
      <c r="X61" s="25">
        <f>VLOOKUP(B61,'Data qoq'!$A:$AT,MATCH($X$1,'Data qoq'!$A$1:$AT$1,),)</f>
        <v/>
      </c>
      <c r="Y61" s="25">
        <f>VLOOKUP(B61,'Data qoq'!$A:$AT,MATCH($Y$1,'Data qoq'!$A$1:$AT$1,),)</f>
        <v/>
      </c>
      <c r="Z61" s="25">
        <f>VLOOKUP(B61,'Data qoq'!$A:$AU,MATCH($Z$1,'Data qoq'!$A$1:$AU$1,),)</f>
        <v/>
      </c>
      <c r="AA61" s="25">
        <f>VLOOKUP(B61,'Data qoq'!$A:$AU,MATCH($AA$1,'Data qoq'!$A$1:$AU$1,),)</f>
        <v/>
      </c>
      <c r="AC61" s="26">
        <f>B61</f>
        <v/>
      </c>
      <c r="AD61" s="27">
        <f>(VLOOKUP(AC61,B:Y,MATCH($AE$6,$B$1:$Y$1,),))-(VLOOKUP(AC61,B:Y,MATCH($AE$7,$B$1:$Y$1,),))</f>
        <v/>
      </c>
      <c r="AE61" s="27">
        <f>C61-G61</f>
        <v/>
      </c>
    </row>
    <row r="62" hidden="1" s="68">
      <c r="B62" s="24" t="inlineStr">
        <is>
          <t>2012-Q4</t>
        </is>
      </c>
      <c r="C62" s="25">
        <f>VLOOKUP(B62,'Data qoq'!$A:$AT,MATCH($C$1,'Data qoq'!$A$1:$AT$1,),)</f>
        <v/>
      </c>
      <c r="D62" s="25">
        <f>VLOOKUP(B62,'Data qoq'!$A:$AT,MATCH($D$1,'Data qoq'!$A$1:$AT$1,),)</f>
        <v/>
      </c>
      <c r="E62" s="25">
        <f>VLOOKUP(B62,'Data qoq'!$A:$AT,MATCH($E$1,'Data qoq'!$A$1:$AT$1,),)</f>
        <v/>
      </c>
      <c r="F62" s="25">
        <f>VLOOKUP(B62,'Data qoq'!$A:$AT,MATCH($F$1,'Data qoq'!$A$1:$AT$1,),)</f>
        <v/>
      </c>
      <c r="G62" s="25">
        <f>VLOOKUP(B62,'Data qoq'!$A:$AT,MATCH($G$1,'Data qoq'!$A$1:$AT$1,),)</f>
        <v/>
      </c>
      <c r="H62" s="25">
        <f>VLOOKUP(B62,'Data qoq'!$A:$AT,MATCH($H$1,'Data qoq'!$A$1:$AT$1,),)</f>
        <v/>
      </c>
      <c r="I62" s="25">
        <f>VLOOKUP(B62,'Data qoq'!$A:$AT,MATCH($I$1,'Data qoq'!$A$1:$AT$1,),)</f>
        <v/>
      </c>
      <c r="J62" s="25">
        <f>VLOOKUP(B62,'Data qoq'!$A:$AT,MATCH($J$1,'Data qoq'!$A$1:$AT$1,),)</f>
        <v/>
      </c>
      <c r="K62" s="25">
        <f>VLOOKUP(B62,'Data qoq'!$A:$AT,MATCH($K$1,'Data qoq'!$A$1:$AT$1,),)</f>
        <v/>
      </c>
      <c r="L62" s="25">
        <f>VLOOKUP(B62,'Data qoq'!$A:$AT,MATCH($L$1,'Data qoq'!$A$1:$AT$1,),)</f>
        <v/>
      </c>
      <c r="M62" s="25">
        <f>VLOOKUP(B62,'Data qoq'!$A:$AT,MATCH($M$1,'Data qoq'!$A$1:$AT$1,),)</f>
        <v/>
      </c>
      <c r="N62" s="25">
        <f>VLOOKUP(B62,'Data qoq'!$A:$AT,MATCH($N$1,'Data qoq'!$A$1:$AT$1,),)</f>
        <v/>
      </c>
      <c r="O62" s="25">
        <f>VLOOKUP(B62,'Data qoq'!$A:$AT,MATCH($C$1,'Data qoq'!$J$1:$AT$1,),)</f>
        <v/>
      </c>
      <c r="P62" s="25">
        <f>VLOOKUP(B62,'Data qoq'!$A:$AT,MATCH($P$1,'Data qoq'!$A$1:$AT$1,),)</f>
        <v/>
      </c>
      <c r="Q62" s="25">
        <f>VLOOKUP(B62,'Data qoq'!$A:$AT,MATCH($Q$1,'Data qoq'!$A$1:$AT$1,),)</f>
        <v/>
      </c>
      <c r="R62" s="25">
        <f>VLOOKUP(B62,'Data qoq'!$A:$AT,MATCH($E$1,'Data qoq'!$A$1:$AT$1,),)</f>
        <v/>
      </c>
      <c r="S62" s="25">
        <f>VLOOKUP(B62,'Data qoq'!$A:$AT,MATCH($S$1,'Data qoq'!$A$1:$AT$1,),)</f>
        <v/>
      </c>
      <c r="T62" s="25">
        <f>VLOOKUP(B62,'Data qoq'!$A:$AT,MATCH($T$1,'Data qoq'!$A$1:$AT$1,),)</f>
        <v/>
      </c>
      <c r="U62" s="25">
        <f>VLOOKUP(B62,'Data qoq'!$A:$AT,MATCH($U$1,'Data qoq'!$A$1:$AT$1,),)</f>
        <v/>
      </c>
      <c r="V62" s="25">
        <f>VLOOKUP(B62,'Data qoq'!$A:$AT,MATCH($V$1,'Data qoq'!$A$1:$AT$1,),)</f>
        <v/>
      </c>
      <c r="W62" s="25">
        <f>VLOOKUP(B62,'Data qoq'!$A:$AT,MATCH($W$1,'Data qoq'!$A$1:$AT$1,),)</f>
        <v/>
      </c>
      <c r="X62" s="25">
        <f>VLOOKUP(B62,'Data qoq'!$A:$AT,MATCH($X$1,'Data qoq'!$A$1:$AT$1,),)</f>
        <v/>
      </c>
      <c r="Y62" s="25">
        <f>VLOOKUP(B62,'Data qoq'!$A:$AT,MATCH($Y$1,'Data qoq'!$A$1:$AT$1,),)</f>
        <v/>
      </c>
      <c r="Z62" s="25">
        <f>VLOOKUP(B62,'Data qoq'!$A:$AU,MATCH($Z$1,'Data qoq'!$A$1:$AU$1,),)</f>
        <v/>
      </c>
      <c r="AA62" s="25">
        <f>VLOOKUP(B62,'Data qoq'!$A:$AU,MATCH($AA$1,'Data qoq'!$A$1:$AU$1,),)</f>
        <v/>
      </c>
      <c r="AC62" s="26">
        <f>B62</f>
        <v/>
      </c>
      <c r="AD62" s="27">
        <f>(VLOOKUP(AC62,B:Y,MATCH($AE$6,$B$1:$Y$1,),))-(VLOOKUP(AC62,B:Y,MATCH($AE$7,$B$1:$Y$1,),))</f>
        <v/>
      </c>
      <c r="AE62" s="27">
        <f>C62-G62</f>
        <v/>
      </c>
    </row>
    <row r="63" hidden="1" s="68">
      <c r="B63" s="24" t="inlineStr">
        <is>
          <t>2013-Q1</t>
        </is>
      </c>
      <c r="C63" s="25">
        <f>VLOOKUP(B63,'Data qoq'!$A:$AT,MATCH($C$1,'Data qoq'!$A$1:$AT$1,),)</f>
        <v/>
      </c>
      <c r="D63" s="25">
        <f>VLOOKUP(B63,'Data qoq'!$A:$AT,MATCH($D$1,'Data qoq'!$A$1:$AT$1,),)</f>
        <v/>
      </c>
      <c r="E63" s="25">
        <f>VLOOKUP(B63,'Data qoq'!$A:$AT,MATCH($E$1,'Data qoq'!$A$1:$AT$1,),)</f>
        <v/>
      </c>
      <c r="F63" s="25">
        <f>VLOOKUP(B63,'Data qoq'!$A:$AT,MATCH($F$1,'Data qoq'!$A$1:$AT$1,),)</f>
        <v/>
      </c>
      <c r="G63" s="25">
        <f>VLOOKUP(B63,'Data qoq'!$A:$AT,MATCH($G$1,'Data qoq'!$A$1:$AT$1,),)</f>
        <v/>
      </c>
      <c r="H63" s="25">
        <f>VLOOKUP(B63,'Data qoq'!$A:$AT,MATCH($H$1,'Data qoq'!$A$1:$AT$1,),)</f>
        <v/>
      </c>
      <c r="I63" s="25">
        <f>VLOOKUP(B63,'Data qoq'!$A:$AT,MATCH($I$1,'Data qoq'!$A$1:$AT$1,),)</f>
        <v/>
      </c>
      <c r="J63" s="25">
        <f>VLOOKUP(B63,'Data qoq'!$A:$AT,MATCH($J$1,'Data qoq'!$A$1:$AT$1,),)</f>
        <v/>
      </c>
      <c r="K63" s="25">
        <f>VLOOKUP(B63,'Data qoq'!$A:$AT,MATCH($K$1,'Data qoq'!$A$1:$AT$1,),)</f>
        <v/>
      </c>
      <c r="L63" s="25">
        <f>VLOOKUP(B63,'Data qoq'!$A:$AT,MATCH($L$1,'Data qoq'!$A$1:$AT$1,),)</f>
        <v/>
      </c>
      <c r="M63" s="25">
        <f>VLOOKUP(B63,'Data qoq'!$A:$AT,MATCH($M$1,'Data qoq'!$A$1:$AT$1,),)</f>
        <v/>
      </c>
      <c r="N63" s="25">
        <f>VLOOKUP(B63,'Data qoq'!$A:$AT,MATCH($N$1,'Data qoq'!$A$1:$AT$1,),)</f>
        <v/>
      </c>
      <c r="O63" s="25">
        <f>VLOOKUP(B63,'Data qoq'!$A:$AT,MATCH($C$1,'Data qoq'!$J$1:$AT$1,),)</f>
        <v/>
      </c>
      <c r="P63" s="25">
        <f>VLOOKUP(B63,'Data qoq'!$A:$AT,MATCH($P$1,'Data qoq'!$A$1:$AT$1,),)</f>
        <v/>
      </c>
      <c r="Q63" s="25">
        <f>VLOOKUP(B63,'Data qoq'!$A:$AT,MATCH($Q$1,'Data qoq'!$A$1:$AT$1,),)</f>
        <v/>
      </c>
      <c r="R63" s="25">
        <f>VLOOKUP(B63,'Data qoq'!$A:$AT,MATCH($E$1,'Data qoq'!$A$1:$AT$1,),)</f>
        <v/>
      </c>
      <c r="S63" s="25">
        <f>VLOOKUP(B63,'Data qoq'!$A:$AT,MATCH($S$1,'Data qoq'!$A$1:$AT$1,),)</f>
        <v/>
      </c>
      <c r="T63" s="25">
        <f>VLOOKUP(B63,'Data qoq'!$A:$AT,MATCH($T$1,'Data qoq'!$A$1:$AT$1,),)</f>
        <v/>
      </c>
      <c r="U63" s="25">
        <f>VLOOKUP(B63,'Data qoq'!$A:$AT,MATCH($U$1,'Data qoq'!$A$1:$AT$1,),)</f>
        <v/>
      </c>
      <c r="V63" s="25">
        <f>VLOOKUP(B63,'Data qoq'!$A:$AT,MATCH($V$1,'Data qoq'!$A$1:$AT$1,),)</f>
        <v/>
      </c>
      <c r="W63" s="25">
        <f>VLOOKUP(B63,'Data qoq'!$A:$AT,MATCH($W$1,'Data qoq'!$A$1:$AT$1,),)</f>
        <v/>
      </c>
      <c r="X63" s="25">
        <f>VLOOKUP(B63,'Data qoq'!$A:$AT,MATCH($X$1,'Data qoq'!$A$1:$AT$1,),)</f>
        <v/>
      </c>
      <c r="Y63" s="25">
        <f>VLOOKUP(B63,'Data qoq'!$A:$AT,MATCH($Y$1,'Data qoq'!$A$1:$AT$1,),)</f>
        <v/>
      </c>
      <c r="Z63" s="25">
        <f>VLOOKUP(B63,'Data qoq'!$A:$AU,MATCH($Z$1,'Data qoq'!$A$1:$AU$1,),)</f>
        <v/>
      </c>
      <c r="AA63" s="25">
        <f>VLOOKUP(B63,'Data qoq'!$A:$AU,MATCH($AA$1,'Data qoq'!$A$1:$AU$1,),)</f>
        <v/>
      </c>
      <c r="AC63" s="26">
        <f>B63</f>
        <v/>
      </c>
      <c r="AD63" s="27">
        <f>(VLOOKUP(AC63,B:Y,MATCH($AE$6,$B$1:$Y$1,),))-(VLOOKUP(AC63,B:Y,MATCH($AE$7,$B$1:$Y$1,),))</f>
        <v/>
      </c>
      <c r="AE63" s="27">
        <f>C63-G63</f>
        <v/>
      </c>
    </row>
    <row r="64" hidden="1" s="68">
      <c r="B64" s="24" t="inlineStr">
        <is>
          <t>2013-Q2</t>
        </is>
      </c>
      <c r="C64" s="25">
        <f>VLOOKUP(B64,'Data qoq'!$A:$AT,MATCH($C$1,'Data qoq'!$A$1:$AT$1,),)</f>
        <v/>
      </c>
      <c r="D64" s="25">
        <f>VLOOKUP(B64,'Data qoq'!$A:$AT,MATCH($D$1,'Data qoq'!$A$1:$AT$1,),)</f>
        <v/>
      </c>
      <c r="E64" s="25">
        <f>VLOOKUP(B64,'Data qoq'!$A:$AT,MATCH($E$1,'Data qoq'!$A$1:$AT$1,),)</f>
        <v/>
      </c>
      <c r="F64" s="25">
        <f>VLOOKUP(B64,'Data qoq'!$A:$AT,MATCH($F$1,'Data qoq'!$A$1:$AT$1,),)</f>
        <v/>
      </c>
      <c r="G64" s="25">
        <f>VLOOKUP(B64,'Data qoq'!$A:$AT,MATCH($G$1,'Data qoq'!$A$1:$AT$1,),)</f>
        <v/>
      </c>
      <c r="H64" s="25">
        <f>VLOOKUP(B64,'Data qoq'!$A:$AT,MATCH($H$1,'Data qoq'!$A$1:$AT$1,),)</f>
        <v/>
      </c>
      <c r="I64" s="25">
        <f>VLOOKUP(B64,'Data qoq'!$A:$AT,MATCH($I$1,'Data qoq'!$A$1:$AT$1,),)</f>
        <v/>
      </c>
      <c r="J64" s="25">
        <f>VLOOKUP(B64,'Data qoq'!$A:$AT,MATCH($J$1,'Data qoq'!$A$1:$AT$1,),)</f>
        <v/>
      </c>
      <c r="K64" s="25">
        <f>VLOOKUP(B64,'Data qoq'!$A:$AT,MATCH($K$1,'Data qoq'!$A$1:$AT$1,),)</f>
        <v/>
      </c>
      <c r="L64" s="25">
        <f>VLOOKUP(B64,'Data qoq'!$A:$AT,MATCH($L$1,'Data qoq'!$A$1:$AT$1,),)</f>
        <v/>
      </c>
      <c r="M64" s="25">
        <f>VLOOKUP(B64,'Data qoq'!$A:$AT,MATCH($M$1,'Data qoq'!$A$1:$AT$1,),)</f>
        <v/>
      </c>
      <c r="N64" s="25">
        <f>VLOOKUP(B64,'Data qoq'!$A:$AT,MATCH($N$1,'Data qoq'!$A$1:$AT$1,),)</f>
        <v/>
      </c>
      <c r="O64" s="25">
        <f>VLOOKUP(B64,'Data qoq'!$A:$AT,MATCH($C$1,'Data qoq'!$J$1:$AT$1,),)</f>
        <v/>
      </c>
      <c r="P64" s="25">
        <f>VLOOKUP(B64,'Data qoq'!$A:$AT,MATCH($P$1,'Data qoq'!$A$1:$AT$1,),)</f>
        <v/>
      </c>
      <c r="Q64" s="25">
        <f>VLOOKUP(B64,'Data qoq'!$A:$AT,MATCH($Q$1,'Data qoq'!$A$1:$AT$1,),)</f>
        <v/>
      </c>
      <c r="R64" s="25">
        <f>VLOOKUP(B64,'Data qoq'!$A:$AT,MATCH($E$1,'Data qoq'!$A$1:$AT$1,),)</f>
        <v/>
      </c>
      <c r="S64" s="25">
        <f>VLOOKUP(B64,'Data qoq'!$A:$AT,MATCH($S$1,'Data qoq'!$A$1:$AT$1,),)</f>
        <v/>
      </c>
      <c r="T64" s="25">
        <f>VLOOKUP(B64,'Data qoq'!$A:$AT,MATCH($T$1,'Data qoq'!$A$1:$AT$1,),)</f>
        <v/>
      </c>
      <c r="U64" s="25">
        <f>VLOOKUP(B64,'Data qoq'!$A:$AT,MATCH($U$1,'Data qoq'!$A$1:$AT$1,),)</f>
        <v/>
      </c>
      <c r="V64" s="25">
        <f>VLOOKUP(B64,'Data qoq'!$A:$AT,MATCH($V$1,'Data qoq'!$A$1:$AT$1,),)</f>
        <v/>
      </c>
      <c r="W64" s="25">
        <f>VLOOKUP(B64,'Data qoq'!$A:$AT,MATCH($W$1,'Data qoq'!$A$1:$AT$1,),)</f>
        <v/>
      </c>
      <c r="X64" s="25">
        <f>VLOOKUP(B64,'Data qoq'!$A:$AT,MATCH($X$1,'Data qoq'!$A$1:$AT$1,),)</f>
        <v/>
      </c>
      <c r="Y64" s="25">
        <f>VLOOKUP(B64,'Data qoq'!$A:$AT,MATCH($Y$1,'Data qoq'!$A$1:$AT$1,),)</f>
        <v/>
      </c>
      <c r="Z64" s="25">
        <f>VLOOKUP(B64,'Data qoq'!$A:$AU,MATCH($Z$1,'Data qoq'!$A$1:$AU$1,),)</f>
        <v/>
      </c>
      <c r="AA64" s="25">
        <f>VLOOKUP(B64,'Data qoq'!$A:$AU,MATCH($AA$1,'Data qoq'!$A$1:$AU$1,),)</f>
        <v/>
      </c>
      <c r="AC64" s="26">
        <f>B64</f>
        <v/>
      </c>
      <c r="AD64" s="27">
        <f>(VLOOKUP(AC64,B:Y,MATCH($AE$6,$B$1:$Y$1,),))-(VLOOKUP(AC64,B:Y,MATCH($AE$7,$B$1:$Y$1,),))</f>
        <v/>
      </c>
      <c r="AE64" s="27">
        <f>C64-G64</f>
        <v/>
      </c>
    </row>
    <row r="65" hidden="1" s="68">
      <c r="B65" s="24" t="inlineStr">
        <is>
          <t>2013-Q3</t>
        </is>
      </c>
      <c r="C65" s="25">
        <f>VLOOKUP(B65,'Data qoq'!$A:$AT,MATCH($C$1,'Data qoq'!$A$1:$AT$1,),)</f>
        <v/>
      </c>
      <c r="D65" s="25">
        <f>VLOOKUP(B65,'Data qoq'!$A:$AT,MATCH($D$1,'Data qoq'!$A$1:$AT$1,),)</f>
        <v/>
      </c>
      <c r="E65" s="25">
        <f>VLOOKUP(B65,'Data qoq'!$A:$AT,MATCH($E$1,'Data qoq'!$A$1:$AT$1,),)</f>
        <v/>
      </c>
      <c r="F65" s="25">
        <f>VLOOKUP(B65,'Data qoq'!$A:$AT,MATCH($F$1,'Data qoq'!$A$1:$AT$1,),)</f>
        <v/>
      </c>
      <c r="G65" s="25">
        <f>VLOOKUP(B65,'Data qoq'!$A:$AT,MATCH($G$1,'Data qoq'!$A$1:$AT$1,),)</f>
        <v/>
      </c>
      <c r="H65" s="25">
        <f>VLOOKUP(B65,'Data qoq'!$A:$AT,MATCH($H$1,'Data qoq'!$A$1:$AT$1,),)</f>
        <v/>
      </c>
      <c r="I65" s="25">
        <f>VLOOKUP(B65,'Data qoq'!$A:$AT,MATCH($I$1,'Data qoq'!$A$1:$AT$1,),)</f>
        <v/>
      </c>
      <c r="J65" s="25">
        <f>VLOOKUP(B65,'Data qoq'!$A:$AT,MATCH($J$1,'Data qoq'!$A$1:$AT$1,),)</f>
        <v/>
      </c>
      <c r="K65" s="25">
        <f>VLOOKUP(B65,'Data qoq'!$A:$AT,MATCH($K$1,'Data qoq'!$A$1:$AT$1,),)</f>
        <v/>
      </c>
      <c r="L65" s="25">
        <f>VLOOKUP(B65,'Data qoq'!$A:$AT,MATCH($L$1,'Data qoq'!$A$1:$AT$1,),)</f>
        <v/>
      </c>
      <c r="M65" s="25">
        <f>VLOOKUP(B65,'Data qoq'!$A:$AT,MATCH($M$1,'Data qoq'!$A$1:$AT$1,),)</f>
        <v/>
      </c>
      <c r="N65" s="25">
        <f>VLOOKUP(B65,'Data qoq'!$A:$AT,MATCH($N$1,'Data qoq'!$A$1:$AT$1,),)</f>
        <v/>
      </c>
      <c r="O65" s="25">
        <f>VLOOKUP(B65,'Data qoq'!$A:$AT,MATCH($C$1,'Data qoq'!$J$1:$AT$1,),)</f>
        <v/>
      </c>
      <c r="P65" s="25">
        <f>VLOOKUP(B65,'Data qoq'!$A:$AT,MATCH($P$1,'Data qoq'!$A$1:$AT$1,),)</f>
        <v/>
      </c>
      <c r="Q65" s="25">
        <f>VLOOKUP(B65,'Data qoq'!$A:$AT,MATCH($Q$1,'Data qoq'!$A$1:$AT$1,),)</f>
        <v/>
      </c>
      <c r="R65" s="25">
        <f>VLOOKUP(B65,'Data qoq'!$A:$AT,MATCH($E$1,'Data qoq'!$A$1:$AT$1,),)</f>
        <v/>
      </c>
      <c r="S65" s="25">
        <f>VLOOKUP(B65,'Data qoq'!$A:$AT,MATCH($S$1,'Data qoq'!$A$1:$AT$1,),)</f>
        <v/>
      </c>
      <c r="T65" s="25">
        <f>VLOOKUP(B65,'Data qoq'!$A:$AT,MATCH($T$1,'Data qoq'!$A$1:$AT$1,),)</f>
        <v/>
      </c>
      <c r="U65" s="25">
        <f>VLOOKUP(B65,'Data qoq'!$A:$AT,MATCH($U$1,'Data qoq'!$A$1:$AT$1,),)</f>
        <v/>
      </c>
      <c r="V65" s="25">
        <f>VLOOKUP(B65,'Data qoq'!$A:$AT,MATCH($V$1,'Data qoq'!$A$1:$AT$1,),)</f>
        <v/>
      </c>
      <c r="W65" s="25">
        <f>VLOOKUP(B65,'Data qoq'!$A:$AT,MATCH($W$1,'Data qoq'!$A$1:$AT$1,),)</f>
        <v/>
      </c>
      <c r="X65" s="25">
        <f>VLOOKUP(B65,'Data qoq'!$A:$AT,MATCH($X$1,'Data qoq'!$A$1:$AT$1,),)</f>
        <v/>
      </c>
      <c r="Y65" s="25">
        <f>VLOOKUP(B65,'Data qoq'!$A:$AT,MATCH($Y$1,'Data qoq'!$A$1:$AT$1,),)</f>
        <v/>
      </c>
      <c r="Z65" s="25">
        <f>VLOOKUP(B65,'Data qoq'!$A:$AU,MATCH($Z$1,'Data qoq'!$A$1:$AU$1,),)</f>
        <v/>
      </c>
      <c r="AA65" s="25">
        <f>VLOOKUP(B65,'Data qoq'!$A:$AU,MATCH($AA$1,'Data qoq'!$A$1:$AU$1,),)</f>
        <v/>
      </c>
      <c r="AC65" s="26">
        <f>B65</f>
        <v/>
      </c>
      <c r="AD65" s="27">
        <f>(VLOOKUP(AC65,B:Y,MATCH($AE$6,$B$1:$Y$1,),))-(VLOOKUP(AC65,B:Y,MATCH($AE$7,$B$1:$Y$1,),))</f>
        <v/>
      </c>
      <c r="AE65" s="27">
        <f>C65-G65</f>
        <v/>
      </c>
    </row>
    <row r="66" hidden="1" s="68">
      <c r="B66" s="24" t="inlineStr">
        <is>
          <t>2013-Q4</t>
        </is>
      </c>
      <c r="C66" s="25">
        <f>VLOOKUP(B66,'Data qoq'!$A:$AT,MATCH($C$1,'Data qoq'!$A$1:$AT$1,),)</f>
        <v/>
      </c>
      <c r="D66" s="25">
        <f>VLOOKUP(B66,'Data qoq'!$A:$AT,MATCH($D$1,'Data qoq'!$A$1:$AT$1,),)</f>
        <v/>
      </c>
      <c r="E66" s="25">
        <f>VLOOKUP(B66,'Data qoq'!$A:$AT,MATCH($E$1,'Data qoq'!$A$1:$AT$1,),)</f>
        <v/>
      </c>
      <c r="F66" s="25">
        <f>VLOOKUP(B66,'Data qoq'!$A:$AT,MATCH($F$1,'Data qoq'!$A$1:$AT$1,),)</f>
        <v/>
      </c>
      <c r="G66" s="25">
        <f>VLOOKUP(B66,'Data qoq'!$A:$AT,MATCH($G$1,'Data qoq'!$A$1:$AT$1,),)</f>
        <v/>
      </c>
      <c r="H66" s="25">
        <f>VLOOKUP(B66,'Data qoq'!$A:$AT,MATCH($H$1,'Data qoq'!$A$1:$AT$1,),)</f>
        <v/>
      </c>
      <c r="I66" s="25">
        <f>VLOOKUP(B66,'Data qoq'!$A:$AT,MATCH($I$1,'Data qoq'!$A$1:$AT$1,),)</f>
        <v/>
      </c>
      <c r="J66" s="25">
        <f>VLOOKUP(B66,'Data qoq'!$A:$AT,MATCH($J$1,'Data qoq'!$A$1:$AT$1,),)</f>
        <v/>
      </c>
      <c r="K66" s="25">
        <f>VLOOKUP(B66,'Data qoq'!$A:$AT,MATCH($K$1,'Data qoq'!$A$1:$AT$1,),)</f>
        <v/>
      </c>
      <c r="L66" s="25">
        <f>VLOOKUP(B66,'Data qoq'!$A:$AT,MATCH($L$1,'Data qoq'!$A$1:$AT$1,),)</f>
        <v/>
      </c>
      <c r="M66" s="25">
        <f>VLOOKUP(B66,'Data qoq'!$A:$AT,MATCH($M$1,'Data qoq'!$A$1:$AT$1,),)</f>
        <v/>
      </c>
      <c r="N66" s="25">
        <f>VLOOKUP(B66,'Data qoq'!$A:$AT,MATCH($N$1,'Data qoq'!$A$1:$AT$1,),)</f>
        <v/>
      </c>
      <c r="O66" s="25">
        <f>VLOOKUP(B66,'Data qoq'!$A:$AT,MATCH($C$1,'Data qoq'!$J$1:$AT$1,),)</f>
        <v/>
      </c>
      <c r="P66" s="25">
        <f>VLOOKUP(B66,'Data qoq'!$A:$AT,MATCH($P$1,'Data qoq'!$A$1:$AT$1,),)</f>
        <v/>
      </c>
      <c r="Q66" s="25">
        <f>VLOOKUP(B66,'Data qoq'!$A:$AT,MATCH($Q$1,'Data qoq'!$A$1:$AT$1,),)</f>
        <v/>
      </c>
      <c r="R66" s="25">
        <f>VLOOKUP(B66,'Data qoq'!$A:$AT,MATCH($E$1,'Data qoq'!$A$1:$AT$1,),)</f>
        <v/>
      </c>
      <c r="S66" s="25">
        <f>VLOOKUP(B66,'Data qoq'!$A:$AT,MATCH($S$1,'Data qoq'!$A$1:$AT$1,),)</f>
        <v/>
      </c>
      <c r="T66" s="25">
        <f>VLOOKUP(B66,'Data qoq'!$A:$AT,MATCH($T$1,'Data qoq'!$A$1:$AT$1,),)</f>
        <v/>
      </c>
      <c r="U66" s="25">
        <f>VLOOKUP(B66,'Data qoq'!$A:$AT,MATCH($U$1,'Data qoq'!$A$1:$AT$1,),)</f>
        <v/>
      </c>
      <c r="V66" s="25">
        <f>VLOOKUP(B66,'Data qoq'!$A:$AT,MATCH($V$1,'Data qoq'!$A$1:$AT$1,),)</f>
        <v/>
      </c>
      <c r="W66" s="25">
        <f>VLOOKUP(B66,'Data qoq'!$A:$AT,MATCH($W$1,'Data qoq'!$A$1:$AT$1,),)</f>
        <v/>
      </c>
      <c r="X66" s="25">
        <f>VLOOKUP(B66,'Data qoq'!$A:$AT,MATCH($X$1,'Data qoq'!$A$1:$AT$1,),)</f>
        <v/>
      </c>
      <c r="Y66" s="25">
        <f>VLOOKUP(B66,'Data qoq'!$A:$AT,MATCH($Y$1,'Data qoq'!$A$1:$AT$1,),)</f>
        <v/>
      </c>
      <c r="Z66" s="25">
        <f>VLOOKUP(B66,'Data qoq'!$A:$AU,MATCH($Z$1,'Data qoq'!$A$1:$AU$1,),)</f>
        <v/>
      </c>
      <c r="AA66" s="25">
        <f>VLOOKUP(B66,'Data qoq'!$A:$AU,MATCH($AA$1,'Data qoq'!$A$1:$AU$1,),)</f>
        <v/>
      </c>
      <c r="AC66" s="26">
        <f>B66</f>
        <v/>
      </c>
      <c r="AD66" s="27">
        <f>(VLOOKUP(AC66,B:Y,MATCH($AE$6,$B$1:$Y$1,),))-(VLOOKUP(AC66,B:Y,MATCH($AE$7,$B$1:$Y$1,),))</f>
        <v/>
      </c>
      <c r="AE66" s="27">
        <f>C66-G66</f>
        <v/>
      </c>
    </row>
    <row r="67" hidden="1" s="68">
      <c r="B67" s="24" t="inlineStr">
        <is>
          <t>2014-Q1</t>
        </is>
      </c>
      <c r="C67" s="25">
        <f>VLOOKUP(B67,'Data qoq'!$A:$AT,MATCH($C$1,'Data qoq'!$A$1:$AT$1,),)</f>
        <v/>
      </c>
      <c r="D67" s="25">
        <f>VLOOKUP(B67,'Data qoq'!$A:$AT,MATCH($D$1,'Data qoq'!$A$1:$AT$1,),)</f>
        <v/>
      </c>
      <c r="E67" s="25">
        <f>VLOOKUP(B67,'Data qoq'!$A:$AT,MATCH($E$1,'Data qoq'!$A$1:$AT$1,),)</f>
        <v/>
      </c>
      <c r="F67" s="25">
        <f>VLOOKUP(B67,'Data qoq'!$A:$AT,MATCH($F$1,'Data qoq'!$A$1:$AT$1,),)</f>
        <v/>
      </c>
      <c r="G67" s="25">
        <f>VLOOKUP(B67,'Data qoq'!$A:$AT,MATCH($G$1,'Data qoq'!$A$1:$AT$1,),)</f>
        <v/>
      </c>
      <c r="H67" s="25">
        <f>VLOOKUP(B67,'Data qoq'!$A:$AT,MATCH($H$1,'Data qoq'!$A$1:$AT$1,),)</f>
        <v/>
      </c>
      <c r="I67" s="25">
        <f>VLOOKUP(B67,'Data qoq'!$A:$AT,MATCH($I$1,'Data qoq'!$A$1:$AT$1,),)</f>
        <v/>
      </c>
      <c r="J67" s="25">
        <f>VLOOKUP(B67,'Data qoq'!$A:$AT,MATCH($J$1,'Data qoq'!$A$1:$AT$1,),)</f>
        <v/>
      </c>
      <c r="K67" s="25">
        <f>VLOOKUP(B67,'Data qoq'!$A:$AT,MATCH($K$1,'Data qoq'!$A$1:$AT$1,),)</f>
        <v/>
      </c>
      <c r="L67" s="25">
        <f>VLOOKUP(B67,'Data qoq'!$A:$AT,MATCH($L$1,'Data qoq'!$A$1:$AT$1,),)</f>
        <v/>
      </c>
      <c r="M67" s="25">
        <f>VLOOKUP(B67,'Data qoq'!$A:$AT,MATCH($M$1,'Data qoq'!$A$1:$AT$1,),)</f>
        <v/>
      </c>
      <c r="N67" s="25">
        <f>VLOOKUP(B67,'Data qoq'!$A:$AT,MATCH($N$1,'Data qoq'!$A$1:$AT$1,),)</f>
        <v/>
      </c>
      <c r="O67" s="25">
        <f>VLOOKUP(B67,'Data qoq'!$A:$AT,MATCH($C$1,'Data qoq'!$J$1:$AT$1,),)</f>
        <v/>
      </c>
      <c r="P67" s="25">
        <f>VLOOKUP(B67,'Data qoq'!$A:$AT,MATCH($P$1,'Data qoq'!$A$1:$AT$1,),)</f>
        <v/>
      </c>
      <c r="Q67" s="25">
        <f>VLOOKUP(B67,'Data qoq'!$A:$AT,MATCH($Q$1,'Data qoq'!$A$1:$AT$1,),)</f>
        <v/>
      </c>
      <c r="R67" s="25">
        <f>VLOOKUP(B67,'Data qoq'!$A:$AT,MATCH($E$1,'Data qoq'!$A$1:$AT$1,),)</f>
        <v/>
      </c>
      <c r="S67" s="25">
        <f>VLOOKUP(B67,'Data qoq'!$A:$AT,MATCH($S$1,'Data qoq'!$A$1:$AT$1,),)</f>
        <v/>
      </c>
      <c r="T67" s="25">
        <f>VLOOKUP(B67,'Data qoq'!$A:$AT,MATCH($T$1,'Data qoq'!$A$1:$AT$1,),)</f>
        <v/>
      </c>
      <c r="U67" s="25">
        <f>VLOOKUP(B67,'Data qoq'!$A:$AT,MATCH($U$1,'Data qoq'!$A$1:$AT$1,),)</f>
        <v/>
      </c>
      <c r="V67" s="25">
        <f>VLOOKUP(B67,'Data qoq'!$A:$AT,MATCH($V$1,'Data qoq'!$A$1:$AT$1,),)</f>
        <v/>
      </c>
      <c r="W67" s="25">
        <f>VLOOKUP(B67,'Data qoq'!$A:$AT,MATCH($W$1,'Data qoq'!$A$1:$AT$1,),)</f>
        <v/>
      </c>
      <c r="X67" s="25">
        <f>VLOOKUP(B67,'Data qoq'!$A:$AT,MATCH($X$1,'Data qoq'!$A$1:$AT$1,),)</f>
        <v/>
      </c>
      <c r="Y67" s="25">
        <f>VLOOKUP(B67,'Data qoq'!$A:$AT,MATCH($Y$1,'Data qoq'!$A$1:$AT$1,),)</f>
        <v/>
      </c>
      <c r="Z67" s="25">
        <f>VLOOKUP(B67,'Data qoq'!$A:$AU,MATCH($Z$1,'Data qoq'!$A$1:$AU$1,),)</f>
        <v/>
      </c>
      <c r="AA67" s="25">
        <f>VLOOKUP(B67,'Data qoq'!$A:$AU,MATCH($AA$1,'Data qoq'!$A$1:$AU$1,),)</f>
        <v/>
      </c>
      <c r="AC67" s="26">
        <f>B67</f>
        <v/>
      </c>
      <c r="AD67" s="27">
        <f>(VLOOKUP(AC67,B:Y,MATCH($AE$6,$B$1:$Y$1,),))-(VLOOKUP(AC67,B:Y,MATCH($AE$7,$B$1:$Y$1,),))</f>
        <v/>
      </c>
      <c r="AE67" s="27">
        <f>C67-G67</f>
        <v/>
      </c>
    </row>
    <row r="68" hidden="1" s="68">
      <c r="B68" s="24" t="inlineStr">
        <is>
          <t>2014-Q2</t>
        </is>
      </c>
      <c r="C68" s="25">
        <f>VLOOKUP(B68,'Data qoq'!$A:$AT,MATCH($C$1,'Data qoq'!$A$1:$AT$1,),)</f>
        <v/>
      </c>
      <c r="D68" s="25">
        <f>VLOOKUP(B68,'Data qoq'!$A:$AT,MATCH($D$1,'Data qoq'!$A$1:$AT$1,),)</f>
        <v/>
      </c>
      <c r="E68" s="25">
        <f>VLOOKUP(B68,'Data qoq'!$A:$AT,MATCH($E$1,'Data qoq'!$A$1:$AT$1,),)</f>
        <v/>
      </c>
      <c r="F68" s="25">
        <f>VLOOKUP(B68,'Data qoq'!$A:$AT,MATCH($F$1,'Data qoq'!$A$1:$AT$1,),)</f>
        <v/>
      </c>
      <c r="G68" s="25">
        <f>VLOOKUP(B68,'Data qoq'!$A:$AT,MATCH($G$1,'Data qoq'!$A$1:$AT$1,),)</f>
        <v/>
      </c>
      <c r="H68" s="25">
        <f>VLOOKUP(B68,'Data qoq'!$A:$AT,MATCH($H$1,'Data qoq'!$A$1:$AT$1,),)</f>
        <v/>
      </c>
      <c r="I68" s="25">
        <f>VLOOKUP(B68,'Data qoq'!$A:$AT,MATCH($I$1,'Data qoq'!$A$1:$AT$1,),)</f>
        <v/>
      </c>
      <c r="J68" s="25">
        <f>VLOOKUP(B68,'Data qoq'!$A:$AT,MATCH($J$1,'Data qoq'!$A$1:$AT$1,),)</f>
        <v/>
      </c>
      <c r="K68" s="25">
        <f>VLOOKUP(B68,'Data qoq'!$A:$AT,MATCH($K$1,'Data qoq'!$A$1:$AT$1,),)</f>
        <v/>
      </c>
      <c r="L68" s="25">
        <f>VLOOKUP(B68,'Data qoq'!$A:$AT,MATCH($L$1,'Data qoq'!$A$1:$AT$1,),)</f>
        <v/>
      </c>
      <c r="M68" s="25">
        <f>VLOOKUP(B68,'Data qoq'!$A:$AT,MATCH($M$1,'Data qoq'!$A$1:$AT$1,),)</f>
        <v/>
      </c>
      <c r="N68" s="25">
        <f>VLOOKUP(B68,'Data qoq'!$A:$AT,MATCH($N$1,'Data qoq'!$A$1:$AT$1,),)</f>
        <v/>
      </c>
      <c r="O68" s="25">
        <f>VLOOKUP(B68,'Data qoq'!$A:$AT,MATCH($C$1,'Data qoq'!$J$1:$AT$1,),)</f>
        <v/>
      </c>
      <c r="P68" s="25">
        <f>VLOOKUP(B68,'Data qoq'!$A:$AT,MATCH($P$1,'Data qoq'!$A$1:$AT$1,),)</f>
        <v/>
      </c>
      <c r="Q68" s="25">
        <f>VLOOKUP(B68,'Data qoq'!$A:$AT,MATCH($Q$1,'Data qoq'!$A$1:$AT$1,),)</f>
        <v/>
      </c>
      <c r="R68" s="25">
        <f>VLOOKUP(B68,'Data qoq'!$A:$AT,MATCH($E$1,'Data qoq'!$A$1:$AT$1,),)</f>
        <v/>
      </c>
      <c r="S68" s="25">
        <f>VLOOKUP(B68,'Data qoq'!$A:$AT,MATCH($S$1,'Data qoq'!$A$1:$AT$1,),)</f>
        <v/>
      </c>
      <c r="T68" s="25">
        <f>VLOOKUP(B68,'Data qoq'!$A:$AT,MATCH($T$1,'Data qoq'!$A$1:$AT$1,),)</f>
        <v/>
      </c>
      <c r="U68" s="25">
        <f>VLOOKUP(B68,'Data qoq'!$A:$AT,MATCH($U$1,'Data qoq'!$A$1:$AT$1,),)</f>
        <v/>
      </c>
      <c r="V68" s="25">
        <f>VLOOKUP(B68,'Data qoq'!$A:$AT,MATCH($V$1,'Data qoq'!$A$1:$AT$1,),)</f>
        <v/>
      </c>
      <c r="W68" s="25">
        <f>VLOOKUP(B68,'Data qoq'!$A:$AT,MATCH($W$1,'Data qoq'!$A$1:$AT$1,),)</f>
        <v/>
      </c>
      <c r="X68" s="25">
        <f>VLOOKUP(B68,'Data qoq'!$A:$AT,MATCH($X$1,'Data qoq'!$A$1:$AT$1,),)</f>
        <v/>
      </c>
      <c r="Y68" s="25">
        <f>VLOOKUP(B68,'Data qoq'!$A:$AT,MATCH($Y$1,'Data qoq'!$A$1:$AT$1,),)</f>
        <v/>
      </c>
      <c r="Z68" s="25">
        <f>VLOOKUP(B68,'Data qoq'!$A:$AU,MATCH($Z$1,'Data qoq'!$A$1:$AU$1,),)</f>
        <v/>
      </c>
      <c r="AA68" s="25">
        <f>VLOOKUP(B68,'Data qoq'!$A:$AU,MATCH($AA$1,'Data qoq'!$A$1:$AU$1,),)</f>
        <v/>
      </c>
      <c r="AC68" s="26">
        <f>B68</f>
        <v/>
      </c>
      <c r="AD68" s="27">
        <f>(VLOOKUP(AC68,B:Y,MATCH($AE$6,$B$1:$Y$1,),))-(VLOOKUP(AC68,B:Y,MATCH($AE$7,$B$1:$Y$1,),))</f>
        <v/>
      </c>
      <c r="AE68" s="27">
        <f>C68-G68</f>
        <v/>
      </c>
    </row>
    <row r="69" hidden="1" s="68">
      <c r="B69" s="24" t="inlineStr">
        <is>
          <t>2014-Q3</t>
        </is>
      </c>
      <c r="C69" s="25">
        <f>VLOOKUP(B69,'Data qoq'!$A:$AT,MATCH($C$1,'Data qoq'!$A$1:$AT$1,),)</f>
        <v/>
      </c>
      <c r="D69" s="25">
        <f>VLOOKUP(B69,'Data qoq'!$A:$AT,MATCH($D$1,'Data qoq'!$A$1:$AT$1,),)</f>
        <v/>
      </c>
      <c r="E69" s="25">
        <f>VLOOKUP(B69,'Data qoq'!$A:$AT,MATCH($E$1,'Data qoq'!$A$1:$AT$1,),)</f>
        <v/>
      </c>
      <c r="F69" s="25">
        <f>VLOOKUP(B69,'Data qoq'!$A:$AT,MATCH($F$1,'Data qoq'!$A$1:$AT$1,),)</f>
        <v/>
      </c>
      <c r="G69" s="25">
        <f>VLOOKUP(B69,'Data qoq'!$A:$AT,MATCH($G$1,'Data qoq'!$A$1:$AT$1,),)</f>
        <v/>
      </c>
      <c r="H69" s="25">
        <f>VLOOKUP(B69,'Data qoq'!$A:$AT,MATCH($H$1,'Data qoq'!$A$1:$AT$1,),)</f>
        <v/>
      </c>
      <c r="I69" s="25">
        <f>VLOOKUP(B69,'Data qoq'!$A:$AT,MATCH($I$1,'Data qoq'!$A$1:$AT$1,),)</f>
        <v/>
      </c>
      <c r="J69" s="25">
        <f>VLOOKUP(B69,'Data qoq'!$A:$AT,MATCH($J$1,'Data qoq'!$A$1:$AT$1,),)</f>
        <v/>
      </c>
      <c r="K69" s="25">
        <f>VLOOKUP(B69,'Data qoq'!$A:$AT,MATCH($K$1,'Data qoq'!$A$1:$AT$1,),)</f>
        <v/>
      </c>
      <c r="L69" s="25">
        <f>VLOOKUP(B69,'Data qoq'!$A:$AT,MATCH($L$1,'Data qoq'!$A$1:$AT$1,),)</f>
        <v/>
      </c>
      <c r="M69" s="25">
        <f>VLOOKUP(B69,'Data qoq'!$A:$AT,MATCH($M$1,'Data qoq'!$A$1:$AT$1,),)</f>
        <v/>
      </c>
      <c r="N69" s="25">
        <f>VLOOKUP(B69,'Data qoq'!$A:$AT,MATCH($N$1,'Data qoq'!$A$1:$AT$1,),)</f>
        <v/>
      </c>
      <c r="O69" s="25">
        <f>VLOOKUP(B69,'Data qoq'!$A:$AT,MATCH($C$1,'Data qoq'!$J$1:$AT$1,),)</f>
        <v/>
      </c>
      <c r="P69" s="25">
        <f>VLOOKUP(B69,'Data qoq'!$A:$AT,MATCH($P$1,'Data qoq'!$A$1:$AT$1,),)</f>
        <v/>
      </c>
      <c r="Q69" s="25">
        <f>VLOOKUP(B69,'Data qoq'!$A:$AT,MATCH($Q$1,'Data qoq'!$A$1:$AT$1,),)</f>
        <v/>
      </c>
      <c r="R69" s="25">
        <f>VLOOKUP(B69,'Data qoq'!$A:$AT,MATCH($E$1,'Data qoq'!$A$1:$AT$1,),)</f>
        <v/>
      </c>
      <c r="S69" s="25">
        <f>VLOOKUP(B69,'Data qoq'!$A:$AT,MATCH($S$1,'Data qoq'!$A$1:$AT$1,),)</f>
        <v/>
      </c>
      <c r="T69" s="25">
        <f>VLOOKUP(B69,'Data qoq'!$A:$AT,MATCH($T$1,'Data qoq'!$A$1:$AT$1,),)</f>
        <v/>
      </c>
      <c r="U69" s="25">
        <f>VLOOKUP(B69,'Data qoq'!$A:$AT,MATCH($U$1,'Data qoq'!$A$1:$AT$1,),)</f>
        <v/>
      </c>
      <c r="V69" s="25">
        <f>VLOOKUP(B69,'Data qoq'!$A:$AT,MATCH($V$1,'Data qoq'!$A$1:$AT$1,),)</f>
        <v/>
      </c>
      <c r="W69" s="25">
        <f>VLOOKUP(B69,'Data qoq'!$A:$AT,MATCH($W$1,'Data qoq'!$A$1:$AT$1,),)</f>
        <v/>
      </c>
      <c r="X69" s="25">
        <f>VLOOKUP(B69,'Data qoq'!$A:$AT,MATCH($X$1,'Data qoq'!$A$1:$AT$1,),)</f>
        <v/>
      </c>
      <c r="Y69" s="25">
        <f>VLOOKUP(B69,'Data qoq'!$A:$AT,MATCH($Y$1,'Data qoq'!$A$1:$AT$1,),)</f>
        <v/>
      </c>
      <c r="Z69" s="25">
        <f>VLOOKUP(B69,'Data qoq'!$A:$AU,MATCH($Z$1,'Data qoq'!$A$1:$AU$1,),)</f>
        <v/>
      </c>
      <c r="AA69" s="25">
        <f>VLOOKUP(B69,'Data qoq'!$A:$AU,MATCH($AA$1,'Data qoq'!$A$1:$AU$1,),)</f>
        <v/>
      </c>
      <c r="AC69" s="26">
        <f>B69</f>
        <v/>
      </c>
      <c r="AD69" s="27">
        <f>(VLOOKUP(AC69,B:Y,MATCH($AE$6,$B$1:$Y$1,),))-(VLOOKUP(AC69,B:Y,MATCH($AE$7,$B$1:$Y$1,),))</f>
        <v/>
      </c>
      <c r="AE69" s="27">
        <f>C69-G69</f>
        <v/>
      </c>
    </row>
    <row r="70" hidden="1" s="68">
      <c r="B70" s="24" t="inlineStr">
        <is>
          <t>2014-Q4</t>
        </is>
      </c>
      <c r="C70" s="25">
        <f>VLOOKUP(B70,'Data qoq'!$A:$AT,MATCH($C$1,'Data qoq'!$A$1:$AT$1,),)</f>
        <v/>
      </c>
      <c r="D70" s="25">
        <f>VLOOKUP(B70,'Data qoq'!$A:$AT,MATCH($D$1,'Data qoq'!$A$1:$AT$1,),)</f>
        <v/>
      </c>
      <c r="E70" s="25">
        <f>VLOOKUP(B70,'Data qoq'!$A:$AT,MATCH($E$1,'Data qoq'!$A$1:$AT$1,),)</f>
        <v/>
      </c>
      <c r="F70" s="25">
        <f>VLOOKUP(B70,'Data qoq'!$A:$AT,MATCH($F$1,'Data qoq'!$A$1:$AT$1,),)</f>
        <v/>
      </c>
      <c r="G70" s="25">
        <f>VLOOKUP(B70,'Data qoq'!$A:$AT,MATCH($G$1,'Data qoq'!$A$1:$AT$1,),)</f>
        <v/>
      </c>
      <c r="H70" s="25">
        <f>VLOOKUP(B70,'Data qoq'!$A:$AT,MATCH($H$1,'Data qoq'!$A$1:$AT$1,),)</f>
        <v/>
      </c>
      <c r="I70" s="25">
        <f>VLOOKUP(B70,'Data qoq'!$A:$AT,MATCH($I$1,'Data qoq'!$A$1:$AT$1,),)</f>
        <v/>
      </c>
      <c r="J70" s="25">
        <f>VLOOKUP(B70,'Data qoq'!$A:$AT,MATCH($J$1,'Data qoq'!$A$1:$AT$1,),)</f>
        <v/>
      </c>
      <c r="K70" s="25">
        <f>VLOOKUP(B70,'Data qoq'!$A:$AT,MATCH($K$1,'Data qoq'!$A$1:$AT$1,),)</f>
        <v/>
      </c>
      <c r="L70" s="25">
        <f>VLOOKUP(B70,'Data qoq'!$A:$AT,MATCH($L$1,'Data qoq'!$A$1:$AT$1,),)</f>
        <v/>
      </c>
      <c r="M70" s="25">
        <f>VLOOKUP(B70,'Data qoq'!$A:$AT,MATCH($M$1,'Data qoq'!$A$1:$AT$1,),)</f>
        <v/>
      </c>
      <c r="N70" s="25">
        <f>VLOOKUP(B70,'Data qoq'!$A:$AT,MATCH($N$1,'Data qoq'!$A$1:$AT$1,),)</f>
        <v/>
      </c>
      <c r="O70" s="25">
        <f>VLOOKUP(B70,'Data qoq'!$A:$AT,MATCH($C$1,'Data qoq'!$J$1:$AT$1,),)</f>
        <v/>
      </c>
      <c r="P70" s="25">
        <f>VLOOKUP(B70,'Data qoq'!$A:$AT,MATCH($P$1,'Data qoq'!$A$1:$AT$1,),)</f>
        <v/>
      </c>
      <c r="Q70" s="25">
        <f>VLOOKUP(B70,'Data qoq'!$A:$AT,MATCH($Q$1,'Data qoq'!$A$1:$AT$1,),)</f>
        <v/>
      </c>
      <c r="R70" s="25">
        <f>VLOOKUP(B70,'Data qoq'!$A:$AT,MATCH($E$1,'Data qoq'!$A$1:$AT$1,),)</f>
        <v/>
      </c>
      <c r="S70" s="25">
        <f>VLOOKUP(B70,'Data qoq'!$A:$AT,MATCH($S$1,'Data qoq'!$A$1:$AT$1,),)</f>
        <v/>
      </c>
      <c r="T70" s="25">
        <f>VLOOKUP(B70,'Data qoq'!$A:$AT,MATCH($T$1,'Data qoq'!$A$1:$AT$1,),)</f>
        <v/>
      </c>
      <c r="U70" s="25">
        <f>VLOOKUP(B70,'Data qoq'!$A:$AT,MATCH($U$1,'Data qoq'!$A$1:$AT$1,),)</f>
        <v/>
      </c>
      <c r="V70" s="25">
        <f>VLOOKUP(B70,'Data qoq'!$A:$AT,MATCH($V$1,'Data qoq'!$A$1:$AT$1,),)</f>
        <v/>
      </c>
      <c r="W70" s="25">
        <f>VLOOKUP(B70,'Data qoq'!$A:$AT,MATCH($W$1,'Data qoq'!$A$1:$AT$1,),)</f>
        <v/>
      </c>
      <c r="X70" s="25">
        <f>VLOOKUP(B70,'Data qoq'!$A:$AT,MATCH($X$1,'Data qoq'!$A$1:$AT$1,),)</f>
        <v/>
      </c>
      <c r="Y70" s="25">
        <f>VLOOKUP(B70,'Data qoq'!$A:$AT,MATCH($Y$1,'Data qoq'!$A$1:$AT$1,),)</f>
        <v/>
      </c>
      <c r="Z70" s="25">
        <f>VLOOKUP(B70,'Data qoq'!$A:$AU,MATCH($Z$1,'Data qoq'!$A$1:$AU$1,),)</f>
        <v/>
      </c>
      <c r="AA70" s="25">
        <f>VLOOKUP(B70,'Data qoq'!$A:$AU,MATCH($AA$1,'Data qoq'!$A$1:$AU$1,),)</f>
        <v/>
      </c>
      <c r="AC70" s="26">
        <f>B70</f>
        <v/>
      </c>
      <c r="AD70" s="27">
        <f>(VLOOKUP(AC70,B:Y,MATCH($AE$6,$B$1:$Y$1,),))-(VLOOKUP(AC70,B:Y,MATCH($AE$7,$B$1:$Y$1,),))</f>
        <v/>
      </c>
      <c r="AE70" s="27">
        <f>C70-G70</f>
        <v/>
      </c>
    </row>
    <row r="71">
      <c r="B71" s="24" t="inlineStr">
        <is>
          <t>2015-Q1</t>
        </is>
      </c>
      <c r="C71" s="25">
        <f>VLOOKUP(B71,'Data qoq'!$A:$AT,MATCH($C$1,'Data qoq'!$A$1:$AT$1,),)</f>
        <v/>
      </c>
      <c r="D71" s="25">
        <f>VLOOKUP(B71,'Data qoq'!$A:$AT,MATCH($D$1,'Data qoq'!$A$1:$AT$1,),)</f>
        <v/>
      </c>
      <c r="E71" s="25">
        <f>VLOOKUP(B71,'Data qoq'!$A:$AT,MATCH($E$1,'Data qoq'!$A$1:$AT$1,),)</f>
        <v/>
      </c>
      <c r="F71" s="25">
        <f>VLOOKUP(B71,'Data qoq'!$A:$AT,MATCH($F$1,'Data qoq'!$A$1:$AT$1,),)</f>
        <v/>
      </c>
      <c r="G71" s="25">
        <f>VLOOKUP(B71,'Data qoq'!$A:$AT,MATCH($G$1,'Data qoq'!$A$1:$AT$1,),)</f>
        <v/>
      </c>
      <c r="H71" s="25">
        <f>VLOOKUP(B71,'Data qoq'!$A:$AT,MATCH($H$1,'Data qoq'!$A$1:$AT$1,),)</f>
        <v/>
      </c>
      <c r="I71" s="25">
        <f>VLOOKUP(B71,'Data qoq'!$A:$AT,MATCH($I$1,'Data qoq'!$A$1:$AT$1,),)</f>
        <v/>
      </c>
      <c r="J71" s="25">
        <f>VLOOKUP(B71,'Data qoq'!$A:$AT,MATCH($J$1,'Data qoq'!$A$1:$AT$1,),)</f>
        <v/>
      </c>
      <c r="K71" s="25">
        <f>VLOOKUP(B71,'Data qoq'!$A:$AT,MATCH($K$1,'Data qoq'!$A$1:$AT$1,),)</f>
        <v/>
      </c>
      <c r="L71" s="25">
        <f>VLOOKUP(B71,'Data qoq'!$A:$AT,MATCH($L$1,'Data qoq'!$A$1:$AT$1,),)</f>
        <v/>
      </c>
      <c r="M71" s="25">
        <f>VLOOKUP(B71,'Data qoq'!$A:$AT,MATCH($M$1,'Data qoq'!$A$1:$AT$1,),)</f>
        <v/>
      </c>
      <c r="N71" s="25">
        <f>VLOOKUP(B71,'Data qoq'!$A:$AT,MATCH($N$1,'Data qoq'!$A$1:$AT$1,),)</f>
        <v/>
      </c>
      <c r="O71" s="25">
        <f>VLOOKUP(B71,'Data qoq'!$A:$AT,MATCH($O$1,'Data qoq'!$J$1:$AT$1,),)</f>
        <v/>
      </c>
      <c r="P71" s="25">
        <f>VLOOKUP(B71,'Data qoq'!$A:$AT,MATCH($P$1,'Data qoq'!$A$1:$AT$1,),)</f>
        <v/>
      </c>
      <c r="Q71" s="25">
        <f>VLOOKUP(B71,'Data qoq'!$A:$AT,MATCH($Q$1,'Data qoq'!$A$1:$AT$1,),)</f>
        <v/>
      </c>
      <c r="R71" s="25">
        <f>VLOOKUP(B71,'Data qoq'!$A:$AT,MATCH($R$1,'Data qoq'!$A$1:$AT$1,),)</f>
        <v/>
      </c>
      <c r="S71" s="25">
        <f>VLOOKUP(B71,'Data qoq'!$A:$AT,MATCH($S$1,'Data qoq'!$A$1:$AT$1,),)</f>
        <v/>
      </c>
      <c r="T71" s="25">
        <f>VLOOKUP(B71,'Data qoq'!$A:$AT,MATCH($T$1,'Data qoq'!$A$1:$AT$1,),)</f>
        <v/>
      </c>
      <c r="U71" s="25">
        <f>VLOOKUP(B71,'Data qoq'!$A:$AT,MATCH($U$1,'Data qoq'!$A$1:$AT$1,),)</f>
        <v/>
      </c>
      <c r="V71" s="25">
        <f>VLOOKUP(B71,'Data qoq'!$A:$AT,MATCH($V$1,'Data qoq'!$A$1:$AT$1,),)</f>
        <v/>
      </c>
      <c r="W71" s="25">
        <f>VLOOKUP(B71,'Data qoq'!$A:$AT,MATCH($W$1,'Data qoq'!$A$1:$AT$1,),)</f>
        <v/>
      </c>
      <c r="X71" s="25">
        <f>VLOOKUP(B71,'Data qoq'!$A:$AT,MATCH($X$1,'Data qoq'!$A$1:$AT$1,),)</f>
        <v/>
      </c>
      <c r="Y71" s="25">
        <f>VLOOKUP(B71,'Data qoq'!$A:$AT,MATCH($Y$1,'Data qoq'!$A$1:$AT$1,),)</f>
        <v/>
      </c>
      <c r="Z71" s="25">
        <f>VLOOKUP(B71,'Data qoq'!$A:$AU,MATCH($Z$1,'Data qoq'!$A$1:$AU$1,),)</f>
        <v/>
      </c>
      <c r="AA71" s="25">
        <f>VLOOKUP(B71,'Data qoq'!$A:$AU,MATCH($AA$1,'Data qoq'!$A$1:$AU$1,),)</f>
        <v/>
      </c>
      <c r="AC71" s="26">
        <f>B71</f>
        <v/>
      </c>
      <c r="AD71" s="27">
        <f>(VLOOKUP(AC71,B:Y,MATCH($AE$6,$B$1:$Y$1,),))-(VLOOKUP(AC71,B:Y,MATCH($AE$7,$B$1:$Y$1,),))</f>
        <v/>
      </c>
      <c r="AE71" s="27">
        <f>C71-G71</f>
        <v/>
      </c>
    </row>
    <row r="72">
      <c r="B72" s="24" t="inlineStr">
        <is>
          <t>2015-Q2</t>
        </is>
      </c>
      <c r="C72" s="25">
        <f>VLOOKUP(B72,'Data qoq'!$A:$AT,MATCH($C$1,'Data qoq'!$A$1:$AT$1,),)</f>
        <v/>
      </c>
      <c r="D72" s="25">
        <f>VLOOKUP(B72,'Data qoq'!$A:$AT,MATCH($D$1,'Data qoq'!$A$1:$AT$1,),)</f>
        <v/>
      </c>
      <c r="E72" s="25">
        <f>VLOOKUP(B72,'Data qoq'!$A:$AT,MATCH($E$1,'Data qoq'!$A$1:$AT$1,),)</f>
        <v/>
      </c>
      <c r="F72" s="25">
        <f>VLOOKUP(B72,'Data qoq'!$A:$AT,MATCH($F$1,'Data qoq'!$A$1:$AT$1,),)</f>
        <v/>
      </c>
      <c r="G72" s="25">
        <f>VLOOKUP(B72,'Data qoq'!$A:$AT,MATCH($G$1,'Data qoq'!$A$1:$AT$1,),)</f>
        <v/>
      </c>
      <c r="H72" s="25">
        <f>VLOOKUP(B72,'Data qoq'!$A:$AT,MATCH($H$1,'Data qoq'!$A$1:$AT$1,),)</f>
        <v/>
      </c>
      <c r="I72" s="25">
        <f>VLOOKUP(B72,'Data qoq'!$A:$AT,MATCH($I$1,'Data qoq'!$A$1:$AT$1,),)</f>
        <v/>
      </c>
      <c r="J72" s="25">
        <f>VLOOKUP(B72,'Data qoq'!$A:$AT,MATCH($J$1,'Data qoq'!$A$1:$AT$1,),)</f>
        <v/>
      </c>
      <c r="K72" s="25">
        <f>VLOOKUP(B72,'Data qoq'!$A:$AT,MATCH($K$1,'Data qoq'!$A$1:$AT$1,),)</f>
        <v/>
      </c>
      <c r="L72" s="25">
        <f>VLOOKUP(B72,'Data qoq'!$A:$AT,MATCH($L$1,'Data qoq'!$A$1:$AT$1,),)</f>
        <v/>
      </c>
      <c r="M72" s="25">
        <f>VLOOKUP(B72,'Data qoq'!$A:$AT,MATCH($M$1,'Data qoq'!$A$1:$AT$1,),)</f>
        <v/>
      </c>
      <c r="N72" s="25">
        <f>VLOOKUP(B72,'Data qoq'!$A:$AT,MATCH($N$1,'Data qoq'!$A$1:$AT$1,),)</f>
        <v/>
      </c>
      <c r="O72" s="25">
        <f>VLOOKUP(B72,'Data qoq'!$A:$AT,MATCH($O$1,'Data qoq'!$J$1:$AT$1,),)</f>
        <v/>
      </c>
      <c r="P72" s="25">
        <f>VLOOKUP(B72,'Data qoq'!$A:$AT,MATCH($P$1,'Data qoq'!$A$1:$AT$1,),)</f>
        <v/>
      </c>
      <c r="Q72" s="25">
        <f>VLOOKUP(B72,'Data qoq'!$A:$AT,MATCH($Q$1,'Data qoq'!$A$1:$AT$1,),)</f>
        <v/>
      </c>
      <c r="R72" s="25">
        <f>VLOOKUP(B72,'Data qoq'!$A:$AT,MATCH($R$1,'Data qoq'!$A$1:$AT$1,),)</f>
        <v/>
      </c>
      <c r="S72" s="25">
        <f>VLOOKUP(B72,'Data qoq'!$A:$AT,MATCH($S$1,'Data qoq'!$A$1:$AT$1,),)</f>
        <v/>
      </c>
      <c r="T72" s="25">
        <f>VLOOKUP(B72,'Data qoq'!$A:$AT,MATCH($T$1,'Data qoq'!$A$1:$AT$1,),)</f>
        <v/>
      </c>
      <c r="U72" s="25">
        <f>VLOOKUP(B72,'Data qoq'!$A:$AT,MATCH($U$1,'Data qoq'!$A$1:$AT$1,),)</f>
        <v/>
      </c>
      <c r="V72" s="25">
        <f>VLOOKUP(B72,'Data qoq'!$A:$AT,MATCH($V$1,'Data qoq'!$A$1:$AT$1,),)</f>
        <v/>
      </c>
      <c r="W72" s="25">
        <f>VLOOKUP(B72,'Data qoq'!$A:$AT,MATCH($W$1,'Data qoq'!$A$1:$AT$1,),)</f>
        <v/>
      </c>
      <c r="X72" s="25">
        <f>VLOOKUP(B72,'Data qoq'!$A:$AT,MATCH($X$1,'Data qoq'!$A$1:$AT$1,),)</f>
        <v/>
      </c>
      <c r="Y72" s="25">
        <f>VLOOKUP(B72,'Data qoq'!$A:$AT,MATCH($Y$1,'Data qoq'!$A$1:$AT$1,),)</f>
        <v/>
      </c>
      <c r="Z72" s="25">
        <f>VLOOKUP(B72,'Data qoq'!$A:$AU,MATCH($Z$1,'Data qoq'!$A$1:$AU$1,),)</f>
        <v/>
      </c>
      <c r="AA72" s="25">
        <f>VLOOKUP(B72,'Data qoq'!$A:$AU,MATCH($AA$1,'Data qoq'!$A$1:$AU$1,),)</f>
        <v/>
      </c>
      <c r="AC72" s="26">
        <f>B72</f>
        <v/>
      </c>
      <c r="AD72" s="27">
        <f>(VLOOKUP(AC72,B:Y,MATCH($AE$6,$B$1:$Y$1,),))-(VLOOKUP(AC72,B:Y,MATCH($AE$7,$B$1:$Y$1,),))</f>
        <v/>
      </c>
      <c r="AE72" s="27">
        <f>C72-G72</f>
        <v/>
      </c>
    </row>
    <row r="73">
      <c r="B73" s="24" t="inlineStr">
        <is>
          <t>2015-Q3</t>
        </is>
      </c>
      <c r="C73" s="25">
        <f>VLOOKUP(B73,'Data qoq'!$A:$AT,MATCH($C$1,'Data qoq'!$A$1:$AT$1,),)</f>
        <v/>
      </c>
      <c r="D73" s="25">
        <f>VLOOKUP(B73,'Data qoq'!$A:$AT,MATCH($D$1,'Data qoq'!$A$1:$AT$1,),)</f>
        <v/>
      </c>
      <c r="E73" s="25">
        <f>VLOOKUP(B73,'Data qoq'!$A:$AT,MATCH($E$1,'Data qoq'!$A$1:$AT$1,),)</f>
        <v/>
      </c>
      <c r="F73" s="25">
        <f>VLOOKUP(B73,'Data qoq'!$A:$AT,MATCH($F$1,'Data qoq'!$A$1:$AT$1,),)</f>
        <v/>
      </c>
      <c r="G73" s="25">
        <f>VLOOKUP(B73,'Data qoq'!$A:$AT,MATCH($G$1,'Data qoq'!$A$1:$AT$1,),)</f>
        <v/>
      </c>
      <c r="H73" s="25">
        <f>VLOOKUP(B73,'Data qoq'!$A:$AT,MATCH($H$1,'Data qoq'!$A$1:$AT$1,),)</f>
        <v/>
      </c>
      <c r="I73" s="25">
        <f>VLOOKUP(B73,'Data qoq'!$A:$AT,MATCH($I$1,'Data qoq'!$A$1:$AT$1,),)</f>
        <v/>
      </c>
      <c r="J73" s="25">
        <f>VLOOKUP(B73,'Data qoq'!$A:$AT,MATCH($J$1,'Data qoq'!$A$1:$AT$1,),)</f>
        <v/>
      </c>
      <c r="K73" s="25">
        <f>VLOOKUP(B73,'Data qoq'!$A:$AT,MATCH($K$1,'Data qoq'!$A$1:$AT$1,),)</f>
        <v/>
      </c>
      <c r="L73" s="25">
        <f>VLOOKUP(B73,'Data qoq'!$A:$AT,MATCH($L$1,'Data qoq'!$A$1:$AT$1,),)</f>
        <v/>
      </c>
      <c r="M73" s="25">
        <f>VLOOKUP(B73,'Data qoq'!$A:$AT,MATCH($M$1,'Data qoq'!$A$1:$AT$1,),)</f>
        <v/>
      </c>
      <c r="N73" s="25">
        <f>VLOOKUP(B73,'Data qoq'!$A:$AT,MATCH($N$1,'Data qoq'!$A$1:$AT$1,),)</f>
        <v/>
      </c>
      <c r="O73" s="25">
        <f>VLOOKUP(B73,'Data qoq'!$A:$AT,MATCH($O$1,'Data qoq'!$J$1:$AT$1,),)</f>
        <v/>
      </c>
      <c r="P73" s="25">
        <f>VLOOKUP(B73,'Data qoq'!$A:$AT,MATCH($P$1,'Data qoq'!$A$1:$AT$1,),)</f>
        <v/>
      </c>
      <c r="Q73" s="25">
        <f>VLOOKUP(B73,'Data qoq'!$A:$AT,MATCH($Q$1,'Data qoq'!$A$1:$AT$1,),)</f>
        <v/>
      </c>
      <c r="R73" s="25">
        <f>VLOOKUP(B73,'Data qoq'!$A:$AT,MATCH($R$1,'Data qoq'!$A$1:$AT$1,),)</f>
        <v/>
      </c>
      <c r="S73" s="25">
        <f>VLOOKUP(B73,'Data qoq'!$A:$AT,MATCH($S$1,'Data qoq'!$A$1:$AT$1,),)</f>
        <v/>
      </c>
      <c r="T73" s="25">
        <f>VLOOKUP(B73,'Data qoq'!$A:$AT,MATCH($T$1,'Data qoq'!$A$1:$AT$1,),)</f>
        <v/>
      </c>
      <c r="U73" s="25">
        <f>VLOOKUP(B73,'Data qoq'!$A:$AT,MATCH($U$1,'Data qoq'!$A$1:$AT$1,),)</f>
        <v/>
      </c>
      <c r="V73" s="25">
        <f>VLOOKUP(B73,'Data qoq'!$A:$AT,MATCH($V$1,'Data qoq'!$A$1:$AT$1,),)</f>
        <v/>
      </c>
      <c r="W73" s="25">
        <f>VLOOKUP(B73,'Data qoq'!$A:$AT,MATCH($W$1,'Data qoq'!$A$1:$AT$1,),)</f>
        <v/>
      </c>
      <c r="X73" s="25">
        <f>VLOOKUP(B73,'Data qoq'!$A:$AT,MATCH($X$1,'Data qoq'!$A$1:$AT$1,),)</f>
        <v/>
      </c>
      <c r="Y73" s="25">
        <f>VLOOKUP(B73,'Data qoq'!$A:$AT,MATCH($Y$1,'Data qoq'!$A$1:$AT$1,),)</f>
        <v/>
      </c>
      <c r="Z73" s="25">
        <f>VLOOKUP(B73,'Data qoq'!$A:$AU,MATCH($Z$1,'Data qoq'!$A$1:$AU$1,),)</f>
        <v/>
      </c>
      <c r="AA73" s="25">
        <f>VLOOKUP(B73,'Data qoq'!$A:$AU,MATCH($AA$1,'Data qoq'!$A$1:$AU$1,),)</f>
        <v/>
      </c>
      <c r="AC73" s="26">
        <f>B73</f>
        <v/>
      </c>
      <c r="AD73" s="27">
        <f>(VLOOKUP(AC73,B:Y,MATCH($AE$6,$B$1:$Y$1,),))-(VLOOKUP(AC73,B:Y,MATCH($AE$7,$B$1:$Y$1,),))</f>
        <v/>
      </c>
      <c r="AE73" s="27">
        <f>C73-G73</f>
        <v/>
      </c>
    </row>
    <row r="74">
      <c r="B74" s="24" t="inlineStr">
        <is>
          <t>2015-Q4</t>
        </is>
      </c>
      <c r="C74" s="25">
        <f>VLOOKUP(B74,'Data qoq'!$A:$AT,MATCH($C$1,'Data qoq'!$A$1:$AT$1,),)</f>
        <v/>
      </c>
      <c r="D74" s="25">
        <f>VLOOKUP(B74,'Data qoq'!$A:$AT,MATCH($D$1,'Data qoq'!$A$1:$AT$1,),)</f>
        <v/>
      </c>
      <c r="E74" s="25">
        <f>VLOOKUP(B74,'Data qoq'!$A:$AT,MATCH($E$1,'Data qoq'!$A$1:$AT$1,),)</f>
        <v/>
      </c>
      <c r="F74" s="25">
        <f>VLOOKUP(B74,'Data qoq'!$A:$AT,MATCH($F$1,'Data qoq'!$A$1:$AT$1,),)</f>
        <v/>
      </c>
      <c r="G74" s="25">
        <f>VLOOKUP(B74,'Data qoq'!$A:$AT,MATCH($G$1,'Data qoq'!$A$1:$AT$1,),)</f>
        <v/>
      </c>
      <c r="H74" s="25">
        <f>VLOOKUP(B74,'Data qoq'!$A:$AT,MATCH($H$1,'Data qoq'!$A$1:$AT$1,),)</f>
        <v/>
      </c>
      <c r="I74" s="25">
        <f>VLOOKUP(B74,'Data qoq'!$A:$AT,MATCH($I$1,'Data qoq'!$A$1:$AT$1,),)</f>
        <v/>
      </c>
      <c r="J74" s="25">
        <f>VLOOKUP(B74,'Data qoq'!$A:$AT,MATCH($J$1,'Data qoq'!$A$1:$AT$1,),)</f>
        <v/>
      </c>
      <c r="K74" s="25">
        <f>VLOOKUP(B74,'Data qoq'!$A:$AT,MATCH($K$1,'Data qoq'!$A$1:$AT$1,),)</f>
        <v/>
      </c>
      <c r="L74" s="25">
        <f>VLOOKUP(B74,'Data qoq'!$A:$AT,MATCH($L$1,'Data qoq'!$A$1:$AT$1,),)</f>
        <v/>
      </c>
      <c r="M74" s="25">
        <f>VLOOKUP(B74,'Data qoq'!$A:$AT,MATCH($M$1,'Data qoq'!$A$1:$AT$1,),)</f>
        <v/>
      </c>
      <c r="N74" s="25">
        <f>VLOOKUP(B74,'Data qoq'!$A:$AT,MATCH($N$1,'Data qoq'!$A$1:$AT$1,),)</f>
        <v/>
      </c>
      <c r="O74" s="25">
        <f>VLOOKUP(B74,'Data qoq'!$A:$AT,MATCH($O$1,'Data qoq'!$J$1:$AT$1,),)</f>
        <v/>
      </c>
      <c r="P74" s="25">
        <f>VLOOKUP(B74,'Data qoq'!$A:$AT,MATCH($P$1,'Data qoq'!$A$1:$AT$1,),)</f>
        <v/>
      </c>
      <c r="Q74" s="25">
        <f>VLOOKUP(B74,'Data qoq'!$A:$AT,MATCH($Q$1,'Data qoq'!$A$1:$AT$1,),)</f>
        <v/>
      </c>
      <c r="R74" s="25">
        <f>VLOOKUP(B74,'Data qoq'!$A:$AT,MATCH($R$1,'Data qoq'!$A$1:$AT$1,),)</f>
        <v/>
      </c>
      <c r="S74" s="25">
        <f>VLOOKUP(B74,'Data qoq'!$A:$AT,MATCH($S$1,'Data qoq'!$A$1:$AT$1,),)</f>
        <v/>
      </c>
      <c r="T74" s="25">
        <f>VLOOKUP(B74,'Data qoq'!$A:$AT,MATCH($T$1,'Data qoq'!$A$1:$AT$1,),)</f>
        <v/>
      </c>
      <c r="U74" s="25">
        <f>VLOOKUP(B74,'Data qoq'!$A:$AT,MATCH($U$1,'Data qoq'!$A$1:$AT$1,),)</f>
        <v/>
      </c>
      <c r="V74" s="25">
        <f>VLOOKUP(B74,'Data qoq'!$A:$AT,MATCH($V$1,'Data qoq'!$A$1:$AT$1,),)</f>
        <v/>
      </c>
      <c r="W74" s="25">
        <f>VLOOKUP(B74,'Data qoq'!$A:$AT,MATCH($W$1,'Data qoq'!$A$1:$AT$1,),)</f>
        <v/>
      </c>
      <c r="X74" s="25">
        <f>VLOOKUP(B74,'Data qoq'!$A:$AT,MATCH($X$1,'Data qoq'!$A$1:$AT$1,),)</f>
        <v/>
      </c>
      <c r="Y74" s="25">
        <f>VLOOKUP(B74,'Data qoq'!$A:$AT,MATCH($Y$1,'Data qoq'!$A$1:$AT$1,),)</f>
        <v/>
      </c>
      <c r="Z74" s="25">
        <f>VLOOKUP(B74,'Data qoq'!$A:$AU,MATCH($Z$1,'Data qoq'!$A$1:$AU$1,),)</f>
        <v/>
      </c>
      <c r="AA74" s="25">
        <f>VLOOKUP(B74,'Data qoq'!$A:$AU,MATCH($AA$1,'Data qoq'!$A$1:$AU$1,),)</f>
        <v/>
      </c>
      <c r="AC74" s="26">
        <f>B74</f>
        <v/>
      </c>
      <c r="AD74" s="27">
        <f>(VLOOKUP(AC74,B:Y,MATCH($AE$6,$B$1:$Y$1,),))-(VLOOKUP(AC74,B:Y,MATCH($AE$7,$B$1:$Y$1,),))</f>
        <v/>
      </c>
      <c r="AE74" s="27">
        <f>C74-G74</f>
        <v/>
      </c>
    </row>
    <row r="75">
      <c r="B75" s="24" t="inlineStr">
        <is>
          <t>2016-Q1</t>
        </is>
      </c>
      <c r="C75" s="25">
        <f>VLOOKUP(B75,'Data qoq'!$A:$AT,MATCH($C$1,'Data qoq'!$A$1:$AT$1,),)</f>
        <v/>
      </c>
      <c r="D75" s="25">
        <f>VLOOKUP(B75,'Data qoq'!$A:$AT,MATCH($D$1,'Data qoq'!$A$1:$AT$1,),)</f>
        <v/>
      </c>
      <c r="E75" s="25">
        <f>VLOOKUP(B75,'Data qoq'!$A:$AT,MATCH($E$1,'Data qoq'!$A$1:$AT$1,),)</f>
        <v/>
      </c>
      <c r="F75" s="25">
        <f>VLOOKUP(B75,'Data qoq'!$A:$AT,MATCH($F$1,'Data qoq'!$A$1:$AT$1,),)</f>
        <v/>
      </c>
      <c r="G75" s="25">
        <f>VLOOKUP(B75,'Data qoq'!$A:$AT,MATCH($G$1,'Data qoq'!$A$1:$AT$1,),)</f>
        <v/>
      </c>
      <c r="H75" s="25">
        <f>VLOOKUP(B75,'Data qoq'!$A:$AT,MATCH($H$1,'Data qoq'!$A$1:$AT$1,),)</f>
        <v/>
      </c>
      <c r="I75" s="25">
        <f>VLOOKUP(B75,'Data qoq'!$A:$AT,MATCH($I$1,'Data qoq'!$A$1:$AT$1,),)</f>
        <v/>
      </c>
      <c r="J75" s="25">
        <f>VLOOKUP(B75,'Data qoq'!$A:$AT,MATCH($J$1,'Data qoq'!$A$1:$AT$1,),)</f>
        <v/>
      </c>
      <c r="K75" s="25">
        <f>VLOOKUP(B75,'Data qoq'!$A:$AT,MATCH($K$1,'Data qoq'!$A$1:$AT$1,),)</f>
        <v/>
      </c>
      <c r="L75" s="25">
        <f>VLOOKUP(B75,'Data qoq'!$A:$AT,MATCH($L$1,'Data qoq'!$A$1:$AT$1,),)</f>
        <v/>
      </c>
      <c r="M75" s="25">
        <f>VLOOKUP(B75,'Data qoq'!$A:$AT,MATCH($M$1,'Data qoq'!$A$1:$AT$1,),)</f>
        <v/>
      </c>
      <c r="N75" s="25">
        <f>VLOOKUP(B75,'Data qoq'!$A:$AT,MATCH($N$1,'Data qoq'!$A$1:$AT$1,),)</f>
        <v/>
      </c>
      <c r="O75" s="25">
        <f>VLOOKUP(B75,'Data qoq'!$A:$AT,MATCH($O$1,'Data qoq'!$J$1:$AT$1,),)</f>
        <v/>
      </c>
      <c r="P75" s="25">
        <f>VLOOKUP(B75,'Data qoq'!$A:$AT,MATCH($P$1,'Data qoq'!$A$1:$AT$1,),)</f>
        <v/>
      </c>
      <c r="Q75" s="25">
        <f>VLOOKUP(B75,'Data qoq'!$A:$AT,MATCH($Q$1,'Data qoq'!$A$1:$AT$1,),)</f>
        <v/>
      </c>
      <c r="R75" s="25">
        <f>VLOOKUP(B75,'Data qoq'!$A:$AT,MATCH($R$1,'Data qoq'!$A$1:$AT$1,),)</f>
        <v/>
      </c>
      <c r="S75" s="25">
        <f>VLOOKUP(B75,'Data qoq'!$A:$AT,MATCH($S$1,'Data qoq'!$A$1:$AT$1,),)</f>
        <v/>
      </c>
      <c r="T75" s="25">
        <f>VLOOKUP(B75,'Data qoq'!$A:$AT,MATCH($T$1,'Data qoq'!$A$1:$AT$1,),)</f>
        <v/>
      </c>
      <c r="U75" s="25">
        <f>VLOOKUP(B75,'Data qoq'!$A:$AT,MATCH($U$1,'Data qoq'!$A$1:$AT$1,),)</f>
        <v/>
      </c>
      <c r="V75" s="25">
        <f>VLOOKUP(B75,'Data qoq'!$A:$AT,MATCH($V$1,'Data qoq'!$A$1:$AT$1,),)</f>
        <v/>
      </c>
      <c r="W75" s="25">
        <f>VLOOKUP(B75,'Data qoq'!$A:$AT,MATCH($W$1,'Data qoq'!$A$1:$AT$1,),)</f>
        <v/>
      </c>
      <c r="X75" s="25">
        <f>VLOOKUP(B75,'Data qoq'!$A:$AT,MATCH($X$1,'Data qoq'!$A$1:$AT$1,),)</f>
        <v/>
      </c>
      <c r="Y75" s="25">
        <f>VLOOKUP(B75,'Data qoq'!$A:$AT,MATCH($Y$1,'Data qoq'!$A$1:$AT$1,),)</f>
        <v/>
      </c>
      <c r="Z75" s="25">
        <f>VLOOKUP(B75,'Data qoq'!$A:$AU,MATCH($Z$1,'Data qoq'!$A$1:$AU$1,),)</f>
        <v/>
      </c>
      <c r="AA75" s="25">
        <f>VLOOKUP(B75,'Data qoq'!$A:$AU,MATCH($AA$1,'Data qoq'!$A$1:$AU$1,),)</f>
        <v/>
      </c>
      <c r="AC75" s="26">
        <f>B75</f>
        <v/>
      </c>
      <c r="AD75" s="27">
        <f>(VLOOKUP(AC75,B:Y,MATCH($AE$6,$B$1:$Y$1,),))-(VLOOKUP(AC75,B:Y,MATCH($AE$7,$B$1:$Y$1,),))</f>
        <v/>
      </c>
      <c r="AE75" s="27">
        <f>C75-G75</f>
        <v/>
      </c>
    </row>
    <row r="76">
      <c r="B76" s="24" t="inlineStr">
        <is>
          <t>2016-Q2</t>
        </is>
      </c>
      <c r="C76" s="25">
        <f>VLOOKUP(B76,'Data qoq'!$A:$AT,MATCH($C$1,'Data qoq'!$A$1:$AT$1,),)</f>
        <v/>
      </c>
      <c r="D76" s="25">
        <f>VLOOKUP(B76,'Data qoq'!$A:$AT,MATCH($D$1,'Data qoq'!$A$1:$AT$1,),)</f>
        <v/>
      </c>
      <c r="E76" s="25">
        <f>VLOOKUP(B76,'Data qoq'!$A:$AT,MATCH($E$1,'Data qoq'!$A$1:$AT$1,),)</f>
        <v/>
      </c>
      <c r="F76" s="25">
        <f>VLOOKUP(B76,'Data qoq'!$A:$AT,MATCH($F$1,'Data qoq'!$A$1:$AT$1,),)</f>
        <v/>
      </c>
      <c r="G76" s="25">
        <f>VLOOKUP(B76,'Data qoq'!$A:$AT,MATCH($G$1,'Data qoq'!$A$1:$AT$1,),)</f>
        <v/>
      </c>
      <c r="H76" s="25">
        <f>VLOOKUP(B76,'Data qoq'!$A:$AT,MATCH($H$1,'Data qoq'!$A$1:$AT$1,),)</f>
        <v/>
      </c>
      <c r="I76" s="25">
        <f>VLOOKUP(B76,'Data qoq'!$A:$AT,MATCH($I$1,'Data qoq'!$A$1:$AT$1,),)</f>
        <v/>
      </c>
      <c r="J76" s="25">
        <f>VLOOKUP(B76,'Data qoq'!$A:$AT,MATCH($J$1,'Data qoq'!$A$1:$AT$1,),)</f>
        <v/>
      </c>
      <c r="K76" s="25">
        <f>VLOOKUP(B76,'Data qoq'!$A:$AT,MATCH($K$1,'Data qoq'!$A$1:$AT$1,),)</f>
        <v/>
      </c>
      <c r="L76" s="25">
        <f>VLOOKUP(B76,'Data qoq'!$A:$AT,MATCH($L$1,'Data qoq'!$A$1:$AT$1,),)</f>
        <v/>
      </c>
      <c r="M76" s="25">
        <f>VLOOKUP(B76,'Data qoq'!$A:$AT,MATCH($M$1,'Data qoq'!$A$1:$AT$1,),)</f>
        <v/>
      </c>
      <c r="N76" s="25">
        <f>VLOOKUP(B76,'Data qoq'!$A:$AT,MATCH($N$1,'Data qoq'!$A$1:$AT$1,),)</f>
        <v/>
      </c>
      <c r="O76" s="25">
        <f>VLOOKUP(B76,'Data qoq'!$A:$AT,MATCH($O$1,'Data qoq'!$J$1:$AT$1,),)</f>
        <v/>
      </c>
      <c r="P76" s="25">
        <f>VLOOKUP(B76,'Data qoq'!$A:$AT,MATCH($P$1,'Data qoq'!$A$1:$AT$1,),)</f>
        <v/>
      </c>
      <c r="Q76" s="25">
        <f>VLOOKUP(B76,'Data qoq'!$A:$AT,MATCH($Q$1,'Data qoq'!$A$1:$AT$1,),)</f>
        <v/>
      </c>
      <c r="R76" s="25">
        <f>VLOOKUP(B76,'Data qoq'!$A:$AT,MATCH($R$1,'Data qoq'!$A$1:$AT$1,),)</f>
        <v/>
      </c>
      <c r="S76" s="25">
        <f>VLOOKUP(B76,'Data qoq'!$A:$AT,MATCH($S$1,'Data qoq'!$A$1:$AT$1,),)</f>
        <v/>
      </c>
      <c r="T76" s="25">
        <f>VLOOKUP(B76,'Data qoq'!$A:$AT,MATCH($T$1,'Data qoq'!$A$1:$AT$1,),)</f>
        <v/>
      </c>
      <c r="U76" s="25">
        <f>VLOOKUP(B76,'Data qoq'!$A:$AT,MATCH($U$1,'Data qoq'!$A$1:$AT$1,),)</f>
        <v/>
      </c>
      <c r="V76" s="25">
        <f>VLOOKUP(B76,'Data qoq'!$A:$AT,MATCH($V$1,'Data qoq'!$A$1:$AT$1,),)</f>
        <v/>
      </c>
      <c r="W76" s="25">
        <f>VLOOKUP(B76,'Data qoq'!$A:$AT,MATCH($W$1,'Data qoq'!$A$1:$AT$1,),)</f>
        <v/>
      </c>
      <c r="X76" s="25">
        <f>VLOOKUP(B76,'Data qoq'!$A:$AT,MATCH($X$1,'Data qoq'!$A$1:$AT$1,),)</f>
        <v/>
      </c>
      <c r="Y76" s="25">
        <f>VLOOKUP(B76,'Data qoq'!$A:$AT,MATCH($Y$1,'Data qoq'!$A$1:$AT$1,),)</f>
        <v/>
      </c>
      <c r="Z76" s="25">
        <f>VLOOKUP(B76,'Data qoq'!$A:$AU,MATCH($Z$1,'Data qoq'!$A$1:$AU$1,),)</f>
        <v/>
      </c>
      <c r="AA76" s="25">
        <f>VLOOKUP(B76,'Data qoq'!$A:$AU,MATCH($AA$1,'Data qoq'!$A$1:$AU$1,),)</f>
        <v/>
      </c>
      <c r="AC76" s="26">
        <f>B76</f>
        <v/>
      </c>
      <c r="AD76" s="27">
        <f>(VLOOKUP(AC76,B:Y,MATCH($AE$6,$B$1:$Y$1,),))-(VLOOKUP(AC76,B:Y,MATCH($AE$7,$B$1:$Y$1,),))</f>
        <v/>
      </c>
      <c r="AE76" s="27">
        <f>C76-G76</f>
        <v/>
      </c>
    </row>
    <row r="77">
      <c r="B77" s="24" t="inlineStr">
        <is>
          <t>2016-Q3</t>
        </is>
      </c>
      <c r="C77" s="25">
        <f>VLOOKUP(B77,'Data qoq'!$A:$AT,MATCH($C$1,'Data qoq'!$A$1:$AT$1,),)</f>
        <v/>
      </c>
      <c r="D77" s="25">
        <f>VLOOKUP(B77,'Data qoq'!$A:$AT,MATCH($D$1,'Data qoq'!$A$1:$AT$1,),)</f>
        <v/>
      </c>
      <c r="E77" s="25">
        <f>VLOOKUP(B77,'Data qoq'!$A:$AT,MATCH($E$1,'Data qoq'!$A$1:$AT$1,),)</f>
        <v/>
      </c>
      <c r="F77" s="25">
        <f>VLOOKUP(B77,'Data qoq'!$A:$AT,MATCH($F$1,'Data qoq'!$A$1:$AT$1,),)</f>
        <v/>
      </c>
      <c r="G77" s="25">
        <f>VLOOKUP(B77,'Data qoq'!$A:$AT,MATCH($G$1,'Data qoq'!$A$1:$AT$1,),)</f>
        <v/>
      </c>
      <c r="H77" s="25">
        <f>VLOOKUP(B77,'Data qoq'!$A:$AT,MATCH($H$1,'Data qoq'!$A$1:$AT$1,),)</f>
        <v/>
      </c>
      <c r="I77" s="25">
        <f>VLOOKUP(B77,'Data qoq'!$A:$AT,MATCH($I$1,'Data qoq'!$A$1:$AT$1,),)</f>
        <v/>
      </c>
      <c r="J77" s="25">
        <f>VLOOKUP(B77,'Data qoq'!$A:$AT,MATCH($J$1,'Data qoq'!$A$1:$AT$1,),)</f>
        <v/>
      </c>
      <c r="K77" s="25">
        <f>VLOOKUP(B77,'Data qoq'!$A:$AT,MATCH($K$1,'Data qoq'!$A$1:$AT$1,),)</f>
        <v/>
      </c>
      <c r="L77" s="25">
        <f>VLOOKUP(B77,'Data qoq'!$A:$AT,MATCH($L$1,'Data qoq'!$A$1:$AT$1,),)</f>
        <v/>
      </c>
      <c r="M77" s="25">
        <f>VLOOKUP(B77,'Data qoq'!$A:$AT,MATCH($M$1,'Data qoq'!$A$1:$AT$1,),)</f>
        <v/>
      </c>
      <c r="N77" s="25">
        <f>VLOOKUP(B77,'Data qoq'!$A:$AT,MATCH($N$1,'Data qoq'!$A$1:$AT$1,),)</f>
        <v/>
      </c>
      <c r="O77" s="25">
        <f>VLOOKUP(B77,'Data qoq'!$A:$AT,MATCH($O$1,'Data qoq'!$J$1:$AT$1,),)</f>
        <v/>
      </c>
      <c r="P77" s="25">
        <f>VLOOKUP(B77,'Data qoq'!$A:$AT,MATCH($P$1,'Data qoq'!$A$1:$AT$1,),)</f>
        <v/>
      </c>
      <c r="Q77" s="25">
        <f>VLOOKUP(B77,'Data qoq'!$A:$AT,MATCH($Q$1,'Data qoq'!$A$1:$AT$1,),)</f>
        <v/>
      </c>
      <c r="R77" s="25">
        <f>VLOOKUP(B77,'Data qoq'!$A:$AT,MATCH($R$1,'Data qoq'!$A$1:$AT$1,),)</f>
        <v/>
      </c>
      <c r="S77" s="25">
        <f>VLOOKUP(B77,'Data qoq'!$A:$AT,MATCH($S$1,'Data qoq'!$A$1:$AT$1,),)</f>
        <v/>
      </c>
      <c r="T77" s="25">
        <f>VLOOKUP(B77,'Data qoq'!$A:$AT,MATCH($T$1,'Data qoq'!$A$1:$AT$1,),)</f>
        <v/>
      </c>
      <c r="U77" s="25">
        <f>VLOOKUP(B77,'Data qoq'!$A:$AT,MATCH($U$1,'Data qoq'!$A$1:$AT$1,),)</f>
        <v/>
      </c>
      <c r="V77" s="25">
        <f>VLOOKUP(B77,'Data qoq'!$A:$AT,MATCH($V$1,'Data qoq'!$A$1:$AT$1,),)</f>
        <v/>
      </c>
      <c r="W77" s="25">
        <f>VLOOKUP(B77,'Data qoq'!$A:$AT,MATCH($W$1,'Data qoq'!$A$1:$AT$1,),)</f>
        <v/>
      </c>
      <c r="X77" s="25">
        <f>VLOOKUP(B77,'Data qoq'!$A:$AT,MATCH($X$1,'Data qoq'!$A$1:$AT$1,),)</f>
        <v/>
      </c>
      <c r="Y77" s="25">
        <f>VLOOKUP(B77,'Data qoq'!$A:$AT,MATCH($Y$1,'Data qoq'!$A$1:$AT$1,),)</f>
        <v/>
      </c>
      <c r="Z77" s="25">
        <f>VLOOKUP(B77,'Data qoq'!$A:$AU,MATCH($Z$1,'Data qoq'!$A$1:$AU$1,),)</f>
        <v/>
      </c>
      <c r="AA77" s="25">
        <f>VLOOKUP(B77,'Data qoq'!$A:$AU,MATCH($AA$1,'Data qoq'!$A$1:$AU$1,),)</f>
        <v/>
      </c>
      <c r="AC77" s="26">
        <f>B77</f>
        <v/>
      </c>
      <c r="AD77" s="27">
        <f>(VLOOKUP(AC77,B:Y,MATCH($AE$6,$B$1:$Y$1,),))-(VLOOKUP(AC77,B:Y,MATCH($AE$7,$B$1:$Y$1,),))</f>
        <v/>
      </c>
      <c r="AE77" s="27">
        <f>C77-G77</f>
        <v/>
      </c>
    </row>
    <row r="78">
      <c r="B78" s="24" t="inlineStr">
        <is>
          <t>2016-Q4</t>
        </is>
      </c>
      <c r="C78" s="25">
        <f>VLOOKUP(B78,'Data qoq'!$A:$AT,MATCH($C$1,'Data qoq'!$A$1:$AT$1,),)</f>
        <v/>
      </c>
      <c r="D78" s="25">
        <f>VLOOKUP(B78,'Data qoq'!$A:$AT,MATCH($D$1,'Data qoq'!$A$1:$AT$1,),)</f>
        <v/>
      </c>
      <c r="E78" s="25">
        <f>VLOOKUP(B78,'Data qoq'!$A:$AT,MATCH($E$1,'Data qoq'!$A$1:$AT$1,),)</f>
        <v/>
      </c>
      <c r="F78" s="25">
        <f>VLOOKUP(B78,'Data qoq'!$A:$AT,MATCH($F$1,'Data qoq'!$A$1:$AT$1,),)</f>
        <v/>
      </c>
      <c r="G78" s="25">
        <f>VLOOKUP(B78,'Data qoq'!$A:$AT,MATCH($G$1,'Data qoq'!$A$1:$AT$1,),)</f>
        <v/>
      </c>
      <c r="H78" s="25">
        <f>VLOOKUP(B78,'Data qoq'!$A:$AT,MATCH($H$1,'Data qoq'!$A$1:$AT$1,),)</f>
        <v/>
      </c>
      <c r="I78" s="25">
        <f>VLOOKUP(B78,'Data qoq'!$A:$AT,MATCH($I$1,'Data qoq'!$A$1:$AT$1,),)</f>
        <v/>
      </c>
      <c r="J78" s="25">
        <f>VLOOKUP(B78,'Data qoq'!$A:$AT,MATCH($J$1,'Data qoq'!$A$1:$AT$1,),)</f>
        <v/>
      </c>
      <c r="K78" s="25">
        <f>VLOOKUP(B78,'Data qoq'!$A:$AT,MATCH($K$1,'Data qoq'!$A$1:$AT$1,),)</f>
        <v/>
      </c>
      <c r="L78" s="25">
        <f>VLOOKUP(B78,'Data qoq'!$A:$AT,MATCH($L$1,'Data qoq'!$A$1:$AT$1,),)</f>
        <v/>
      </c>
      <c r="M78" s="25">
        <f>VLOOKUP(B78,'Data qoq'!$A:$AT,MATCH($M$1,'Data qoq'!$A$1:$AT$1,),)</f>
        <v/>
      </c>
      <c r="N78" s="25">
        <f>VLOOKUP(B78,'Data qoq'!$A:$AT,MATCH($N$1,'Data qoq'!$A$1:$AT$1,),)</f>
        <v/>
      </c>
      <c r="O78" s="25">
        <f>VLOOKUP(B78,'Data qoq'!$A:$AT,MATCH($O$1,'Data qoq'!$J$1:$AT$1,),)</f>
        <v/>
      </c>
      <c r="P78" s="25">
        <f>VLOOKUP(B78,'Data qoq'!$A:$AT,MATCH($P$1,'Data qoq'!$A$1:$AT$1,),)</f>
        <v/>
      </c>
      <c r="Q78" s="25">
        <f>VLOOKUP(B78,'Data qoq'!$A:$AT,MATCH($Q$1,'Data qoq'!$A$1:$AT$1,),)</f>
        <v/>
      </c>
      <c r="R78" s="25">
        <f>VLOOKUP(B78,'Data qoq'!$A:$AT,MATCH($R$1,'Data qoq'!$A$1:$AT$1,),)</f>
        <v/>
      </c>
      <c r="S78" s="25">
        <f>VLOOKUP(B78,'Data qoq'!$A:$AT,MATCH($S$1,'Data qoq'!$A$1:$AT$1,),)</f>
        <v/>
      </c>
      <c r="T78" s="25">
        <f>VLOOKUP(B78,'Data qoq'!$A:$AT,MATCH($T$1,'Data qoq'!$A$1:$AT$1,),)</f>
        <v/>
      </c>
      <c r="U78" s="25">
        <f>VLOOKUP(B78,'Data qoq'!$A:$AT,MATCH($U$1,'Data qoq'!$A$1:$AT$1,),)</f>
        <v/>
      </c>
      <c r="V78" s="25">
        <f>VLOOKUP(B78,'Data qoq'!$A:$AT,MATCH($V$1,'Data qoq'!$A$1:$AT$1,),)</f>
        <v/>
      </c>
      <c r="W78" s="25">
        <f>VLOOKUP(B78,'Data qoq'!$A:$AT,MATCH($W$1,'Data qoq'!$A$1:$AT$1,),)</f>
        <v/>
      </c>
      <c r="X78" s="25">
        <f>VLOOKUP(B78,'Data qoq'!$A:$AT,MATCH($X$1,'Data qoq'!$A$1:$AT$1,),)</f>
        <v/>
      </c>
      <c r="Y78" s="25">
        <f>VLOOKUP(B78,'Data qoq'!$A:$AT,MATCH($Y$1,'Data qoq'!$A$1:$AT$1,),)</f>
        <v/>
      </c>
      <c r="Z78" s="25">
        <f>VLOOKUP(B78,'Data qoq'!$A:$AU,MATCH($Z$1,'Data qoq'!$A$1:$AU$1,),)</f>
        <v/>
      </c>
      <c r="AA78" s="25">
        <f>VLOOKUP(B78,'Data qoq'!$A:$AU,MATCH($AA$1,'Data qoq'!$A$1:$AU$1,),)</f>
        <v/>
      </c>
      <c r="AC78" s="26">
        <f>B78</f>
        <v/>
      </c>
      <c r="AD78" s="27">
        <f>(VLOOKUP(AC78,B:Y,MATCH($AE$6,$B$1:$Y$1,),))-(VLOOKUP(AC78,B:Y,MATCH($AE$7,$B$1:$Y$1,),))</f>
        <v/>
      </c>
      <c r="AE78" s="27">
        <f>C78-G78</f>
        <v/>
      </c>
    </row>
    <row r="79">
      <c r="B79" s="24" t="inlineStr">
        <is>
          <t>2017-Q1</t>
        </is>
      </c>
      <c r="C79" s="25">
        <f>VLOOKUP(B79,'Data qoq'!$A:$AT,MATCH($C$1,'Data qoq'!$A$1:$AT$1,),)</f>
        <v/>
      </c>
      <c r="D79" s="25">
        <f>VLOOKUP(B79,'Data qoq'!$A:$AT,MATCH($D$1,'Data qoq'!$A$1:$AT$1,),)</f>
        <v/>
      </c>
      <c r="E79" s="25">
        <f>VLOOKUP(B79,'Data qoq'!$A:$AT,MATCH($E$1,'Data qoq'!$A$1:$AT$1,),)</f>
        <v/>
      </c>
      <c r="F79" s="25">
        <f>VLOOKUP(B79,'Data qoq'!$A:$AT,MATCH($F$1,'Data qoq'!$A$1:$AT$1,),)</f>
        <v/>
      </c>
      <c r="G79" s="25">
        <f>VLOOKUP(B79,'Data qoq'!$A:$AT,MATCH($G$1,'Data qoq'!$A$1:$AT$1,),)</f>
        <v/>
      </c>
      <c r="H79" s="25">
        <f>VLOOKUP(B79,'Data qoq'!$A:$AT,MATCH($H$1,'Data qoq'!$A$1:$AT$1,),)</f>
        <v/>
      </c>
      <c r="I79" s="25">
        <f>VLOOKUP(B79,'Data qoq'!$A:$AT,MATCH($I$1,'Data qoq'!$A$1:$AT$1,),)</f>
        <v/>
      </c>
      <c r="J79" s="25">
        <f>VLOOKUP(B79,'Data qoq'!$A:$AT,MATCH($J$1,'Data qoq'!$A$1:$AT$1,),)</f>
        <v/>
      </c>
      <c r="K79" s="25">
        <f>VLOOKUP(B79,'Data qoq'!$A:$AT,MATCH($K$1,'Data qoq'!$A$1:$AT$1,),)</f>
        <v/>
      </c>
      <c r="L79" s="25">
        <f>VLOOKUP(B79,'Data qoq'!$A:$AT,MATCH($L$1,'Data qoq'!$A$1:$AT$1,),)</f>
        <v/>
      </c>
      <c r="M79" s="25">
        <f>VLOOKUP(B79,'Data qoq'!$A:$AT,MATCH($M$1,'Data qoq'!$A$1:$AT$1,),)</f>
        <v/>
      </c>
      <c r="N79" s="25">
        <f>VLOOKUP(B79,'Data qoq'!$A:$AT,MATCH($N$1,'Data qoq'!$A$1:$AT$1,),)</f>
        <v/>
      </c>
      <c r="O79" s="25">
        <f>VLOOKUP(B79,'Data qoq'!$A:$AT,MATCH($O$1,'Data qoq'!$J$1:$AT$1,),)</f>
        <v/>
      </c>
      <c r="P79" s="25">
        <f>VLOOKUP(B79,'Data qoq'!$A:$AT,MATCH($P$1,'Data qoq'!$A$1:$AT$1,),)</f>
        <v/>
      </c>
      <c r="Q79" s="25">
        <f>VLOOKUP(B79,'Data qoq'!$A:$AT,MATCH($Q$1,'Data qoq'!$A$1:$AT$1,),)</f>
        <v/>
      </c>
      <c r="R79" s="25">
        <f>VLOOKUP(B79,'Data qoq'!$A:$AT,MATCH($R$1,'Data qoq'!$A$1:$AT$1,),)</f>
        <v/>
      </c>
      <c r="S79" s="25">
        <f>VLOOKUP(B79,'Data qoq'!$A:$AT,MATCH($S$1,'Data qoq'!$A$1:$AT$1,),)</f>
        <v/>
      </c>
      <c r="T79" s="25">
        <f>VLOOKUP(B79,'Data qoq'!$A:$AT,MATCH($T$1,'Data qoq'!$A$1:$AT$1,),)</f>
        <v/>
      </c>
      <c r="U79" s="25">
        <f>VLOOKUP(B79,'Data qoq'!$A:$AT,MATCH($U$1,'Data qoq'!$A$1:$AT$1,),)</f>
        <v/>
      </c>
      <c r="V79" s="25">
        <f>VLOOKUP(B79,'Data qoq'!$A:$AT,MATCH($V$1,'Data qoq'!$A$1:$AT$1,),)</f>
        <v/>
      </c>
      <c r="W79" s="25">
        <f>VLOOKUP(B79,'Data qoq'!$A:$AT,MATCH($W$1,'Data qoq'!$A$1:$AT$1,),)</f>
        <v/>
      </c>
      <c r="X79" s="25">
        <f>VLOOKUP(B79,'Data qoq'!$A:$AT,MATCH($X$1,'Data qoq'!$A$1:$AT$1,),)</f>
        <v/>
      </c>
      <c r="Y79" s="25">
        <f>VLOOKUP(B79,'Data qoq'!$A:$AT,MATCH($Y$1,'Data qoq'!$A$1:$AT$1,),)</f>
        <v/>
      </c>
      <c r="Z79" s="25">
        <f>VLOOKUP(B79,'Data qoq'!$A:$AU,MATCH($Z$1,'Data qoq'!$A$1:$AU$1,),)</f>
        <v/>
      </c>
      <c r="AA79" s="25">
        <f>VLOOKUP(B79,'Data qoq'!$A:$AU,MATCH($AA$1,'Data qoq'!$A$1:$AU$1,),)</f>
        <v/>
      </c>
      <c r="AC79" s="26">
        <f>B79</f>
        <v/>
      </c>
      <c r="AD79" s="27">
        <f>(VLOOKUP(AC79,B:Y,MATCH($AE$6,$B$1:$Y$1,),))-(VLOOKUP(AC79,B:Y,MATCH($AE$7,$B$1:$Y$1,),))</f>
        <v/>
      </c>
      <c r="AE79" s="27">
        <f>C79-G79</f>
        <v/>
      </c>
    </row>
    <row r="80">
      <c r="B80" s="24" t="inlineStr">
        <is>
          <t>2017-Q2</t>
        </is>
      </c>
      <c r="C80" s="25">
        <f>VLOOKUP(B80,'Data qoq'!$A:$AT,MATCH($C$1,'Data qoq'!$A$1:$AT$1,),)</f>
        <v/>
      </c>
      <c r="D80" s="25">
        <f>VLOOKUP(B80,'Data qoq'!$A:$AT,MATCH($D$1,'Data qoq'!$A$1:$AT$1,),)</f>
        <v/>
      </c>
      <c r="E80" s="25">
        <f>VLOOKUP(B80,'Data qoq'!$A:$AT,MATCH($E$1,'Data qoq'!$A$1:$AT$1,),)</f>
        <v/>
      </c>
      <c r="F80" s="25">
        <f>VLOOKUP(B80,'Data qoq'!$A:$AT,MATCH($F$1,'Data qoq'!$A$1:$AT$1,),)</f>
        <v/>
      </c>
      <c r="G80" s="25">
        <f>VLOOKUP(B80,'Data qoq'!$A:$AT,MATCH($G$1,'Data qoq'!$A$1:$AT$1,),)</f>
        <v/>
      </c>
      <c r="H80" s="25">
        <f>VLOOKUP(B80,'Data qoq'!$A:$AT,MATCH($H$1,'Data qoq'!$A$1:$AT$1,),)</f>
        <v/>
      </c>
      <c r="I80" s="25">
        <f>VLOOKUP(B80,'Data qoq'!$A:$AT,MATCH($I$1,'Data qoq'!$A$1:$AT$1,),)</f>
        <v/>
      </c>
      <c r="J80" s="25">
        <f>VLOOKUP(B80,'Data qoq'!$A:$AT,MATCH($J$1,'Data qoq'!$A$1:$AT$1,),)</f>
        <v/>
      </c>
      <c r="K80" s="25">
        <f>VLOOKUP(B80,'Data qoq'!$A:$AT,MATCH($K$1,'Data qoq'!$A$1:$AT$1,),)</f>
        <v/>
      </c>
      <c r="L80" s="25">
        <f>VLOOKUP(B80,'Data qoq'!$A:$AT,MATCH($L$1,'Data qoq'!$A$1:$AT$1,),)</f>
        <v/>
      </c>
      <c r="M80" s="25">
        <f>VLOOKUP(B80,'Data qoq'!$A:$AT,MATCH($M$1,'Data qoq'!$A$1:$AT$1,),)</f>
        <v/>
      </c>
      <c r="N80" s="25">
        <f>VLOOKUP(B80,'Data qoq'!$A:$AT,MATCH($N$1,'Data qoq'!$A$1:$AT$1,),)</f>
        <v/>
      </c>
      <c r="O80" s="25">
        <f>VLOOKUP(B80,'Data qoq'!$A:$AT,MATCH($O$1,'Data qoq'!$J$1:$AT$1,),)</f>
        <v/>
      </c>
      <c r="P80" s="25">
        <f>VLOOKUP(B80,'Data qoq'!$A:$AT,MATCH($P$1,'Data qoq'!$A$1:$AT$1,),)</f>
        <v/>
      </c>
      <c r="Q80" s="25">
        <f>VLOOKUP(B80,'Data qoq'!$A:$AT,MATCH($Q$1,'Data qoq'!$A$1:$AT$1,),)</f>
        <v/>
      </c>
      <c r="R80" s="25">
        <f>VLOOKUP(B80,'Data qoq'!$A:$AT,MATCH($R$1,'Data qoq'!$A$1:$AT$1,),)</f>
        <v/>
      </c>
      <c r="S80" s="25">
        <f>VLOOKUP(B80,'Data qoq'!$A:$AT,MATCH($S$1,'Data qoq'!$A$1:$AT$1,),)</f>
        <v/>
      </c>
      <c r="T80" s="25">
        <f>VLOOKUP(B80,'Data qoq'!$A:$AT,MATCH($T$1,'Data qoq'!$A$1:$AT$1,),)</f>
        <v/>
      </c>
      <c r="U80" s="25">
        <f>VLOOKUP(B80,'Data qoq'!$A:$AT,MATCH($U$1,'Data qoq'!$A$1:$AT$1,),)</f>
        <v/>
      </c>
      <c r="V80" s="25">
        <f>VLOOKUP(B80,'Data qoq'!$A:$AT,MATCH($V$1,'Data qoq'!$A$1:$AT$1,),)</f>
        <v/>
      </c>
      <c r="W80" s="25">
        <f>VLOOKUP(B80,'Data qoq'!$A:$AT,MATCH($W$1,'Data qoq'!$A$1:$AT$1,),)</f>
        <v/>
      </c>
      <c r="X80" s="25">
        <f>VLOOKUP(B80,'Data qoq'!$A:$AT,MATCH($X$1,'Data qoq'!$A$1:$AT$1,),)</f>
        <v/>
      </c>
      <c r="Y80" s="25">
        <f>VLOOKUP(B80,'Data qoq'!$A:$AT,MATCH($Y$1,'Data qoq'!$A$1:$AT$1,),)</f>
        <v/>
      </c>
      <c r="Z80" s="25">
        <f>VLOOKUP(B80,'Data qoq'!$A:$AU,MATCH($Z$1,'Data qoq'!$A$1:$AU$1,),)</f>
        <v/>
      </c>
      <c r="AA80" s="25">
        <f>VLOOKUP(B80,'Data qoq'!$A:$AU,MATCH($AA$1,'Data qoq'!$A$1:$AU$1,),)</f>
        <v/>
      </c>
      <c r="AC80" s="26">
        <f>B80</f>
        <v/>
      </c>
      <c r="AD80" s="27">
        <f>(VLOOKUP(AC80,B:Y,MATCH($AE$6,$B$1:$Y$1,),))-(VLOOKUP(AC80,B:Y,MATCH($AE$7,$B$1:$Y$1,),))</f>
        <v/>
      </c>
      <c r="AE80" s="27">
        <f>C80-G80</f>
        <v/>
      </c>
    </row>
    <row r="81">
      <c r="B81" s="24" t="inlineStr">
        <is>
          <t>2017-Q3</t>
        </is>
      </c>
      <c r="C81" s="25">
        <f>VLOOKUP(B81,'Data qoq'!$A:$AT,MATCH($C$1,'Data qoq'!$A$1:$AT$1,),)</f>
        <v/>
      </c>
      <c r="D81" s="25">
        <f>VLOOKUP(B81,'Data qoq'!$A:$AT,MATCH($D$1,'Data qoq'!$A$1:$AT$1,),)</f>
        <v/>
      </c>
      <c r="E81" s="25">
        <f>VLOOKUP(B81,'Data qoq'!$A:$AT,MATCH($E$1,'Data qoq'!$A$1:$AT$1,),)</f>
        <v/>
      </c>
      <c r="F81" s="25">
        <f>VLOOKUP(B81,'Data qoq'!$A:$AT,MATCH($F$1,'Data qoq'!$A$1:$AT$1,),)</f>
        <v/>
      </c>
      <c r="G81" s="25">
        <f>VLOOKUP(B81,'Data qoq'!$A:$AT,MATCH($G$1,'Data qoq'!$A$1:$AT$1,),)</f>
        <v/>
      </c>
      <c r="H81" s="25">
        <f>VLOOKUP(B81,'Data qoq'!$A:$AT,MATCH($H$1,'Data qoq'!$A$1:$AT$1,),)</f>
        <v/>
      </c>
      <c r="I81" s="25">
        <f>VLOOKUP(B81,'Data qoq'!$A:$AT,MATCH($I$1,'Data qoq'!$A$1:$AT$1,),)</f>
        <v/>
      </c>
      <c r="J81" s="25">
        <f>VLOOKUP(B81,'Data qoq'!$A:$AT,MATCH($J$1,'Data qoq'!$A$1:$AT$1,),)</f>
        <v/>
      </c>
      <c r="K81" s="25">
        <f>VLOOKUP(B81,'Data qoq'!$A:$AT,MATCH($K$1,'Data qoq'!$A$1:$AT$1,),)</f>
        <v/>
      </c>
      <c r="L81" s="25">
        <f>VLOOKUP(B81,'Data qoq'!$A:$AT,MATCH($L$1,'Data qoq'!$A$1:$AT$1,),)</f>
        <v/>
      </c>
      <c r="M81" s="25">
        <f>VLOOKUP(B81,'Data qoq'!$A:$AT,MATCH($M$1,'Data qoq'!$A$1:$AT$1,),)</f>
        <v/>
      </c>
      <c r="N81" s="25">
        <f>VLOOKUP(B81,'Data qoq'!$A:$AT,MATCH($N$1,'Data qoq'!$A$1:$AT$1,),)</f>
        <v/>
      </c>
      <c r="O81" s="25">
        <f>VLOOKUP(B81,'Data qoq'!$A:$AT,MATCH($O$1,'Data qoq'!$J$1:$AT$1,),)</f>
        <v/>
      </c>
      <c r="P81" s="25">
        <f>VLOOKUP(B81,'Data qoq'!$A:$AT,MATCH($P$1,'Data qoq'!$A$1:$AT$1,),)</f>
        <v/>
      </c>
      <c r="Q81" s="25">
        <f>VLOOKUP(B81,'Data qoq'!$A:$AT,MATCH($Q$1,'Data qoq'!$A$1:$AT$1,),)</f>
        <v/>
      </c>
      <c r="R81" s="25">
        <f>VLOOKUP(B81,'Data qoq'!$A:$AT,MATCH($R$1,'Data qoq'!$A$1:$AT$1,),)</f>
        <v/>
      </c>
      <c r="S81" s="25">
        <f>VLOOKUP(B81,'Data qoq'!$A:$AT,MATCH($S$1,'Data qoq'!$A$1:$AT$1,),)</f>
        <v/>
      </c>
      <c r="T81" s="25">
        <f>VLOOKUP(B81,'Data qoq'!$A:$AT,MATCH($T$1,'Data qoq'!$A$1:$AT$1,),)</f>
        <v/>
      </c>
      <c r="U81" s="25">
        <f>VLOOKUP(B81,'Data qoq'!$A:$AT,MATCH($U$1,'Data qoq'!$A$1:$AT$1,),)</f>
        <v/>
      </c>
      <c r="V81" s="25">
        <f>VLOOKUP(B81,'Data qoq'!$A:$AT,MATCH($V$1,'Data qoq'!$A$1:$AT$1,),)</f>
        <v/>
      </c>
      <c r="W81" s="25">
        <f>VLOOKUP(B81,'Data qoq'!$A:$AT,MATCH($W$1,'Data qoq'!$A$1:$AT$1,),)</f>
        <v/>
      </c>
      <c r="X81" s="25">
        <f>VLOOKUP(B81,'Data qoq'!$A:$AT,MATCH($X$1,'Data qoq'!$A$1:$AT$1,),)</f>
        <v/>
      </c>
      <c r="Y81" s="25">
        <f>VLOOKUP(B81,'Data qoq'!$A:$AT,MATCH($Y$1,'Data qoq'!$A$1:$AT$1,),)</f>
        <v/>
      </c>
      <c r="Z81" s="25">
        <f>VLOOKUP(B81,'Data qoq'!$A:$AU,MATCH($Z$1,'Data qoq'!$A$1:$AU$1,),)</f>
        <v/>
      </c>
      <c r="AA81" s="25">
        <f>VLOOKUP(B81,'Data qoq'!$A:$AU,MATCH($AA$1,'Data qoq'!$A$1:$AU$1,),)</f>
        <v/>
      </c>
      <c r="AC81" s="26">
        <f>B81</f>
        <v/>
      </c>
      <c r="AD81" s="27">
        <f>(VLOOKUP(AC81,B:Y,MATCH($AE$6,$B$1:$Y$1,),))-(VLOOKUP(AC81,B:Y,MATCH($AE$7,$B$1:$Y$1,),))</f>
        <v/>
      </c>
      <c r="AE81" s="27">
        <f>C81-G81</f>
        <v/>
      </c>
    </row>
    <row r="82">
      <c r="B82" s="24" t="inlineStr">
        <is>
          <t>2017-Q4</t>
        </is>
      </c>
      <c r="C82" s="25">
        <f>VLOOKUP(B82,'Data qoq'!$A:$AT,MATCH($C$1,'Data qoq'!$A$1:$AT$1,),)</f>
        <v/>
      </c>
      <c r="D82" s="25">
        <f>VLOOKUP(B82,'Data qoq'!$A:$AT,MATCH($D$1,'Data qoq'!$A$1:$AT$1,),)</f>
        <v/>
      </c>
      <c r="E82" s="25">
        <f>VLOOKUP(B82,'Data qoq'!$A:$AT,MATCH($E$1,'Data qoq'!$A$1:$AT$1,),)</f>
        <v/>
      </c>
      <c r="F82" s="25">
        <f>VLOOKUP(B82,'Data qoq'!$A:$AT,MATCH($F$1,'Data qoq'!$A$1:$AT$1,),)</f>
        <v/>
      </c>
      <c r="G82" s="25">
        <f>VLOOKUP(B82,'Data qoq'!$A:$AT,MATCH($G$1,'Data qoq'!$A$1:$AT$1,),)</f>
        <v/>
      </c>
      <c r="H82" s="25">
        <f>VLOOKUP(B82,'Data qoq'!$A:$AT,MATCH($H$1,'Data qoq'!$A$1:$AT$1,),)</f>
        <v/>
      </c>
      <c r="I82" s="25">
        <f>VLOOKUP(B82,'Data qoq'!$A:$AT,MATCH($I$1,'Data qoq'!$A$1:$AT$1,),)</f>
        <v/>
      </c>
      <c r="J82" s="25">
        <f>VLOOKUP(B82,'Data qoq'!$A:$AT,MATCH($J$1,'Data qoq'!$A$1:$AT$1,),)</f>
        <v/>
      </c>
      <c r="K82" s="25">
        <f>VLOOKUP(B82,'Data qoq'!$A:$AT,MATCH($K$1,'Data qoq'!$A$1:$AT$1,),)</f>
        <v/>
      </c>
      <c r="L82" s="25">
        <f>VLOOKUP(B82,'Data qoq'!$A:$AT,MATCH($L$1,'Data qoq'!$A$1:$AT$1,),)</f>
        <v/>
      </c>
      <c r="M82" s="25">
        <f>VLOOKUP(B82,'Data qoq'!$A:$AT,MATCH($M$1,'Data qoq'!$A$1:$AT$1,),)</f>
        <v/>
      </c>
      <c r="N82" s="25">
        <f>VLOOKUP(B82,'Data qoq'!$A:$AT,MATCH($N$1,'Data qoq'!$A$1:$AT$1,),)</f>
        <v/>
      </c>
      <c r="O82" s="25">
        <f>VLOOKUP(B82,'Data qoq'!$A:$AT,MATCH($O$1,'Data qoq'!$J$1:$AT$1,),)</f>
        <v/>
      </c>
      <c r="P82" s="25">
        <f>VLOOKUP(B82,'Data qoq'!$A:$AT,MATCH($P$1,'Data qoq'!$A$1:$AT$1,),)</f>
        <v/>
      </c>
      <c r="Q82" s="25">
        <f>VLOOKUP(B82,'Data qoq'!$A:$AT,MATCH($Q$1,'Data qoq'!$A$1:$AT$1,),)</f>
        <v/>
      </c>
      <c r="R82" s="25">
        <f>VLOOKUP(B82,'Data qoq'!$A:$AT,MATCH($R$1,'Data qoq'!$A$1:$AT$1,),)</f>
        <v/>
      </c>
      <c r="S82" s="25">
        <f>VLOOKUP(B82,'Data qoq'!$A:$AT,MATCH($S$1,'Data qoq'!$A$1:$AT$1,),)</f>
        <v/>
      </c>
      <c r="T82" s="25">
        <f>VLOOKUP(B82,'Data qoq'!$A:$AT,MATCH($T$1,'Data qoq'!$A$1:$AT$1,),)</f>
        <v/>
      </c>
      <c r="U82" s="25">
        <f>VLOOKUP(B82,'Data qoq'!$A:$AT,MATCH($U$1,'Data qoq'!$A$1:$AT$1,),)</f>
        <v/>
      </c>
      <c r="V82" s="25">
        <f>VLOOKUP(B82,'Data qoq'!$A:$AT,MATCH($V$1,'Data qoq'!$A$1:$AT$1,),)</f>
        <v/>
      </c>
      <c r="W82" s="25">
        <f>VLOOKUP(B82,'Data qoq'!$A:$AT,MATCH($W$1,'Data qoq'!$A$1:$AT$1,),)</f>
        <v/>
      </c>
      <c r="X82" s="25">
        <f>VLOOKUP(B82,'Data qoq'!$A:$AT,MATCH($X$1,'Data qoq'!$A$1:$AT$1,),)</f>
        <v/>
      </c>
      <c r="Y82" s="25">
        <f>VLOOKUP(B82,'Data qoq'!$A:$AT,MATCH($Y$1,'Data qoq'!$A$1:$AT$1,),)</f>
        <v/>
      </c>
      <c r="Z82" s="25">
        <f>VLOOKUP(B82,'Data qoq'!$A:$AU,MATCH($Z$1,'Data qoq'!$A$1:$AU$1,),)</f>
        <v/>
      </c>
      <c r="AA82" s="25">
        <f>VLOOKUP(B82,'Data qoq'!$A:$AU,MATCH($AA$1,'Data qoq'!$A$1:$AU$1,),)</f>
        <v/>
      </c>
      <c r="AC82" s="26">
        <f>B82</f>
        <v/>
      </c>
      <c r="AD82" s="27">
        <f>(VLOOKUP(AC82,B:Y,MATCH($AE$6,$B$1:$Y$1,),))-(VLOOKUP(AC82,B:Y,MATCH($AE$7,$B$1:$Y$1,),))</f>
        <v/>
      </c>
      <c r="AE82" s="27">
        <f>C82-G82</f>
        <v/>
      </c>
    </row>
    <row r="83">
      <c r="B83" s="24" t="inlineStr">
        <is>
          <t>2018-Q1</t>
        </is>
      </c>
      <c r="C83" s="25">
        <f>VLOOKUP(B83,'Data qoq'!$A:$AT,MATCH($C$1,'Data qoq'!$A$1:$AT$1,),)</f>
        <v/>
      </c>
      <c r="D83" s="25">
        <f>VLOOKUP(B83,'Data qoq'!$A:$AT,MATCH($D$1,'Data qoq'!$A$1:$AT$1,),)</f>
        <v/>
      </c>
      <c r="E83" s="25">
        <f>VLOOKUP(B83,'Data qoq'!$A:$AT,MATCH($E$1,'Data qoq'!$A$1:$AT$1,),)</f>
        <v/>
      </c>
      <c r="F83" s="25">
        <f>VLOOKUP(B83,'Data qoq'!$A:$AT,MATCH($F$1,'Data qoq'!$A$1:$AT$1,),)</f>
        <v/>
      </c>
      <c r="G83" s="25">
        <f>VLOOKUP(B83,'Data qoq'!$A:$AT,MATCH($G$1,'Data qoq'!$A$1:$AT$1,),)</f>
        <v/>
      </c>
      <c r="H83" s="25">
        <f>VLOOKUP(B83,'Data qoq'!$A:$AT,MATCH($H$1,'Data qoq'!$A$1:$AT$1,),)</f>
        <v/>
      </c>
      <c r="I83" s="25">
        <f>VLOOKUP(B83,'Data qoq'!$A:$AT,MATCH($I$1,'Data qoq'!$A$1:$AT$1,),)</f>
        <v/>
      </c>
      <c r="J83" s="25">
        <f>VLOOKUP(B83,'Data qoq'!$A:$AT,MATCH($J$1,'Data qoq'!$A$1:$AT$1,),)</f>
        <v/>
      </c>
      <c r="K83" s="25">
        <f>VLOOKUP(B83,'Data qoq'!$A:$AT,MATCH($K$1,'Data qoq'!$A$1:$AT$1,),)</f>
        <v/>
      </c>
      <c r="L83" s="25">
        <f>VLOOKUP(B83,'Data qoq'!$A:$AT,MATCH($L$1,'Data qoq'!$A$1:$AT$1,),)</f>
        <v/>
      </c>
      <c r="M83" s="25">
        <f>VLOOKUP(B83,'Data qoq'!$A:$AT,MATCH($M$1,'Data qoq'!$A$1:$AT$1,),)</f>
        <v/>
      </c>
      <c r="N83" s="25">
        <f>VLOOKUP(B83,'Data qoq'!$A:$AT,MATCH($N$1,'Data qoq'!$A$1:$AT$1,),)</f>
        <v/>
      </c>
      <c r="O83" s="25">
        <f>VLOOKUP(B83,'Data qoq'!$A:$AT,MATCH($O$1,'Data qoq'!$J$1:$AT$1,),)</f>
        <v/>
      </c>
      <c r="P83" s="25">
        <f>VLOOKUP(B83,'Data qoq'!$A:$AT,MATCH($P$1,'Data qoq'!$A$1:$AT$1,),)</f>
        <v/>
      </c>
      <c r="Q83" s="25">
        <f>VLOOKUP(B83,'Data qoq'!$A:$AT,MATCH($Q$1,'Data qoq'!$A$1:$AT$1,),)</f>
        <v/>
      </c>
      <c r="R83" s="25">
        <f>VLOOKUP(B83,'Data qoq'!$A:$AT,MATCH($R$1,'Data qoq'!$A$1:$AT$1,),)</f>
        <v/>
      </c>
      <c r="S83" s="25">
        <f>VLOOKUP(B83,'Data qoq'!$A:$AT,MATCH($S$1,'Data qoq'!$A$1:$AT$1,),)</f>
        <v/>
      </c>
      <c r="T83" s="25">
        <f>VLOOKUP(B83,'Data qoq'!$A:$AT,MATCH($T$1,'Data qoq'!$A$1:$AT$1,),)</f>
        <v/>
      </c>
      <c r="U83" s="25">
        <f>VLOOKUP(B83,'Data qoq'!$A:$AT,MATCH($U$1,'Data qoq'!$A$1:$AT$1,),)</f>
        <v/>
      </c>
      <c r="V83" s="25">
        <f>VLOOKUP(B83,'Data qoq'!$A:$AT,MATCH($V$1,'Data qoq'!$A$1:$AT$1,),)</f>
        <v/>
      </c>
      <c r="W83" s="25">
        <f>VLOOKUP(B83,'Data qoq'!$A:$AT,MATCH($W$1,'Data qoq'!$A$1:$AT$1,),)</f>
        <v/>
      </c>
      <c r="X83" s="25">
        <f>VLOOKUP(B83,'Data qoq'!$A:$AT,MATCH($X$1,'Data qoq'!$A$1:$AT$1,),)</f>
        <v/>
      </c>
      <c r="Y83" s="25">
        <f>VLOOKUP(B83,'Data qoq'!$A:$AT,MATCH($Y$1,'Data qoq'!$A$1:$AT$1,),)</f>
        <v/>
      </c>
      <c r="Z83" s="25">
        <f>VLOOKUP(B83,'Data qoq'!$A:$AU,MATCH($Z$1,'Data qoq'!$A$1:$AU$1,),)</f>
        <v/>
      </c>
      <c r="AA83" s="25">
        <f>VLOOKUP(B83,'Data qoq'!$A:$AU,MATCH($AA$1,'Data qoq'!$A$1:$AU$1,),)</f>
        <v/>
      </c>
      <c r="AC83" s="26">
        <f>B83</f>
        <v/>
      </c>
      <c r="AD83" s="27">
        <f>(VLOOKUP(AC83,B:Y,MATCH($AE$6,$B$1:$Y$1,),))-(VLOOKUP(AC83,B:Y,MATCH($AE$7,$B$1:$Y$1,),))</f>
        <v/>
      </c>
      <c r="AE83" s="27">
        <f>C83-G83</f>
        <v/>
      </c>
    </row>
    <row r="84" customFormat="1" s="74">
      <c r="B84" s="24" t="inlineStr">
        <is>
          <t>2018-Q2</t>
        </is>
      </c>
      <c r="C84" s="25">
        <f>VLOOKUP(B84,'Data qoq'!$A:$AT,MATCH($C$1,'Data qoq'!$A$1:$AT$1,),)</f>
        <v/>
      </c>
      <c r="D84" s="25">
        <f>VLOOKUP(B84,'Data qoq'!$A:$AT,MATCH($D$1,'Data qoq'!$A$1:$AT$1,),)</f>
        <v/>
      </c>
      <c r="E84" s="25">
        <f>VLOOKUP(B84,'Data qoq'!$A:$AT,MATCH($E$1,'Data qoq'!$A$1:$AT$1,),)</f>
        <v/>
      </c>
      <c r="F84" s="25">
        <f>VLOOKUP(B84,'Data qoq'!$A:$AT,MATCH($F$1,'Data qoq'!$A$1:$AT$1,),)</f>
        <v/>
      </c>
      <c r="G84" s="25">
        <f>VLOOKUP(B84,'Data qoq'!$A:$AT,MATCH($G$1,'Data qoq'!$A$1:$AT$1,),)</f>
        <v/>
      </c>
      <c r="H84" s="25">
        <f>VLOOKUP(B84,'Data qoq'!$A:$AT,MATCH($H$1,'Data qoq'!$A$1:$AT$1,),)</f>
        <v/>
      </c>
      <c r="I84" s="25">
        <f>VLOOKUP(B84,'Data qoq'!$A:$AT,MATCH($I$1,'Data qoq'!$A$1:$AT$1,),)</f>
        <v/>
      </c>
      <c r="J84" s="25">
        <f>VLOOKUP(B84,'Data qoq'!$A:$AT,MATCH($J$1,'Data qoq'!$A$1:$AT$1,),)</f>
        <v/>
      </c>
      <c r="K84" s="25">
        <f>VLOOKUP(B84,'Data qoq'!$A:$AT,MATCH($K$1,'Data qoq'!$A$1:$AT$1,),)</f>
        <v/>
      </c>
      <c r="L84" s="25">
        <f>VLOOKUP(B84,'Data qoq'!$A:$AT,MATCH($L$1,'Data qoq'!$A$1:$AT$1,),)</f>
        <v/>
      </c>
      <c r="M84" s="25">
        <f>VLOOKUP(B84,'Data qoq'!$A:$AT,MATCH($M$1,'Data qoq'!$A$1:$AT$1,),)</f>
        <v/>
      </c>
      <c r="N84" s="25">
        <f>VLOOKUP(B84,'Data qoq'!$A:$AT,MATCH($N$1,'Data qoq'!$A$1:$AT$1,),)</f>
        <v/>
      </c>
      <c r="O84" s="25">
        <f>VLOOKUP(B84,'Data qoq'!$A:$AT,MATCH($O$1,'Data qoq'!$J$1:$AT$1,),)</f>
        <v/>
      </c>
      <c r="P84" s="25">
        <f>VLOOKUP(B84,'Data qoq'!$A:$AT,MATCH($P$1,'Data qoq'!$A$1:$AT$1,),)</f>
        <v/>
      </c>
      <c r="Q84" s="25">
        <f>VLOOKUP(B84,'Data qoq'!$A:$AT,MATCH($Q$1,'Data qoq'!$A$1:$AT$1,),)</f>
        <v/>
      </c>
      <c r="R84" s="25">
        <f>VLOOKUP(B84,'Data qoq'!$A:$AT,MATCH($R$1,'Data qoq'!$A$1:$AT$1,),)</f>
        <v/>
      </c>
      <c r="S84" s="25">
        <f>VLOOKUP(B84,'Data qoq'!$A:$AT,MATCH($S$1,'Data qoq'!$A$1:$AT$1,),)</f>
        <v/>
      </c>
      <c r="T84" s="25">
        <f>VLOOKUP(B84,'Data qoq'!$A:$AT,MATCH($T$1,'Data qoq'!$A$1:$AT$1,),)</f>
        <v/>
      </c>
      <c r="U84" s="25">
        <f>VLOOKUP(B84,'Data qoq'!$A:$AT,MATCH($U$1,'Data qoq'!$A$1:$AT$1,),)</f>
        <v/>
      </c>
      <c r="V84" s="25">
        <f>VLOOKUP(B84,'Data qoq'!$A:$AT,MATCH($V$1,'Data qoq'!$A$1:$AT$1,),)</f>
        <v/>
      </c>
      <c r="W84" s="25">
        <f>VLOOKUP(B84,'Data qoq'!$A:$AT,MATCH($W$1,'Data qoq'!$A$1:$AT$1,),)</f>
        <v/>
      </c>
      <c r="X84" s="25">
        <f>VLOOKUP(B84,'Data qoq'!$A:$AT,MATCH($X$1,'Data qoq'!$A$1:$AT$1,),)</f>
        <v/>
      </c>
      <c r="Y84" s="25">
        <f>VLOOKUP(B84,'Data qoq'!$A:$AT,MATCH($Y$1,'Data qoq'!$A$1:$AT$1,),)</f>
        <v/>
      </c>
      <c r="Z84" s="25">
        <f>VLOOKUP(B84,'Data qoq'!$A:$AU,MATCH($Z$1,'Data qoq'!$A$1:$AU$1,),)</f>
        <v/>
      </c>
      <c r="AA84" s="25">
        <f>VLOOKUP(B84,'Data qoq'!$A:$AU,MATCH($AA$1,'Data qoq'!$A$1:$AU$1,),)</f>
        <v/>
      </c>
      <c r="AC84" s="26">
        <f>B84</f>
        <v/>
      </c>
      <c r="AD84" s="27">
        <f>(VLOOKUP(AC84,B:Y,MATCH($AE$6,$B$1:$Y$1,),))-(VLOOKUP(AC84,B:Y,MATCH($AE$7,$B$1:$Y$1,),))</f>
        <v/>
      </c>
      <c r="AE84" s="27">
        <f>C84-G84</f>
        <v/>
      </c>
    </row>
    <row r="85" customFormat="1" s="74">
      <c r="B85" s="24" t="inlineStr">
        <is>
          <t>2018-Q3</t>
        </is>
      </c>
      <c r="C85" s="25">
        <f>VLOOKUP(B85,'Data qoq'!$A:$AT,MATCH($C$1,'Data qoq'!$A$1:$AT$1,),)</f>
        <v/>
      </c>
      <c r="D85" s="25">
        <f>VLOOKUP(B85,'Data qoq'!$A:$AT,MATCH($D$1,'Data qoq'!$A$1:$AT$1,),)</f>
        <v/>
      </c>
      <c r="E85" s="25">
        <f>VLOOKUP(B85,'Data qoq'!$A:$AT,MATCH($E$1,'Data qoq'!$A$1:$AT$1,),)</f>
        <v/>
      </c>
      <c r="F85" s="25">
        <f>VLOOKUP(B85,'Data qoq'!$A:$AT,MATCH($F$1,'Data qoq'!$A$1:$AT$1,),)</f>
        <v/>
      </c>
      <c r="G85" s="25">
        <f>VLOOKUP(B85,'Data qoq'!$A:$AT,MATCH($G$1,'Data qoq'!$A$1:$AT$1,),)</f>
        <v/>
      </c>
      <c r="H85" s="25">
        <f>VLOOKUP(B85,'Data qoq'!$A:$AT,MATCH($H$1,'Data qoq'!$A$1:$AT$1,),)</f>
        <v/>
      </c>
      <c r="I85" s="25">
        <f>VLOOKUP(B85,'Data qoq'!$A:$AT,MATCH($I$1,'Data qoq'!$A$1:$AT$1,),)</f>
        <v/>
      </c>
      <c r="J85" s="25">
        <f>VLOOKUP(B85,'Data qoq'!$A:$AT,MATCH($J$1,'Data qoq'!$A$1:$AT$1,),)</f>
        <v/>
      </c>
      <c r="K85" s="25">
        <f>VLOOKUP(B85,'Data qoq'!$A:$AT,MATCH($K$1,'Data qoq'!$A$1:$AT$1,),)</f>
        <v/>
      </c>
      <c r="L85" s="25">
        <f>VLOOKUP(B85,'Data qoq'!$A:$AT,MATCH($L$1,'Data qoq'!$A$1:$AT$1,),)</f>
        <v/>
      </c>
      <c r="M85" s="25">
        <f>VLOOKUP(B85,'Data qoq'!$A:$AT,MATCH($M$1,'Data qoq'!$A$1:$AT$1,),)</f>
        <v/>
      </c>
      <c r="N85" s="25">
        <f>VLOOKUP(B85,'Data qoq'!$A:$AT,MATCH($N$1,'Data qoq'!$A$1:$AT$1,),)</f>
        <v/>
      </c>
      <c r="O85" s="25">
        <f>VLOOKUP(B85,'Data qoq'!$A:$AT,MATCH($O$1,'Data qoq'!$J$1:$AT$1,),)</f>
        <v/>
      </c>
      <c r="P85" s="25">
        <f>VLOOKUP(B85,'Data qoq'!$A:$AT,MATCH($P$1,'Data qoq'!$A$1:$AT$1,),)</f>
        <v/>
      </c>
      <c r="Q85" s="25">
        <f>VLOOKUP(B85,'Data qoq'!$A:$AT,MATCH($Q$1,'Data qoq'!$A$1:$AT$1,),)</f>
        <v/>
      </c>
      <c r="R85" s="25">
        <f>VLOOKUP(B85,'Data qoq'!$A:$AT,MATCH($R$1,'Data qoq'!$A$1:$AT$1,),)</f>
        <v/>
      </c>
      <c r="S85" s="25">
        <f>VLOOKUP(B85,'Data qoq'!$A:$AT,MATCH($S$1,'Data qoq'!$A$1:$AT$1,),)</f>
        <v/>
      </c>
      <c r="T85" s="25">
        <f>VLOOKUP(B85,'Data qoq'!$A:$AT,MATCH($T$1,'Data qoq'!$A$1:$AT$1,),)</f>
        <v/>
      </c>
      <c r="U85" s="25">
        <f>VLOOKUP(B85,'Data qoq'!$A:$AT,MATCH($U$1,'Data qoq'!$A$1:$AT$1,),)</f>
        <v/>
      </c>
      <c r="V85" s="25">
        <f>VLOOKUP(B85,'Data qoq'!$A:$AT,MATCH($V$1,'Data qoq'!$A$1:$AT$1,),)</f>
        <v/>
      </c>
      <c r="W85" s="25">
        <f>VLOOKUP(B85,'Data qoq'!$A:$AT,MATCH($W$1,'Data qoq'!$A$1:$AT$1,),)</f>
        <v/>
      </c>
      <c r="X85" s="25">
        <f>VLOOKUP(B85,'Data qoq'!$A:$AT,MATCH($X$1,'Data qoq'!$A$1:$AT$1,),)</f>
        <v/>
      </c>
      <c r="Y85" s="25">
        <f>VLOOKUP(B85,'Data qoq'!$A:$AT,MATCH($Y$1,'Data qoq'!$A$1:$AT$1,),)</f>
        <v/>
      </c>
      <c r="Z85" s="25">
        <f>VLOOKUP(B85,'Data qoq'!$A:$AU,MATCH($Z$1,'Data qoq'!$A$1:$AU$1,),)</f>
        <v/>
      </c>
      <c r="AA85" s="25">
        <f>VLOOKUP(B85,'Data qoq'!$A:$AU,MATCH($AA$1,'Data qoq'!$A$1:$AU$1,),)</f>
        <v/>
      </c>
      <c r="AC85" s="26">
        <f>B85</f>
        <v/>
      </c>
      <c r="AD85" s="27">
        <f>(VLOOKUP(AC85,B:Y,MATCH($AE$6,$B$1:$Y$1,),))-(VLOOKUP(AC85,B:Y,MATCH($AE$7,$B$1:$Y$1,),))</f>
        <v/>
      </c>
      <c r="AE85" s="27">
        <f>C85-G85</f>
        <v/>
      </c>
    </row>
    <row r="86" customFormat="1" s="74">
      <c r="B86" s="24" t="inlineStr">
        <is>
          <t>2018-Q4</t>
        </is>
      </c>
      <c r="C86" s="25">
        <f>VLOOKUP(B86,'Data qoq'!$A:$AT,MATCH($C$1,'Data qoq'!$A$1:$AT$1,),)</f>
        <v/>
      </c>
      <c r="D86" s="25">
        <f>VLOOKUP(B86,'Data qoq'!$A:$AT,MATCH($D$1,'Data qoq'!$A$1:$AT$1,),)</f>
        <v/>
      </c>
      <c r="E86" s="25">
        <f>VLOOKUP(B86,'Data qoq'!$A:$AT,MATCH($E$1,'Data qoq'!$A$1:$AT$1,),)</f>
        <v/>
      </c>
      <c r="F86" s="25">
        <f>VLOOKUP(B86,'Data qoq'!$A:$AT,MATCH($F$1,'Data qoq'!$A$1:$AT$1,),)</f>
        <v/>
      </c>
      <c r="G86" s="25">
        <f>VLOOKUP(B86,'Data qoq'!$A:$AT,MATCH($G$1,'Data qoq'!$A$1:$AT$1,),)</f>
        <v/>
      </c>
      <c r="H86" s="25">
        <f>VLOOKUP(B86,'Data qoq'!$A:$AT,MATCH($H$1,'Data qoq'!$A$1:$AT$1,),)</f>
        <v/>
      </c>
      <c r="I86" s="25">
        <f>VLOOKUP(B86,'Data qoq'!$A:$AT,MATCH($I$1,'Data qoq'!$A$1:$AT$1,),)</f>
        <v/>
      </c>
      <c r="J86" s="25">
        <f>VLOOKUP(B86,'Data qoq'!$A:$AT,MATCH($J$1,'Data qoq'!$A$1:$AT$1,),)</f>
        <v/>
      </c>
      <c r="K86" s="25">
        <f>VLOOKUP(B86,'Data qoq'!$A:$AT,MATCH($K$1,'Data qoq'!$A$1:$AT$1,),)</f>
        <v/>
      </c>
      <c r="L86" s="25">
        <f>VLOOKUP(B86,'Data qoq'!$A:$AT,MATCH($L$1,'Data qoq'!$A$1:$AT$1,),)</f>
        <v/>
      </c>
      <c r="M86" s="25">
        <f>VLOOKUP(B86,'Data qoq'!$A:$AT,MATCH($M$1,'Data qoq'!$A$1:$AT$1,),)</f>
        <v/>
      </c>
      <c r="N86" s="25">
        <f>VLOOKUP(B86,'Data qoq'!$A:$AT,MATCH($N$1,'Data qoq'!$A$1:$AT$1,),)</f>
        <v/>
      </c>
      <c r="O86" s="25">
        <f>VLOOKUP(B86,'Data qoq'!$A:$AT,MATCH($O$1,'Data qoq'!$J$1:$AT$1,),)</f>
        <v/>
      </c>
      <c r="P86" s="25">
        <f>VLOOKUP(B86,'Data qoq'!$A:$AT,MATCH($P$1,'Data qoq'!$A$1:$AT$1,),)</f>
        <v/>
      </c>
      <c r="Q86" s="25">
        <f>VLOOKUP(B86,'Data qoq'!$A:$AT,MATCH($Q$1,'Data qoq'!$A$1:$AT$1,),)</f>
        <v/>
      </c>
      <c r="R86" s="25">
        <f>VLOOKUP(B86,'Data qoq'!$A:$AT,MATCH($R$1,'Data qoq'!$A$1:$AT$1,),)</f>
        <v/>
      </c>
      <c r="S86" s="25">
        <f>VLOOKUP(B86,'Data qoq'!$A:$AT,MATCH($S$1,'Data qoq'!$A$1:$AT$1,),)</f>
        <v/>
      </c>
      <c r="T86" s="25">
        <f>VLOOKUP(B86,'Data qoq'!$A:$AT,MATCH($T$1,'Data qoq'!$A$1:$AT$1,),)</f>
        <v/>
      </c>
      <c r="U86" s="25">
        <f>VLOOKUP(B86,'Data qoq'!$A:$AT,MATCH($U$1,'Data qoq'!$A$1:$AT$1,),)</f>
        <v/>
      </c>
      <c r="V86" s="25">
        <f>VLOOKUP(B86,'Data qoq'!$A:$AT,MATCH($V$1,'Data qoq'!$A$1:$AT$1,),)</f>
        <v/>
      </c>
      <c r="W86" s="25">
        <f>VLOOKUP(B86,'Data qoq'!$A:$AT,MATCH($W$1,'Data qoq'!$A$1:$AT$1,),)</f>
        <v/>
      </c>
      <c r="X86" s="25">
        <f>VLOOKUP(B86,'Data qoq'!$A:$AT,MATCH($X$1,'Data qoq'!$A$1:$AT$1,),)</f>
        <v/>
      </c>
      <c r="Y86" s="25">
        <f>VLOOKUP(B86,'Data qoq'!$A:$AT,MATCH($Y$1,'Data qoq'!$A$1:$AT$1,),)</f>
        <v/>
      </c>
      <c r="Z86" s="25">
        <f>VLOOKUP(B86,'Data qoq'!$A:$AU,MATCH($Z$1,'Data qoq'!$A$1:$AU$1,),)</f>
        <v/>
      </c>
      <c r="AA86" s="25">
        <f>VLOOKUP(B86,'Data qoq'!$A:$AU,MATCH($AA$1,'Data qoq'!$A$1:$AU$1,),)</f>
        <v/>
      </c>
      <c r="AC86" s="26">
        <f>B86</f>
        <v/>
      </c>
      <c r="AD86" s="27">
        <f>(VLOOKUP(AC86,B:Y,MATCH($AE$6,$B$1:$Y$1,),))-(VLOOKUP(AC86,B:Y,MATCH($AE$7,$B$1:$Y$1,),))</f>
        <v/>
      </c>
      <c r="AE86" s="27">
        <f>C86-G86</f>
        <v/>
      </c>
    </row>
    <row r="87" customFormat="1" s="74">
      <c r="B87" s="24" t="inlineStr">
        <is>
          <t>2019-Q1</t>
        </is>
      </c>
      <c r="C87" s="25">
        <f>VLOOKUP(B87,'Data qoq'!$A:$AT,MATCH($C$1,'Data qoq'!$A$1:$AT$1,),)</f>
        <v/>
      </c>
      <c r="D87" s="25">
        <f>VLOOKUP(B87,'Data qoq'!$A:$AT,MATCH($D$1,'Data qoq'!$A$1:$AT$1,),)</f>
        <v/>
      </c>
      <c r="E87" s="25">
        <f>VLOOKUP(B87,'Data qoq'!$A:$AT,MATCH($E$1,'Data qoq'!$A$1:$AT$1,),)</f>
        <v/>
      </c>
      <c r="F87" s="25">
        <f>VLOOKUP(B87,'Data qoq'!$A:$AT,MATCH($F$1,'Data qoq'!$A$1:$AT$1,),)</f>
        <v/>
      </c>
      <c r="G87" s="25">
        <f>VLOOKUP(B87,'Data qoq'!$A:$AT,MATCH($G$1,'Data qoq'!$A$1:$AT$1,),)</f>
        <v/>
      </c>
      <c r="H87" s="25">
        <f>VLOOKUP(B87,'Data qoq'!$A:$AT,MATCH($H$1,'Data qoq'!$A$1:$AT$1,),)</f>
        <v/>
      </c>
      <c r="I87" s="25">
        <f>VLOOKUP(B87,'Data qoq'!$A:$AT,MATCH($I$1,'Data qoq'!$A$1:$AT$1,),)</f>
        <v/>
      </c>
      <c r="J87" s="25">
        <f>VLOOKUP(B87,'Data qoq'!$A:$AT,MATCH($J$1,'Data qoq'!$A$1:$AT$1,),)</f>
        <v/>
      </c>
      <c r="K87" s="25">
        <f>VLOOKUP(B87,'Data qoq'!$A:$AT,MATCH($K$1,'Data qoq'!$A$1:$AT$1,),)</f>
        <v/>
      </c>
      <c r="L87" s="25">
        <f>VLOOKUP(B87,'Data qoq'!$A:$AT,MATCH($L$1,'Data qoq'!$A$1:$AT$1,),)</f>
        <v/>
      </c>
      <c r="M87" s="25">
        <f>VLOOKUP(B87,'Data qoq'!$A:$AT,MATCH($M$1,'Data qoq'!$A$1:$AT$1,),)</f>
        <v/>
      </c>
      <c r="N87" s="25">
        <f>VLOOKUP(B87,'Data qoq'!$A:$AT,MATCH($N$1,'Data qoq'!$A$1:$AT$1,),)</f>
        <v/>
      </c>
      <c r="O87" s="25">
        <f>VLOOKUP(B87,'Data qoq'!$A:$AT,MATCH($O$1,'Data qoq'!$J$1:$AT$1,),)</f>
        <v/>
      </c>
      <c r="P87" s="25">
        <f>VLOOKUP(B87,'Data qoq'!$A:$AT,MATCH($P$1,'Data qoq'!$A$1:$AT$1,),)</f>
        <v/>
      </c>
      <c r="Q87" s="25">
        <f>VLOOKUP(B87,'Data qoq'!$A:$AT,MATCH($Q$1,'Data qoq'!$A$1:$AT$1,),)</f>
        <v/>
      </c>
      <c r="R87" s="25">
        <f>VLOOKUP(B87,'Data qoq'!$A:$AT,MATCH($R$1,'Data qoq'!$A$1:$AT$1,),)</f>
        <v/>
      </c>
      <c r="S87" s="25">
        <f>VLOOKUP(B87,'Data qoq'!$A:$AT,MATCH($S$1,'Data qoq'!$A$1:$AT$1,),)</f>
        <v/>
      </c>
      <c r="T87" s="25">
        <f>VLOOKUP(B87,'Data qoq'!$A:$AT,MATCH($T$1,'Data qoq'!$A$1:$AT$1,),)</f>
        <v/>
      </c>
      <c r="U87" s="25">
        <f>VLOOKUP(B87,'Data qoq'!$A:$AT,MATCH($U$1,'Data qoq'!$A$1:$AT$1,),)</f>
        <v/>
      </c>
      <c r="V87" s="25">
        <f>VLOOKUP(B87,'Data qoq'!$A:$AT,MATCH($V$1,'Data qoq'!$A$1:$AT$1,),)</f>
        <v/>
      </c>
      <c r="W87" s="25">
        <f>VLOOKUP(B87,'Data qoq'!$A:$AT,MATCH($W$1,'Data qoq'!$A$1:$AT$1,),)</f>
        <v/>
      </c>
      <c r="X87" s="25">
        <f>VLOOKUP(B87,'Data qoq'!$A:$AT,MATCH($X$1,'Data qoq'!$A$1:$AT$1,),)</f>
        <v/>
      </c>
      <c r="Y87" s="25">
        <f>VLOOKUP(B87,'Data qoq'!$A:$AT,MATCH($Y$1,'Data qoq'!$A$1:$AT$1,),)</f>
        <v/>
      </c>
      <c r="Z87" s="25">
        <f>VLOOKUP(B87,'Data qoq'!$A:$AU,MATCH($Z$1,'Data qoq'!$A$1:$AU$1,),)</f>
        <v/>
      </c>
      <c r="AA87" s="25">
        <f>VLOOKUP(B87,'Data qoq'!$A:$AU,MATCH($AA$1,'Data qoq'!$A$1:$AU$1,),)</f>
        <v/>
      </c>
      <c r="AC87" s="26">
        <f>B87</f>
        <v/>
      </c>
      <c r="AD87" s="27">
        <f>(VLOOKUP(AC87,B:Y,MATCH($AE$6,$B$1:$Y$1,),))-(VLOOKUP(AC87,B:Y,MATCH($AE$7,$B$1:$Y$1,),))</f>
        <v/>
      </c>
      <c r="AE87" s="27">
        <f>C87-G87</f>
        <v/>
      </c>
    </row>
    <row r="88" customFormat="1" s="74">
      <c r="B88" s="24" t="inlineStr">
        <is>
          <t>2019-Q2</t>
        </is>
      </c>
      <c r="C88" s="25">
        <f>VLOOKUP(B88,'Data qoq'!$A:$AT,MATCH($C$1,'Data qoq'!$A$1:$AT$1,),)</f>
        <v/>
      </c>
      <c r="D88" s="25">
        <f>VLOOKUP(B88,'Data qoq'!$A:$AT,MATCH($D$1,'Data qoq'!$A$1:$AT$1,),)</f>
        <v/>
      </c>
      <c r="E88" s="25">
        <f>VLOOKUP(B88,'Data qoq'!$A:$AT,MATCH($E$1,'Data qoq'!$A$1:$AT$1,),)</f>
        <v/>
      </c>
      <c r="F88" s="25">
        <f>VLOOKUP(B88,'Data qoq'!$A:$AT,MATCH($F$1,'Data qoq'!$A$1:$AT$1,),)</f>
        <v/>
      </c>
      <c r="G88" s="25">
        <f>VLOOKUP(B88,'Data qoq'!$A:$AT,MATCH($G$1,'Data qoq'!$A$1:$AT$1,),)</f>
        <v/>
      </c>
      <c r="H88" s="25">
        <f>VLOOKUP(B88,'Data qoq'!$A:$AT,MATCH($H$1,'Data qoq'!$A$1:$AT$1,),)</f>
        <v/>
      </c>
      <c r="I88" s="25">
        <f>VLOOKUP(B88,'Data qoq'!$A:$AT,MATCH($I$1,'Data qoq'!$A$1:$AT$1,),)</f>
        <v/>
      </c>
      <c r="J88" s="25">
        <f>VLOOKUP(B88,'Data qoq'!$A:$AT,MATCH($J$1,'Data qoq'!$A$1:$AT$1,),)</f>
        <v/>
      </c>
      <c r="K88" s="25">
        <f>VLOOKUP(B88,'Data qoq'!$A:$AT,MATCH($K$1,'Data qoq'!$A$1:$AT$1,),)</f>
        <v/>
      </c>
      <c r="L88" s="25">
        <f>VLOOKUP(B88,'Data qoq'!$A:$AT,MATCH($L$1,'Data qoq'!$A$1:$AT$1,),)</f>
        <v/>
      </c>
      <c r="M88" s="25">
        <f>VLOOKUP(B88,'Data qoq'!$A:$AT,MATCH($M$1,'Data qoq'!$A$1:$AT$1,),)</f>
        <v/>
      </c>
      <c r="N88" s="25">
        <f>VLOOKUP(B88,'Data qoq'!$A:$AT,MATCH($N$1,'Data qoq'!$A$1:$AT$1,),)</f>
        <v/>
      </c>
      <c r="O88" s="25">
        <f>VLOOKUP(B88,'Data qoq'!$A:$AT,MATCH($O$1,'Data qoq'!$J$1:$AT$1,),)</f>
        <v/>
      </c>
      <c r="P88" s="25">
        <f>VLOOKUP(B88,'Data qoq'!$A:$AT,MATCH($P$1,'Data qoq'!$A$1:$AT$1,),)</f>
        <v/>
      </c>
      <c r="Q88" s="25">
        <f>VLOOKUP(B88,'Data qoq'!$A:$AT,MATCH($Q$1,'Data qoq'!$A$1:$AT$1,),)</f>
        <v/>
      </c>
      <c r="R88" s="25">
        <f>VLOOKUP(B88,'Data qoq'!$A:$AT,MATCH($R$1,'Data qoq'!$A$1:$AT$1,),)</f>
        <v/>
      </c>
      <c r="S88" s="25">
        <f>VLOOKUP(B88,'Data qoq'!$A:$AT,MATCH($S$1,'Data qoq'!$A$1:$AT$1,),)</f>
        <v/>
      </c>
      <c r="T88" s="25">
        <f>VLOOKUP(B88,'Data qoq'!$A:$AT,MATCH($T$1,'Data qoq'!$A$1:$AT$1,),)</f>
        <v/>
      </c>
      <c r="U88" s="25">
        <f>VLOOKUP(B88,'Data qoq'!$A:$AT,MATCH($U$1,'Data qoq'!$A$1:$AT$1,),)</f>
        <v/>
      </c>
      <c r="V88" s="25">
        <f>VLOOKUP(B88,'Data qoq'!$A:$AT,MATCH($V$1,'Data qoq'!$A$1:$AT$1,),)</f>
        <v/>
      </c>
      <c r="W88" s="25">
        <f>VLOOKUP(B88,'Data qoq'!$A:$AT,MATCH($W$1,'Data qoq'!$A$1:$AT$1,),)</f>
        <v/>
      </c>
      <c r="X88" s="25">
        <f>VLOOKUP(B88,'Data qoq'!$A:$AT,MATCH($X$1,'Data qoq'!$A$1:$AT$1,),)</f>
        <v/>
      </c>
      <c r="Y88" s="25">
        <f>VLOOKUP(B88,'Data qoq'!$A:$AT,MATCH($Y$1,'Data qoq'!$A$1:$AT$1,),)</f>
        <v/>
      </c>
      <c r="Z88" s="25">
        <f>VLOOKUP(B88,'Data qoq'!$A:$AU,MATCH($Z$1,'Data qoq'!$A$1:$AU$1,),)</f>
        <v/>
      </c>
      <c r="AA88" s="25">
        <f>VLOOKUP(B88,'Data qoq'!$A:$AU,MATCH($AA$1,'Data qoq'!$A$1:$AU$1,),)</f>
        <v/>
      </c>
      <c r="AC88" s="26">
        <f>B88</f>
        <v/>
      </c>
      <c r="AD88" s="27">
        <f>(VLOOKUP(AC88,B:Y,MATCH($AE$6,$B$1:$Y$1,),))-(VLOOKUP(AC88,B:Y,MATCH($AE$7,$B$1:$Y$1,),))</f>
        <v/>
      </c>
      <c r="AE88" s="27">
        <f>C88-G88</f>
        <v/>
      </c>
    </row>
    <row r="89" customFormat="1" s="74">
      <c r="B89" s="24" t="inlineStr">
        <is>
          <t>2019-Q3</t>
        </is>
      </c>
      <c r="C89" s="25">
        <f>VLOOKUP(B89,'Data qoq'!$A:$AT,MATCH($C$1,'Data qoq'!$A$1:$AT$1,),)</f>
        <v/>
      </c>
      <c r="D89" s="25">
        <f>VLOOKUP(B89,'Data qoq'!$A:$AT,MATCH($D$1,'Data qoq'!$A$1:$AT$1,),)</f>
        <v/>
      </c>
      <c r="E89" s="25">
        <f>VLOOKUP(B89,'Data qoq'!$A:$AT,MATCH($E$1,'Data qoq'!$A$1:$AT$1,),)</f>
        <v/>
      </c>
      <c r="F89" s="25">
        <f>VLOOKUP(B89,'Data qoq'!$A:$AT,MATCH($F$1,'Data qoq'!$A$1:$AT$1,),)</f>
        <v/>
      </c>
      <c r="G89" s="25">
        <f>VLOOKUP(B89,'Data qoq'!$A:$AT,MATCH($G$1,'Data qoq'!$A$1:$AT$1,),)</f>
        <v/>
      </c>
      <c r="H89" s="25">
        <f>VLOOKUP(B89,'Data qoq'!$A:$AT,MATCH($H$1,'Data qoq'!$A$1:$AT$1,),)</f>
        <v/>
      </c>
      <c r="I89" s="25">
        <f>VLOOKUP(B89,'Data qoq'!$A:$AT,MATCH($I$1,'Data qoq'!$A$1:$AT$1,),)</f>
        <v/>
      </c>
      <c r="J89" s="25">
        <f>VLOOKUP(B89,'Data qoq'!$A:$AT,MATCH($J$1,'Data qoq'!$A$1:$AT$1,),)</f>
        <v/>
      </c>
      <c r="K89" s="25">
        <f>VLOOKUP(B89,'Data qoq'!$A:$AT,MATCH($K$1,'Data qoq'!$A$1:$AT$1,),)</f>
        <v/>
      </c>
      <c r="L89" s="25">
        <f>VLOOKUP(B89,'Data qoq'!$A:$AT,MATCH($L$1,'Data qoq'!$A$1:$AT$1,),)</f>
        <v/>
      </c>
      <c r="M89" s="25">
        <f>VLOOKUP(B89,'Data qoq'!$A:$AT,MATCH($M$1,'Data qoq'!$A$1:$AT$1,),)</f>
        <v/>
      </c>
      <c r="N89" s="25">
        <f>VLOOKUP(B89,'Data qoq'!$A:$AT,MATCH($N$1,'Data qoq'!$A$1:$AT$1,),)</f>
        <v/>
      </c>
      <c r="O89" s="25">
        <f>VLOOKUP(B89,'Data qoq'!$A:$AT,MATCH($O$1,'Data qoq'!$J$1:$AT$1,),)</f>
        <v/>
      </c>
      <c r="P89" s="25">
        <f>VLOOKUP(B89,'Data qoq'!$A:$AT,MATCH($P$1,'Data qoq'!$A$1:$AT$1,),)</f>
        <v/>
      </c>
      <c r="Q89" s="25">
        <f>VLOOKUP(B89,'Data qoq'!$A:$AT,MATCH($Q$1,'Data qoq'!$A$1:$AT$1,),)</f>
        <v/>
      </c>
      <c r="R89" s="25">
        <f>VLOOKUP(B89,'Data qoq'!$A:$AT,MATCH($R$1,'Data qoq'!$A$1:$AT$1,),)</f>
        <v/>
      </c>
      <c r="S89" s="25">
        <f>VLOOKUP(B89,'Data qoq'!$A:$AT,MATCH($S$1,'Data qoq'!$A$1:$AT$1,),)</f>
        <v/>
      </c>
      <c r="T89" s="25">
        <f>VLOOKUP(B89,'Data qoq'!$A:$AT,MATCH($T$1,'Data qoq'!$A$1:$AT$1,),)</f>
        <v/>
      </c>
      <c r="U89" s="25">
        <f>VLOOKUP(B89,'Data qoq'!$A:$AT,MATCH($U$1,'Data qoq'!$A$1:$AT$1,),)</f>
        <v/>
      </c>
      <c r="V89" s="25">
        <f>VLOOKUP(B89,'Data qoq'!$A:$AT,MATCH($V$1,'Data qoq'!$A$1:$AT$1,),)</f>
        <v/>
      </c>
      <c r="W89" s="25">
        <f>VLOOKUP(B89,'Data qoq'!$A:$AT,MATCH($W$1,'Data qoq'!$A$1:$AT$1,),)</f>
        <v/>
      </c>
      <c r="X89" s="25">
        <f>VLOOKUP(B89,'Data qoq'!$A:$AT,MATCH($X$1,'Data qoq'!$A$1:$AT$1,),)</f>
        <v/>
      </c>
      <c r="Y89" s="25">
        <f>VLOOKUP(B89,'Data qoq'!$A:$AT,MATCH($Y$1,'Data qoq'!$A$1:$AT$1,),)</f>
        <v/>
      </c>
      <c r="Z89" s="25">
        <f>VLOOKUP(B89,'Data qoq'!$A:$AU,MATCH($Z$1,'Data qoq'!$A$1:$AU$1,),)</f>
        <v/>
      </c>
      <c r="AA89" s="25">
        <f>VLOOKUP(B89,'Data qoq'!$A:$AU,MATCH($AA$1,'Data qoq'!$A$1:$AU$1,),)</f>
        <v/>
      </c>
      <c r="AC89" s="26">
        <f>B89</f>
        <v/>
      </c>
      <c r="AD89" s="27">
        <f>(VLOOKUP(AC89,B:Y,MATCH($AE$6,$B$1:$Y$1,),))-(VLOOKUP(AC89,B:Y,MATCH($AE$7,$B$1:$Y$1,),))</f>
        <v/>
      </c>
      <c r="AE89" s="27">
        <f>C89-G89</f>
        <v/>
      </c>
    </row>
    <row r="90" customFormat="1" s="74">
      <c r="B90" s="24" t="inlineStr">
        <is>
          <t>2019-Q4</t>
        </is>
      </c>
      <c r="C90" s="25">
        <f>VLOOKUP(B90,'Data qoq'!$A:$AT,MATCH($C$1,'Data qoq'!$A$1:$AT$1,),)</f>
        <v/>
      </c>
      <c r="D90" s="25">
        <f>VLOOKUP(B90,'Data qoq'!$A:$AT,MATCH($D$1,'Data qoq'!$A$1:$AT$1,),)</f>
        <v/>
      </c>
      <c r="E90" s="25">
        <f>VLOOKUP(B90,'Data qoq'!$A:$AT,MATCH($E$1,'Data qoq'!$A$1:$AT$1,),)</f>
        <v/>
      </c>
      <c r="F90" s="25">
        <f>VLOOKUP(B90,'Data qoq'!$A:$AT,MATCH($F$1,'Data qoq'!$A$1:$AT$1,),)</f>
        <v/>
      </c>
      <c r="G90" s="25">
        <f>VLOOKUP(B90,'Data qoq'!$A:$AT,MATCH($G$1,'Data qoq'!$A$1:$AT$1,),)</f>
        <v/>
      </c>
      <c r="H90" s="25">
        <f>VLOOKUP(B90,'Data qoq'!$A:$AT,MATCH($H$1,'Data qoq'!$A$1:$AT$1,),)</f>
        <v/>
      </c>
      <c r="I90" s="25">
        <f>VLOOKUP(B90,'Data qoq'!$A:$AT,MATCH($I$1,'Data qoq'!$A$1:$AT$1,),)</f>
        <v/>
      </c>
      <c r="J90" s="25">
        <f>VLOOKUP(B90,'Data qoq'!$A:$AT,MATCH($J$1,'Data qoq'!$A$1:$AT$1,),)</f>
        <v/>
      </c>
      <c r="K90" s="25">
        <f>VLOOKUP(B90,'Data qoq'!$A:$AT,MATCH($K$1,'Data qoq'!$A$1:$AT$1,),)</f>
        <v/>
      </c>
      <c r="L90" s="25">
        <f>VLOOKUP(B90,'Data qoq'!$A:$AT,MATCH($L$1,'Data qoq'!$A$1:$AT$1,),)</f>
        <v/>
      </c>
      <c r="M90" s="25">
        <f>VLOOKUP(B90,'Data qoq'!$A:$AT,MATCH($M$1,'Data qoq'!$A$1:$AT$1,),)</f>
        <v/>
      </c>
      <c r="N90" s="25">
        <f>VLOOKUP(B90,'Data qoq'!$A:$AT,MATCH($N$1,'Data qoq'!$A$1:$AT$1,),)</f>
        <v/>
      </c>
      <c r="O90" s="25">
        <f>VLOOKUP(B90,'Data qoq'!$A:$AT,MATCH($O$1,'Data qoq'!$J$1:$AT$1,),)</f>
        <v/>
      </c>
      <c r="P90" s="25">
        <f>VLOOKUP(B90,'Data qoq'!$A:$AT,MATCH($P$1,'Data qoq'!$A$1:$AT$1,),)</f>
        <v/>
      </c>
      <c r="Q90" s="25">
        <f>VLOOKUP(B90,'Data qoq'!$A:$AT,MATCH($Q$1,'Data qoq'!$A$1:$AT$1,),)</f>
        <v/>
      </c>
      <c r="R90" s="25">
        <f>VLOOKUP(B90,'Data qoq'!$A:$AT,MATCH($R$1,'Data qoq'!$A$1:$AT$1,),)</f>
        <v/>
      </c>
      <c r="S90" s="25">
        <f>VLOOKUP(B90,'Data qoq'!$A:$AT,MATCH($S$1,'Data qoq'!$A$1:$AT$1,),)</f>
        <v/>
      </c>
      <c r="T90" s="25">
        <f>VLOOKUP(B90,'Data qoq'!$A:$AT,MATCH($T$1,'Data qoq'!$A$1:$AT$1,),)</f>
        <v/>
      </c>
      <c r="U90" s="25">
        <f>VLOOKUP(B90,'Data qoq'!$A:$AT,MATCH($U$1,'Data qoq'!$A$1:$AT$1,),)</f>
        <v/>
      </c>
      <c r="V90" s="25">
        <f>VLOOKUP(B90,'Data qoq'!$A:$AT,MATCH($V$1,'Data qoq'!$A$1:$AT$1,),)</f>
        <v/>
      </c>
      <c r="W90" s="25">
        <f>VLOOKUP(B90,'Data qoq'!$A:$AT,MATCH($W$1,'Data qoq'!$A$1:$AT$1,),)</f>
        <v/>
      </c>
      <c r="X90" s="25">
        <f>VLOOKUP(B90,'Data qoq'!$A:$AT,MATCH($X$1,'Data qoq'!$A$1:$AT$1,),)</f>
        <v/>
      </c>
      <c r="Y90" s="25">
        <f>VLOOKUP(B90,'Data qoq'!$A:$AT,MATCH($Y$1,'Data qoq'!$A$1:$AT$1,),)</f>
        <v/>
      </c>
      <c r="Z90" s="25">
        <f>VLOOKUP(B90,'Data qoq'!$A:$AU,MATCH($Z$1,'Data qoq'!$A$1:$AU$1,),)</f>
        <v/>
      </c>
      <c r="AA90" s="25">
        <f>VLOOKUP(B90,'Data qoq'!$A:$AU,MATCH($AA$1,'Data qoq'!$A$1:$AU$1,),)</f>
        <v/>
      </c>
      <c r="AC90" s="26">
        <f>B90</f>
        <v/>
      </c>
      <c r="AD90" s="27">
        <f>(VLOOKUP(AC90,B:Y,MATCH($AE$6,$B$1:$Y$1,),))-(VLOOKUP(AC90,B:Y,MATCH($AE$7,$B$1:$Y$1,),))</f>
        <v/>
      </c>
      <c r="AE90" s="27">
        <f>C90-G90</f>
        <v/>
      </c>
    </row>
    <row r="91" customFormat="1" s="74">
      <c r="B91" s="24" t="inlineStr">
        <is>
          <t>2020-Q1</t>
        </is>
      </c>
      <c r="C91" s="25">
        <f>VLOOKUP(B91,'Data qoq'!$A:$AT,MATCH($C$1,'Data qoq'!$A$1:$AT$1,),)</f>
        <v/>
      </c>
      <c r="D91" s="25">
        <f>VLOOKUP(B91,'Data qoq'!$A:$AT,MATCH($D$1,'Data qoq'!$A$1:$AT$1,),)</f>
        <v/>
      </c>
      <c r="E91" s="25">
        <f>VLOOKUP(B91,'Data qoq'!$A:$AT,MATCH($E$1,'Data qoq'!$A$1:$AT$1,),)</f>
        <v/>
      </c>
      <c r="F91" s="25">
        <f>VLOOKUP(B91,'Data qoq'!$A:$AT,MATCH($F$1,'Data qoq'!$A$1:$AT$1,),)</f>
        <v/>
      </c>
      <c r="G91" s="25">
        <f>VLOOKUP(B91,'Data qoq'!$A:$AT,MATCH($G$1,'Data qoq'!$A$1:$AT$1,),)</f>
        <v/>
      </c>
      <c r="H91" s="25">
        <f>VLOOKUP(B91,'Data qoq'!$A:$AT,MATCH($H$1,'Data qoq'!$A$1:$AT$1,),)</f>
        <v/>
      </c>
      <c r="I91" s="25">
        <f>VLOOKUP(B91,'Data qoq'!$A:$AT,MATCH($I$1,'Data qoq'!$A$1:$AT$1,),)</f>
        <v/>
      </c>
      <c r="J91" s="25">
        <f>VLOOKUP(B91,'Data qoq'!$A:$AT,MATCH($J$1,'Data qoq'!$A$1:$AT$1,),)</f>
        <v/>
      </c>
      <c r="K91" s="25">
        <f>VLOOKUP(B91,'Data qoq'!$A:$AT,MATCH($K$1,'Data qoq'!$A$1:$AT$1,),)</f>
        <v/>
      </c>
      <c r="L91" s="25">
        <f>VLOOKUP(B91,'Data qoq'!$A:$AT,MATCH($L$1,'Data qoq'!$A$1:$AT$1,),)</f>
        <v/>
      </c>
      <c r="M91" s="25">
        <f>VLOOKUP(B91,'Data qoq'!$A:$AT,MATCH($M$1,'Data qoq'!$A$1:$AT$1,),)</f>
        <v/>
      </c>
      <c r="N91" s="25">
        <f>VLOOKUP(B91,'Data qoq'!$A:$AT,MATCH($N$1,'Data qoq'!$A$1:$AT$1,),)</f>
        <v/>
      </c>
      <c r="O91" s="25">
        <f>VLOOKUP(B91,'Data qoq'!$A:$AT,MATCH($O$1,'Data qoq'!$J$1:$AT$1,),)</f>
        <v/>
      </c>
      <c r="P91" s="25">
        <f>VLOOKUP(B91,'Data qoq'!$A:$AT,MATCH($P$1,'Data qoq'!$A$1:$AT$1,),)</f>
        <v/>
      </c>
      <c r="Q91" s="25">
        <f>VLOOKUP(B91,'Data qoq'!$A:$AT,MATCH($Q$1,'Data qoq'!$A$1:$AT$1,),)</f>
        <v/>
      </c>
      <c r="R91" s="25">
        <f>VLOOKUP(B91,'Data qoq'!$A:$AT,MATCH($R$1,'Data qoq'!$A$1:$AT$1,),)</f>
        <v/>
      </c>
      <c r="S91" s="25">
        <f>VLOOKUP(B91,'Data qoq'!$A:$AT,MATCH($S$1,'Data qoq'!$A$1:$AT$1,),)</f>
        <v/>
      </c>
      <c r="T91" s="25">
        <f>VLOOKUP(B91,'Data qoq'!$A:$AT,MATCH($T$1,'Data qoq'!$A$1:$AT$1,),)</f>
        <v/>
      </c>
      <c r="U91" s="25">
        <f>VLOOKUP(B91,'Data qoq'!$A:$AT,MATCH($U$1,'Data qoq'!$A$1:$AT$1,),)</f>
        <v/>
      </c>
      <c r="V91" s="25">
        <f>VLOOKUP(B91,'Data qoq'!$A:$AT,MATCH($V$1,'Data qoq'!$A$1:$AT$1,),)</f>
        <v/>
      </c>
      <c r="W91" s="25">
        <f>VLOOKUP(B91,'Data qoq'!$A:$AT,MATCH($W$1,'Data qoq'!$A$1:$AT$1,),)</f>
        <v/>
      </c>
      <c r="X91" s="25">
        <f>VLOOKUP(B91,'Data qoq'!$A:$AT,MATCH($X$1,'Data qoq'!$A$1:$AT$1,),)</f>
        <v/>
      </c>
      <c r="Y91" s="25">
        <f>VLOOKUP(B91,'Data qoq'!$A:$AT,MATCH($Y$1,'Data qoq'!$A$1:$AT$1,),)</f>
        <v/>
      </c>
      <c r="Z91" s="25">
        <f>VLOOKUP(B91,'Data qoq'!$A:$AU,MATCH($Z$1,'Data qoq'!$A$1:$AU$1,),)</f>
        <v/>
      </c>
      <c r="AA91" s="25">
        <f>VLOOKUP(B91,'Data qoq'!$A:$AU,MATCH($AA$1,'Data qoq'!$A$1:$AU$1,),)</f>
        <v/>
      </c>
      <c r="AC91" s="26">
        <f>B91</f>
        <v/>
      </c>
      <c r="AD91" s="27">
        <f>(VLOOKUP(AC91,B:Y,MATCH($AE$6,$B$1:$Y$1,),))-(VLOOKUP(AC91,B:Y,MATCH($AE$7,$B$1:$Y$1,),))</f>
        <v/>
      </c>
      <c r="AE91" s="27">
        <f>C91-G91</f>
        <v/>
      </c>
    </row>
    <row r="92" customFormat="1" s="74">
      <c r="B92" s="24" t="inlineStr">
        <is>
          <t>2020-Q2</t>
        </is>
      </c>
      <c r="C92" s="25">
        <f>VLOOKUP(B92,'Data qoq'!$A:$AT,MATCH($C$1,'Data qoq'!$A$1:$AT$1,),)</f>
        <v/>
      </c>
      <c r="D92" s="25">
        <f>VLOOKUP(B92,'Data qoq'!$A:$AT,MATCH($D$1,'Data qoq'!$A$1:$AT$1,),)</f>
        <v/>
      </c>
      <c r="E92" s="25">
        <f>VLOOKUP(B92,'Data qoq'!$A:$AT,MATCH($E$1,'Data qoq'!$A$1:$AT$1,),)</f>
        <v/>
      </c>
      <c r="F92" s="25">
        <f>VLOOKUP(B92,'Data qoq'!$A:$AT,MATCH($F$1,'Data qoq'!$A$1:$AT$1,),)</f>
        <v/>
      </c>
      <c r="G92" s="25">
        <f>VLOOKUP(B92,'Data qoq'!$A:$AT,MATCH($G$1,'Data qoq'!$A$1:$AT$1,),)</f>
        <v/>
      </c>
      <c r="H92" s="25">
        <f>VLOOKUP(B92,'Data qoq'!$A:$AT,MATCH($H$1,'Data qoq'!$A$1:$AT$1,),)</f>
        <v/>
      </c>
      <c r="I92" s="25">
        <f>VLOOKUP(B92,'Data qoq'!$A:$AT,MATCH($I$1,'Data qoq'!$A$1:$AT$1,),)</f>
        <v/>
      </c>
      <c r="J92" s="25">
        <f>VLOOKUP(B92,'Data qoq'!$A:$AT,MATCH($J$1,'Data qoq'!$A$1:$AT$1,),)</f>
        <v/>
      </c>
      <c r="K92" s="25">
        <f>VLOOKUP(B92,'Data qoq'!$A:$AT,MATCH($K$1,'Data qoq'!$A$1:$AT$1,),)</f>
        <v/>
      </c>
      <c r="L92" s="25">
        <f>VLOOKUP(B92,'Data qoq'!$A:$AT,MATCH($L$1,'Data qoq'!$A$1:$AT$1,),)</f>
        <v/>
      </c>
      <c r="M92" s="25">
        <f>VLOOKUP(B92,'Data qoq'!$A:$AT,MATCH($M$1,'Data qoq'!$A$1:$AT$1,),)</f>
        <v/>
      </c>
      <c r="N92" s="25">
        <f>VLOOKUP(B92,'Data qoq'!$A:$AT,MATCH($N$1,'Data qoq'!$A$1:$AT$1,),)</f>
        <v/>
      </c>
      <c r="O92" s="25">
        <f>VLOOKUP(B92,'Data qoq'!$A:$AT,MATCH($O$1,'Data qoq'!$J$1:$AT$1,),)</f>
        <v/>
      </c>
      <c r="P92" s="25">
        <f>VLOOKUP(B92,'Data qoq'!$A:$AT,MATCH($P$1,'Data qoq'!$A$1:$AT$1,),)</f>
        <v/>
      </c>
      <c r="Q92" s="25">
        <f>VLOOKUP(B92,'Data qoq'!$A:$AT,MATCH($Q$1,'Data qoq'!$A$1:$AT$1,),)</f>
        <v/>
      </c>
      <c r="R92" s="25">
        <f>VLOOKUP(B92,'Data qoq'!$A:$AT,MATCH($R$1,'Data qoq'!$A$1:$AT$1,),)</f>
        <v/>
      </c>
      <c r="S92" s="25">
        <f>VLOOKUP(B92,'Data qoq'!$A:$AT,MATCH($S$1,'Data qoq'!$A$1:$AT$1,),)</f>
        <v/>
      </c>
      <c r="T92" s="25">
        <f>VLOOKUP(B92,'Data qoq'!$A:$AT,MATCH($T$1,'Data qoq'!$A$1:$AT$1,),)</f>
        <v/>
      </c>
      <c r="U92" s="25">
        <f>VLOOKUP(B92,'Data qoq'!$A:$AT,MATCH($U$1,'Data qoq'!$A$1:$AT$1,),)</f>
        <v/>
      </c>
      <c r="V92" s="25">
        <f>VLOOKUP(B92,'Data qoq'!$A:$AT,MATCH($V$1,'Data qoq'!$A$1:$AT$1,),)</f>
        <v/>
      </c>
      <c r="W92" s="25">
        <f>VLOOKUP(B92,'Data qoq'!$A:$AT,MATCH($W$1,'Data qoq'!$A$1:$AT$1,),)</f>
        <v/>
      </c>
      <c r="X92" s="25">
        <f>VLOOKUP(B92,'Data qoq'!$A:$AT,MATCH($X$1,'Data qoq'!$A$1:$AT$1,),)</f>
        <v/>
      </c>
      <c r="Y92" s="25">
        <f>VLOOKUP(B92,'Data qoq'!$A:$AT,MATCH($Y$1,'Data qoq'!$A$1:$AT$1,),)</f>
        <v/>
      </c>
      <c r="Z92" s="25">
        <f>VLOOKUP(B92,'Data qoq'!$A:$AU,MATCH($Z$1,'Data qoq'!$A$1:$AU$1,),)</f>
        <v/>
      </c>
      <c r="AA92" s="25">
        <f>VLOOKUP(B92,'Data qoq'!$A:$AU,MATCH($AA$1,'Data qoq'!$A$1:$AU$1,),)</f>
        <v/>
      </c>
      <c r="AC92" s="26">
        <f>B92</f>
        <v/>
      </c>
      <c r="AD92" s="27">
        <f>(VLOOKUP(AC92,B:Y,MATCH($AE$6,$B$1:$Y$1,),))-(VLOOKUP(AC92,B:Y,MATCH($AE$7,$B$1:$Y$1,),))</f>
        <v/>
      </c>
      <c r="AE92" s="27">
        <f>C92-G92</f>
        <v/>
      </c>
    </row>
    <row r="93" customFormat="1" s="74">
      <c r="B93" s="24" t="inlineStr">
        <is>
          <t>2020-Q3</t>
        </is>
      </c>
      <c r="C93" s="25">
        <f>VLOOKUP(B93,'Data qoq'!$A:$AT,MATCH($C$1,'Data qoq'!$A$1:$AT$1,),)</f>
        <v/>
      </c>
      <c r="D93" s="25">
        <f>VLOOKUP(B93,'Data qoq'!$A:$AT,MATCH($D$1,'Data qoq'!$A$1:$AT$1,),)</f>
        <v/>
      </c>
      <c r="E93" s="25">
        <f>VLOOKUP(B93,'Data qoq'!$A:$AT,MATCH($E$1,'Data qoq'!$A$1:$AT$1,),)</f>
        <v/>
      </c>
      <c r="F93" s="25">
        <f>VLOOKUP(B93,'Data qoq'!$A:$AT,MATCH($F$1,'Data qoq'!$A$1:$AT$1,),)</f>
        <v/>
      </c>
      <c r="G93" s="25">
        <f>VLOOKUP(B93,'Data qoq'!$A:$AT,MATCH($G$1,'Data qoq'!$A$1:$AT$1,),)</f>
        <v/>
      </c>
      <c r="H93" s="25">
        <f>VLOOKUP(B93,'Data qoq'!$A:$AT,MATCH($H$1,'Data qoq'!$A$1:$AT$1,),)</f>
        <v/>
      </c>
      <c r="I93" s="25">
        <f>VLOOKUP(B93,'Data qoq'!$A:$AT,MATCH($I$1,'Data qoq'!$A$1:$AT$1,),)</f>
        <v/>
      </c>
      <c r="J93" s="25">
        <f>VLOOKUP(B93,'Data qoq'!$A:$AT,MATCH($J$1,'Data qoq'!$A$1:$AT$1,),)</f>
        <v/>
      </c>
      <c r="K93" s="25">
        <f>VLOOKUP(B93,'Data qoq'!$A:$AT,MATCH($K$1,'Data qoq'!$A$1:$AT$1,),)</f>
        <v/>
      </c>
      <c r="L93" s="25">
        <f>VLOOKUP(B93,'Data qoq'!$A:$AT,MATCH($L$1,'Data qoq'!$A$1:$AT$1,),)</f>
        <v/>
      </c>
      <c r="M93" s="25">
        <f>VLOOKUP(B93,'Data qoq'!$A:$AT,MATCH($M$1,'Data qoq'!$A$1:$AT$1,),)</f>
        <v/>
      </c>
      <c r="N93" s="25">
        <f>VLOOKUP(B93,'Data qoq'!$A:$AT,MATCH($N$1,'Data qoq'!$A$1:$AT$1,),)</f>
        <v/>
      </c>
      <c r="O93" s="25">
        <f>VLOOKUP(B93,'Data qoq'!$A:$AT,MATCH($O$1,'Data qoq'!$J$1:$AT$1,),)</f>
        <v/>
      </c>
      <c r="P93" s="25">
        <f>VLOOKUP(B93,'Data qoq'!$A:$AT,MATCH($P$1,'Data qoq'!$A$1:$AT$1,),)</f>
        <v/>
      </c>
      <c r="Q93" s="25">
        <f>VLOOKUP(B93,'Data qoq'!$A:$AT,MATCH($Q$1,'Data qoq'!$A$1:$AT$1,),)</f>
        <v/>
      </c>
      <c r="R93" s="25">
        <f>VLOOKUP(B93,'Data qoq'!$A:$AT,MATCH($R$1,'Data qoq'!$A$1:$AT$1,),)</f>
        <v/>
      </c>
      <c r="S93" s="25">
        <f>VLOOKUP(B93,'Data qoq'!$A:$AT,MATCH($S$1,'Data qoq'!$A$1:$AT$1,),)</f>
        <v/>
      </c>
      <c r="T93" s="25">
        <f>VLOOKUP(B93,'Data qoq'!$A:$AT,MATCH($T$1,'Data qoq'!$A$1:$AT$1,),)</f>
        <v/>
      </c>
      <c r="U93" s="25">
        <f>VLOOKUP(B93,'Data qoq'!$A:$AT,MATCH($U$1,'Data qoq'!$A$1:$AT$1,),)</f>
        <v/>
      </c>
      <c r="V93" s="25">
        <f>VLOOKUP(B93,'Data qoq'!$A:$AT,MATCH($V$1,'Data qoq'!$A$1:$AT$1,),)</f>
        <v/>
      </c>
      <c r="W93" s="25">
        <f>VLOOKUP(B93,'Data qoq'!$A:$AT,MATCH($W$1,'Data qoq'!$A$1:$AT$1,),)</f>
        <v/>
      </c>
      <c r="X93" s="25">
        <f>VLOOKUP(B93,'Data qoq'!$A:$AT,MATCH($X$1,'Data qoq'!$A$1:$AT$1,),)</f>
        <v/>
      </c>
      <c r="Y93" s="25">
        <f>VLOOKUP(B93,'Data qoq'!$A:$AT,MATCH($Y$1,'Data qoq'!$A$1:$AT$1,),)</f>
        <v/>
      </c>
      <c r="Z93" s="25">
        <f>VLOOKUP(B93,'Data qoq'!$A:$AU,MATCH($Z$1,'Data qoq'!$A$1:$AU$1,),)</f>
        <v/>
      </c>
      <c r="AA93" s="25">
        <f>VLOOKUP(B93,'Data qoq'!$A:$AU,MATCH($AA$1,'Data qoq'!$A$1:$AU$1,),)</f>
        <v/>
      </c>
      <c r="AC93" s="26">
        <f>B93</f>
        <v/>
      </c>
      <c r="AD93" s="27">
        <f>(VLOOKUP(AC93,B:Y,MATCH($AE$6,$B$1:$Y$1,),))-(VLOOKUP(AC93,B:Y,MATCH($AE$7,$B$1:$Y$1,),))</f>
        <v/>
      </c>
      <c r="AE93" s="27">
        <f>C93-G93</f>
        <v/>
      </c>
    </row>
    <row r="94" customFormat="1" s="74">
      <c r="B94" s="24" t="inlineStr">
        <is>
          <t>2021-Q1</t>
        </is>
      </c>
      <c r="C94" s="25">
        <f>VLOOKUP(B94,'Data qoq'!$A:$AT,MATCH($C$1,'Data qoq'!$A$1:$AT$1,),)</f>
        <v/>
      </c>
      <c r="D94" s="25">
        <f>VLOOKUP(B94,'Data qoq'!$A:$AT,MATCH($D$1,'Data qoq'!$A$1:$AT$1,),)</f>
        <v/>
      </c>
      <c r="E94" s="25">
        <f>VLOOKUP(B94,'Data qoq'!$A:$AT,MATCH($E$1,'Data qoq'!$A$1:$AT$1,),)</f>
        <v/>
      </c>
      <c r="F94" s="25">
        <f>VLOOKUP(B94,'Data qoq'!$A:$AT,MATCH($F$1,'Data qoq'!$A$1:$AT$1,),)</f>
        <v/>
      </c>
      <c r="G94" s="25">
        <f>VLOOKUP(B94,'Data qoq'!$A:$AT,MATCH($G$1,'Data qoq'!$A$1:$AT$1,),)</f>
        <v/>
      </c>
      <c r="H94" s="25">
        <f>VLOOKUP(B94,'Data qoq'!$A:$AT,MATCH($H$1,'Data qoq'!$A$1:$AT$1,),)</f>
        <v/>
      </c>
      <c r="I94" s="25">
        <f>VLOOKUP(B94,'Data qoq'!$A:$AT,MATCH($I$1,'Data qoq'!$A$1:$AT$1,),)</f>
        <v/>
      </c>
      <c r="J94" s="25">
        <f>VLOOKUP(B94,'Data qoq'!$A:$AT,MATCH($J$1,'Data qoq'!$A$1:$AT$1,),)</f>
        <v/>
      </c>
      <c r="K94" s="25">
        <f>VLOOKUP(B94,'Data qoq'!$A:$AT,MATCH($K$1,'Data qoq'!$A$1:$AT$1,),)</f>
        <v/>
      </c>
      <c r="L94" s="25">
        <f>VLOOKUP(B94,'Data qoq'!$A:$AT,MATCH($L$1,'Data qoq'!$A$1:$AT$1,),)</f>
        <v/>
      </c>
      <c r="M94" s="25">
        <f>VLOOKUP(B94,'Data qoq'!$A:$AT,MATCH($M$1,'Data qoq'!$A$1:$AT$1,),)</f>
        <v/>
      </c>
      <c r="N94" s="25">
        <f>VLOOKUP(B94,'Data qoq'!$A:$AT,MATCH($N$1,'Data qoq'!$A$1:$AT$1,),)</f>
        <v/>
      </c>
      <c r="O94" s="25">
        <f>VLOOKUP(B94,'Data qoq'!$A:$AT,MATCH($O$1,'Data qoq'!$J$1:$AT$1,),)</f>
        <v/>
      </c>
      <c r="P94" s="25">
        <f>VLOOKUP(B94,'Data qoq'!$A:$AT,MATCH($P$1,'Data qoq'!$A$1:$AT$1,),)</f>
        <v/>
      </c>
      <c r="Q94" s="25">
        <f>VLOOKUP(B94,'Data qoq'!$A:$AT,MATCH($Q$1,'Data qoq'!$A$1:$AT$1,),)</f>
        <v/>
      </c>
      <c r="R94" s="25">
        <f>VLOOKUP(B94,'Data qoq'!$A:$AT,MATCH($R$1,'Data qoq'!$A$1:$AT$1,),)</f>
        <v/>
      </c>
      <c r="S94" s="25">
        <f>VLOOKUP(B94,'Data qoq'!$A:$AT,MATCH($S$1,'Data qoq'!$A$1:$AT$1,),)</f>
        <v/>
      </c>
      <c r="T94" s="25">
        <f>VLOOKUP(B94,'Data qoq'!$A:$AT,MATCH($T$1,'Data qoq'!$A$1:$AT$1,),)</f>
        <v/>
      </c>
      <c r="U94" s="25">
        <f>VLOOKUP(B94,'Data qoq'!$A:$AT,MATCH($U$1,'Data qoq'!$A$1:$AT$1,),)</f>
        <v/>
      </c>
      <c r="V94" s="25">
        <f>VLOOKUP(B94,'Data qoq'!$A:$AT,MATCH($V$1,'Data qoq'!$A$1:$AT$1,),)</f>
        <v/>
      </c>
      <c r="W94" s="25">
        <f>VLOOKUP(B94,'Data qoq'!$A:$AT,MATCH($W$1,'Data qoq'!$A$1:$AT$1,),)</f>
        <v/>
      </c>
      <c r="X94" s="25">
        <f>VLOOKUP(B94,'Data qoq'!$A:$AT,MATCH($X$1,'Data qoq'!$A$1:$AT$1,),)</f>
        <v/>
      </c>
      <c r="Y94" s="25">
        <f>VLOOKUP(B94,'Data qoq'!$A:$AT,MATCH($Y$1,'Data qoq'!$A$1:$AT$1,),)</f>
        <v/>
      </c>
      <c r="Z94" s="25">
        <f>VLOOKUP(B94,'Data qoq'!$A:$AU,MATCH($Z$1,'Data qoq'!$A$1:$AU$1,),)</f>
        <v/>
      </c>
      <c r="AA94" s="25">
        <f>VLOOKUP(B94,'Data qoq'!$A:$AU,MATCH($AA$1,'Data qoq'!$A$1:$AU$1,),)</f>
        <v/>
      </c>
      <c r="AC94" s="26">
        <f>B94</f>
        <v/>
      </c>
      <c r="AD94" s="27">
        <f>(VLOOKUP(AC94,B:Y,MATCH($AE$6,$B$1:$Y$1,),))-(VLOOKUP(AC94,B:Y,MATCH($AE$7,$B$1:$Y$1,),))</f>
        <v/>
      </c>
      <c r="AE94" s="27">
        <f>C94-G94</f>
        <v/>
      </c>
    </row>
    <row r="95" customFormat="1" s="74">
      <c r="B95" s="24" t="inlineStr">
        <is>
          <t>2021-Q2</t>
        </is>
      </c>
      <c r="C95" s="25">
        <f>VLOOKUP(B95,'Data qoq'!$A:$AT,MATCH($C$1,'Data qoq'!$A$1:$AT$1,),)</f>
        <v/>
      </c>
      <c r="D95" s="25">
        <f>VLOOKUP(B95,'Data qoq'!$A:$AT,MATCH($D$1,'Data qoq'!$A$1:$AT$1,),)</f>
        <v/>
      </c>
      <c r="E95" s="25">
        <f>VLOOKUP(B95,'Data qoq'!$A:$AT,MATCH($E$1,'Data qoq'!$A$1:$AT$1,),)</f>
        <v/>
      </c>
      <c r="F95" s="25">
        <f>VLOOKUP(B95,'Data qoq'!$A:$AT,MATCH($F$1,'Data qoq'!$A$1:$AT$1,),)</f>
        <v/>
      </c>
      <c r="G95" s="25">
        <f>VLOOKUP(B95,'Data qoq'!$A:$AT,MATCH($G$1,'Data qoq'!$A$1:$AT$1,),)</f>
        <v/>
      </c>
      <c r="H95" s="25">
        <f>VLOOKUP(B95,'Data qoq'!$A:$AT,MATCH($H$1,'Data qoq'!$A$1:$AT$1,),)</f>
        <v/>
      </c>
      <c r="I95" s="25">
        <f>VLOOKUP(B95,'Data qoq'!$A:$AT,MATCH($I$1,'Data qoq'!$A$1:$AT$1,),)</f>
        <v/>
      </c>
      <c r="J95" s="25">
        <f>VLOOKUP(B95,'Data qoq'!$A:$AT,MATCH($J$1,'Data qoq'!$A$1:$AT$1,),)</f>
        <v/>
      </c>
      <c r="K95" s="25">
        <f>VLOOKUP(B95,'Data qoq'!$A:$AT,MATCH($K$1,'Data qoq'!$A$1:$AT$1,),)</f>
        <v/>
      </c>
      <c r="L95" s="25">
        <f>VLOOKUP(B95,'Data qoq'!$A:$AT,MATCH($L$1,'Data qoq'!$A$1:$AT$1,),)</f>
        <v/>
      </c>
      <c r="M95" s="25">
        <f>VLOOKUP(B95,'Data qoq'!$A:$AT,MATCH($M$1,'Data qoq'!$A$1:$AT$1,),)</f>
        <v/>
      </c>
      <c r="N95" s="25">
        <f>VLOOKUP(B95,'Data qoq'!$A:$AT,MATCH($N$1,'Data qoq'!$A$1:$AT$1,),)</f>
        <v/>
      </c>
      <c r="O95" s="25">
        <f>VLOOKUP(B95,'Data qoq'!$A:$AT,MATCH($O$1,'Data qoq'!$J$1:$AT$1,),)</f>
        <v/>
      </c>
      <c r="P95" s="25">
        <f>VLOOKUP(B95,'Data qoq'!$A:$AT,MATCH($P$1,'Data qoq'!$A$1:$AT$1,),)</f>
        <v/>
      </c>
      <c r="Q95" s="25">
        <f>VLOOKUP(B95,'Data qoq'!$A:$AT,MATCH($Q$1,'Data qoq'!$A$1:$AT$1,),)</f>
        <v/>
      </c>
      <c r="R95" s="25">
        <f>VLOOKUP(B95,'Data qoq'!$A:$AT,MATCH($R$1,'Data qoq'!$A$1:$AT$1,),)</f>
        <v/>
      </c>
      <c r="S95" s="25">
        <f>VLOOKUP(B95,'Data qoq'!$A:$AT,MATCH($S$1,'Data qoq'!$A$1:$AT$1,),)</f>
        <v/>
      </c>
      <c r="T95" s="25">
        <f>VLOOKUP(B95,'Data qoq'!$A:$AT,MATCH($T$1,'Data qoq'!$A$1:$AT$1,),)</f>
        <v/>
      </c>
      <c r="U95" s="25">
        <f>VLOOKUP(B95,'Data qoq'!$A:$AT,MATCH($U$1,'Data qoq'!$A$1:$AT$1,),)</f>
        <v/>
      </c>
      <c r="V95" s="25">
        <f>VLOOKUP(B95,'Data qoq'!$A:$AT,MATCH($V$1,'Data qoq'!$A$1:$AT$1,),)</f>
        <v/>
      </c>
      <c r="W95" s="25">
        <f>VLOOKUP(B95,'Data qoq'!$A:$AT,MATCH($W$1,'Data qoq'!$A$1:$AT$1,),)</f>
        <v/>
      </c>
      <c r="X95" s="25">
        <f>VLOOKUP(B95,'Data qoq'!$A:$AT,MATCH($X$1,'Data qoq'!$A$1:$AT$1,),)</f>
        <v/>
      </c>
      <c r="Y95" s="25">
        <f>VLOOKUP(B95,'Data qoq'!$A:$AT,MATCH($Y$1,'Data qoq'!$A$1:$AT$1,),)</f>
        <v/>
      </c>
      <c r="Z95" s="25">
        <f>VLOOKUP(B95,'Data qoq'!$A:$AU,MATCH($Z$1,'Data qoq'!$A$1:$AU$1,),)</f>
        <v/>
      </c>
      <c r="AA95" s="25">
        <f>VLOOKUP(B95,'Data qoq'!$A:$AU,MATCH($AA$1,'Data qoq'!$A$1:$AU$1,),)</f>
        <v/>
      </c>
      <c r="AC95" s="26">
        <f>B95</f>
        <v/>
      </c>
      <c r="AD95" s="27">
        <f>(VLOOKUP(AC95,B:Y,MATCH($AE$6,$B$1:$Y$1,),))-(VLOOKUP(AC95,B:Y,MATCH($AE$7,$B$1:$Y$1,),))</f>
        <v/>
      </c>
      <c r="AE95" s="27">
        <f>C95-G95</f>
        <v/>
      </c>
    </row>
    <row r="96" customFormat="1" s="74">
      <c r="B96" s="24" t="inlineStr">
        <is>
          <t>2021-Q3</t>
        </is>
      </c>
      <c r="C96" s="25">
        <f>VLOOKUP(B96,'Data qoq'!$A:$AT,MATCH($C$1,'Data qoq'!$A$1:$AT$1,),)</f>
        <v/>
      </c>
      <c r="D96" s="25">
        <f>VLOOKUP(B96,'Data qoq'!$A:$AT,MATCH($D$1,'Data qoq'!$A$1:$AT$1,),)</f>
        <v/>
      </c>
      <c r="E96" s="25">
        <f>VLOOKUP(B96,'Data qoq'!$A:$AT,MATCH($E$1,'Data qoq'!$A$1:$AT$1,),)</f>
        <v/>
      </c>
      <c r="F96" s="25">
        <f>VLOOKUP(B96,'Data qoq'!$A:$AT,MATCH($F$1,'Data qoq'!$A$1:$AT$1,),)</f>
        <v/>
      </c>
      <c r="G96" s="25">
        <f>VLOOKUP(B96,'Data qoq'!$A:$AT,MATCH($G$1,'Data qoq'!$A$1:$AT$1,),)</f>
        <v/>
      </c>
      <c r="H96" s="25">
        <f>VLOOKUP(B96,'Data qoq'!$A:$AT,MATCH($H$1,'Data qoq'!$A$1:$AT$1,),)</f>
        <v/>
      </c>
      <c r="I96" s="25">
        <f>VLOOKUP(B96,'Data qoq'!$A:$AT,MATCH($I$1,'Data qoq'!$A$1:$AT$1,),)</f>
        <v/>
      </c>
      <c r="J96" s="25">
        <f>VLOOKUP(B96,'Data qoq'!$A:$AT,MATCH($J$1,'Data qoq'!$A$1:$AT$1,),)</f>
        <v/>
      </c>
      <c r="K96" s="25">
        <f>VLOOKUP(B96,'Data qoq'!$A:$AT,MATCH($K$1,'Data qoq'!$A$1:$AT$1,),)</f>
        <v/>
      </c>
      <c r="L96" s="25">
        <f>VLOOKUP(B96,'Data qoq'!$A:$AT,MATCH($L$1,'Data qoq'!$A$1:$AT$1,),)</f>
        <v/>
      </c>
      <c r="M96" s="25">
        <f>VLOOKUP(B96,'Data qoq'!$A:$AT,MATCH($M$1,'Data qoq'!$A$1:$AT$1,),)</f>
        <v/>
      </c>
      <c r="N96" s="25">
        <f>VLOOKUP(B96,'Data qoq'!$A:$AT,MATCH($N$1,'Data qoq'!$A$1:$AT$1,),)</f>
        <v/>
      </c>
      <c r="O96" s="25">
        <f>VLOOKUP(B96,'Data qoq'!$A:$AT,MATCH($O$1,'Data qoq'!$J$1:$AT$1,),)</f>
        <v/>
      </c>
      <c r="P96" s="25">
        <f>VLOOKUP(B96,'Data qoq'!$A:$AT,MATCH($P$1,'Data qoq'!$A$1:$AT$1,),)</f>
        <v/>
      </c>
      <c r="Q96" s="25">
        <f>VLOOKUP(B96,'Data qoq'!$A:$AT,MATCH($Q$1,'Data qoq'!$A$1:$AT$1,),)</f>
        <v/>
      </c>
      <c r="R96" s="25">
        <f>VLOOKUP(B96,'Data qoq'!$A:$AT,MATCH($R$1,'Data qoq'!$A$1:$AT$1,),)</f>
        <v/>
      </c>
      <c r="S96" s="25">
        <f>VLOOKUP(B96,'Data qoq'!$A:$AT,MATCH($S$1,'Data qoq'!$A$1:$AT$1,),)</f>
        <v/>
      </c>
      <c r="T96" s="25">
        <f>VLOOKUP(B96,'Data qoq'!$A:$AT,MATCH($T$1,'Data qoq'!$A$1:$AT$1,),)</f>
        <v/>
      </c>
      <c r="U96" s="25">
        <f>VLOOKUP(B96,'Data qoq'!$A:$AT,MATCH($U$1,'Data qoq'!$A$1:$AT$1,),)</f>
        <v/>
      </c>
      <c r="V96" s="25">
        <f>VLOOKUP(B96,'Data qoq'!$A:$AT,MATCH($V$1,'Data qoq'!$A$1:$AT$1,),)</f>
        <v/>
      </c>
      <c r="W96" s="25">
        <f>VLOOKUP(B96,'Data qoq'!$A:$AT,MATCH($W$1,'Data qoq'!$A$1:$AT$1,),)</f>
        <v/>
      </c>
      <c r="X96" s="25">
        <f>VLOOKUP(B96,'Data qoq'!$A:$AT,MATCH($X$1,'Data qoq'!$A$1:$AT$1,),)</f>
        <v/>
      </c>
      <c r="Y96" s="25">
        <f>VLOOKUP(B96,'Data qoq'!$A:$AT,MATCH($Y$1,'Data qoq'!$A$1:$AT$1,),)</f>
        <v/>
      </c>
      <c r="Z96" s="25">
        <f>VLOOKUP(B96,'Data qoq'!$A:$AU,MATCH($Z$1,'Data qoq'!$A$1:$AU$1,),)</f>
        <v/>
      </c>
      <c r="AA96" s="25">
        <f>VLOOKUP(B96,'Data qoq'!$A:$AU,MATCH($AA$1,'Data qoq'!$A$1:$AU$1,),)</f>
        <v/>
      </c>
      <c r="AC96" s="26">
        <f>B96</f>
        <v/>
      </c>
      <c r="AD96" s="27">
        <f>(VLOOKUP(AC96,B:Y,MATCH($AE$6,$B$1:$Y$1,),))-(VLOOKUP(AC96,B:Y,MATCH($AE$7,$B$1:$Y$1,),))</f>
        <v/>
      </c>
      <c r="AE96" s="27">
        <f>C96-G96</f>
        <v/>
      </c>
    </row>
    <row r="97" customFormat="1" s="74">
      <c r="B97" s="24" t="inlineStr">
        <is>
          <t>2021-Q4</t>
        </is>
      </c>
      <c r="C97" s="25">
        <f>VLOOKUP(B97,'Data qoq'!$A:$AT,MATCH($C$1,'Data qoq'!$A$1:$AT$1,),)</f>
        <v/>
      </c>
      <c r="D97" s="25">
        <f>VLOOKUP(B97,'Data qoq'!$A:$AT,MATCH($D$1,'Data qoq'!$A$1:$AT$1,),)</f>
        <v/>
      </c>
      <c r="E97" s="25">
        <f>VLOOKUP(B97,'Data qoq'!$A:$AT,MATCH($E$1,'Data qoq'!$A$1:$AT$1,),)</f>
        <v/>
      </c>
      <c r="F97" s="25">
        <f>VLOOKUP(B97,'Data qoq'!$A:$AT,MATCH($F$1,'Data qoq'!$A$1:$AT$1,),)</f>
        <v/>
      </c>
      <c r="G97" s="25">
        <f>VLOOKUP(B97,'Data qoq'!$A:$AT,MATCH($G$1,'Data qoq'!$A$1:$AT$1,),)</f>
        <v/>
      </c>
      <c r="H97" s="25">
        <f>VLOOKUP(B97,'Data qoq'!$A:$AT,MATCH($H$1,'Data qoq'!$A$1:$AT$1,),)</f>
        <v/>
      </c>
      <c r="I97" s="25">
        <f>VLOOKUP(B97,'Data qoq'!$A:$AT,MATCH($I$1,'Data qoq'!$A$1:$AT$1,),)</f>
        <v/>
      </c>
      <c r="J97" s="25">
        <f>VLOOKUP(B97,'Data qoq'!$A:$AT,MATCH($J$1,'Data qoq'!$A$1:$AT$1,),)</f>
        <v/>
      </c>
      <c r="K97" s="25">
        <f>VLOOKUP(B97,'Data qoq'!$A:$AT,MATCH($K$1,'Data qoq'!$A$1:$AT$1,),)</f>
        <v/>
      </c>
      <c r="L97" s="25">
        <f>VLOOKUP(B97,'Data qoq'!$A:$AT,MATCH($L$1,'Data qoq'!$A$1:$AT$1,),)</f>
        <v/>
      </c>
      <c r="M97" s="25">
        <f>VLOOKUP(B97,'Data qoq'!$A:$AT,MATCH($M$1,'Data qoq'!$A$1:$AT$1,),)</f>
        <v/>
      </c>
      <c r="N97" s="25">
        <f>VLOOKUP(B97,'Data qoq'!$A:$AT,MATCH($N$1,'Data qoq'!$A$1:$AT$1,),)</f>
        <v/>
      </c>
      <c r="O97" s="25">
        <f>VLOOKUP(B97,'Data qoq'!$A:$AT,MATCH($O$1,'Data qoq'!$J$1:$AT$1,),)</f>
        <v/>
      </c>
      <c r="P97" s="25">
        <f>VLOOKUP(B97,'Data qoq'!$A:$AT,MATCH($P$1,'Data qoq'!$A$1:$AT$1,),)</f>
        <v/>
      </c>
      <c r="Q97" s="25">
        <f>VLOOKUP(B97,'Data qoq'!$A:$AT,MATCH($Q$1,'Data qoq'!$A$1:$AT$1,),)</f>
        <v/>
      </c>
      <c r="R97" s="25">
        <f>VLOOKUP(B97,'Data qoq'!$A:$AT,MATCH($R$1,'Data qoq'!$A$1:$AT$1,),)</f>
        <v/>
      </c>
      <c r="S97" s="25">
        <f>VLOOKUP(B97,'Data qoq'!$A:$AT,MATCH($S$1,'Data qoq'!$A$1:$AT$1,),)</f>
        <v/>
      </c>
      <c r="T97" s="25">
        <f>VLOOKUP(B97,'Data qoq'!$A:$AT,MATCH($T$1,'Data qoq'!$A$1:$AT$1,),)</f>
        <v/>
      </c>
      <c r="U97" s="25">
        <f>VLOOKUP(B97,'Data qoq'!$A:$AT,MATCH($U$1,'Data qoq'!$A$1:$AT$1,),)</f>
        <v/>
      </c>
      <c r="V97" s="25">
        <f>VLOOKUP(B97,'Data qoq'!$A:$AT,MATCH($V$1,'Data qoq'!$A$1:$AT$1,),)</f>
        <v/>
      </c>
      <c r="W97" s="25">
        <f>VLOOKUP(B97,'Data qoq'!$A:$AT,MATCH($W$1,'Data qoq'!$A$1:$AT$1,),)</f>
        <v/>
      </c>
      <c r="X97" s="25">
        <f>VLOOKUP(B97,'Data qoq'!$A:$AT,MATCH($X$1,'Data qoq'!$A$1:$AT$1,),)</f>
        <v/>
      </c>
      <c r="Y97" s="25">
        <f>VLOOKUP(B97,'Data qoq'!$A:$AT,MATCH($Y$1,'Data qoq'!$A$1:$AT$1,),)</f>
        <v/>
      </c>
      <c r="Z97" s="25">
        <f>VLOOKUP(B97,'Data qoq'!$A:$AU,MATCH($Z$1,'Data qoq'!$A$1:$AU$1,),)</f>
        <v/>
      </c>
      <c r="AA97" s="25">
        <f>VLOOKUP(B97,'Data qoq'!$A:$AU,MATCH($AA$1,'Data qoq'!$A$1:$AU$1,),)</f>
        <v/>
      </c>
      <c r="AC97" s="26">
        <f>B97</f>
        <v/>
      </c>
      <c r="AD97" s="27">
        <f>(VLOOKUP(AC97,B:Y,MATCH($AE$6,$B$1:$Y$1,),))-(VLOOKUP(AC97,B:Y,MATCH($AE$7,$B$1:$Y$1,),))</f>
        <v/>
      </c>
      <c r="AE97" s="27">
        <f>C97-G97</f>
        <v/>
      </c>
    </row>
    <row r="98" customFormat="1" s="74"/>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row r="378" customFormat="1" s="74"/>
  </sheetData>
  <conditionalFormatting sqref="C11:C97">
    <cfRule type="colorScale" priority="1">
      <colorScale>
        <cfvo type="min"/>
        <cfvo type="percentile" val="50"/>
        <cfvo type="max"/>
        <color rgb="FFF8696B"/>
        <color rgb="FFFFEB84"/>
        <color rgb="FF63BE7B"/>
      </colorScale>
    </cfRule>
  </conditionalFormatting>
  <conditionalFormatting sqref="D11:D97">
    <cfRule type="colorScale" priority="2">
      <colorScale>
        <cfvo type="min"/>
        <cfvo type="percentile" val="50"/>
        <cfvo type="max"/>
        <color rgb="FFF8696B"/>
        <color rgb="FFFFEB84"/>
        <color rgb="FF63BE7B"/>
      </colorScale>
    </cfRule>
  </conditionalFormatting>
  <conditionalFormatting sqref="E11:E97">
    <cfRule type="colorScale" priority="3">
      <colorScale>
        <cfvo type="min"/>
        <cfvo type="percentile" val="50"/>
        <cfvo type="max"/>
        <color rgb="FFF8696B"/>
        <color rgb="FFFFEB84"/>
        <color rgb="FF63BE7B"/>
      </colorScale>
    </cfRule>
  </conditionalFormatting>
  <conditionalFormatting sqref="F11:F97">
    <cfRule type="colorScale" priority="4">
      <colorScale>
        <cfvo type="min"/>
        <cfvo type="percentile" val="50"/>
        <cfvo type="max"/>
        <color rgb="FFF8696B"/>
        <color rgb="FFFFEB84"/>
        <color rgb="FF63BE7B"/>
      </colorScale>
    </cfRule>
  </conditionalFormatting>
  <conditionalFormatting sqref="G11:G97">
    <cfRule type="colorScale" priority="5">
      <colorScale>
        <cfvo type="min"/>
        <cfvo type="percentile" val="50"/>
        <cfvo type="max"/>
        <color rgb="FFF8696B"/>
        <color rgb="FFFFEB84"/>
        <color rgb="FF63BE7B"/>
      </colorScale>
    </cfRule>
  </conditionalFormatting>
  <conditionalFormatting sqref="H11:H97">
    <cfRule type="colorScale" priority="6">
      <colorScale>
        <cfvo type="min"/>
        <cfvo type="percentile" val="50"/>
        <cfvo type="max"/>
        <color rgb="FFF8696B"/>
        <color rgb="FFFFEB84"/>
        <color rgb="FF63BE7B"/>
      </colorScale>
    </cfRule>
  </conditionalFormatting>
  <conditionalFormatting sqref="I11:I97">
    <cfRule type="colorScale" priority="7">
      <colorScale>
        <cfvo type="min"/>
        <cfvo type="percentile" val="50"/>
        <cfvo type="max"/>
        <color rgb="FFF8696B"/>
        <color rgb="FFFFEB84"/>
        <color rgb="FF63BE7B"/>
      </colorScale>
    </cfRule>
  </conditionalFormatting>
  <conditionalFormatting sqref="J11:J97">
    <cfRule type="colorScale" priority="8">
      <colorScale>
        <cfvo type="min"/>
        <cfvo type="percentile" val="50"/>
        <cfvo type="max"/>
        <color rgb="FFF8696B"/>
        <color rgb="FFFFEB84"/>
        <color rgb="FF63BE7B"/>
      </colorScale>
    </cfRule>
  </conditionalFormatting>
  <conditionalFormatting sqref="K11:K97">
    <cfRule type="colorScale" priority="9">
      <colorScale>
        <cfvo type="min"/>
        <cfvo type="percentile" val="50"/>
        <cfvo type="max"/>
        <color rgb="FFF8696B"/>
        <color rgb="FFFFEB84"/>
        <color rgb="FF63BE7B"/>
      </colorScale>
    </cfRule>
  </conditionalFormatting>
  <conditionalFormatting sqref="L11:L97">
    <cfRule type="colorScale" priority="10">
      <colorScale>
        <cfvo type="min"/>
        <cfvo type="percentile" val="50"/>
        <cfvo type="max"/>
        <color rgb="FFF8696B"/>
        <color rgb="FFFFEB84"/>
        <color rgb="FF63BE7B"/>
      </colorScale>
    </cfRule>
  </conditionalFormatting>
  <conditionalFormatting sqref="M11:M97">
    <cfRule type="colorScale" priority="11">
      <colorScale>
        <cfvo type="min"/>
        <cfvo type="percentile" val="50"/>
        <cfvo type="max"/>
        <color rgb="FFF8696B"/>
        <color rgb="FFFFEB84"/>
        <color rgb="FF63BE7B"/>
      </colorScale>
    </cfRule>
  </conditionalFormatting>
  <conditionalFormatting sqref="N11:N97">
    <cfRule type="colorScale" priority="12">
      <colorScale>
        <cfvo type="min"/>
        <cfvo type="percentile" val="50"/>
        <cfvo type="max"/>
        <color rgb="FFF8696B"/>
        <color rgb="FFFFEB84"/>
        <color rgb="FF63BE7B"/>
      </colorScale>
    </cfRule>
  </conditionalFormatting>
  <conditionalFormatting sqref="O11:O97">
    <cfRule type="colorScale" priority="13">
      <colorScale>
        <cfvo type="min"/>
        <cfvo type="percentile" val="50"/>
        <cfvo type="max"/>
        <color rgb="FFF8696B"/>
        <color rgb="FFFFEB84"/>
        <color rgb="FF63BE7B"/>
      </colorScale>
    </cfRule>
  </conditionalFormatting>
  <conditionalFormatting sqref="P11:P97">
    <cfRule type="colorScale" priority="14">
      <colorScale>
        <cfvo type="min"/>
        <cfvo type="percentile" val="50"/>
        <cfvo type="max"/>
        <color rgb="FFF8696B"/>
        <color rgb="FFFFEB84"/>
        <color rgb="FF63BE7B"/>
      </colorScale>
    </cfRule>
  </conditionalFormatting>
  <conditionalFormatting sqref="Q11:Q97">
    <cfRule type="colorScale" priority="15">
      <colorScale>
        <cfvo type="min"/>
        <cfvo type="percentile" val="50"/>
        <cfvo type="max"/>
        <color rgb="FFF8696B"/>
        <color rgb="FFFFEB84"/>
        <color rgb="FF63BE7B"/>
      </colorScale>
    </cfRule>
  </conditionalFormatting>
  <conditionalFormatting sqref="R11:R97">
    <cfRule type="colorScale" priority="16">
      <colorScale>
        <cfvo type="min"/>
        <cfvo type="percentile" val="50"/>
        <cfvo type="max"/>
        <color rgb="FFF8696B"/>
        <color rgb="FFFFEB84"/>
        <color rgb="FF63BE7B"/>
      </colorScale>
    </cfRule>
  </conditionalFormatting>
  <conditionalFormatting sqref="S11:S97">
    <cfRule type="colorScale" priority="17">
      <colorScale>
        <cfvo type="min"/>
        <cfvo type="percentile" val="50"/>
        <cfvo type="max"/>
        <color rgb="FFF8696B"/>
        <color rgb="FFFFEB84"/>
        <color rgb="FF63BE7B"/>
      </colorScale>
    </cfRule>
  </conditionalFormatting>
  <conditionalFormatting sqref="T11:T97">
    <cfRule type="colorScale" priority="18">
      <colorScale>
        <cfvo type="min"/>
        <cfvo type="percentile" val="50"/>
        <cfvo type="max"/>
        <color rgb="FFF8696B"/>
        <color rgb="FFFFEB84"/>
        <color rgb="FF63BE7B"/>
      </colorScale>
    </cfRule>
  </conditionalFormatting>
  <conditionalFormatting sqref="U11:U97">
    <cfRule type="colorScale" priority="19">
      <colorScale>
        <cfvo type="min"/>
        <cfvo type="percentile" val="50"/>
        <cfvo type="max"/>
        <color rgb="FFF8696B"/>
        <color rgb="FFFFEB84"/>
        <color rgb="FF63BE7B"/>
      </colorScale>
    </cfRule>
  </conditionalFormatting>
  <conditionalFormatting sqref="V11:V97">
    <cfRule type="colorScale" priority="20">
      <colorScale>
        <cfvo type="min"/>
        <cfvo type="percentile" val="50"/>
        <cfvo type="max"/>
        <color rgb="FFF8696B"/>
        <color rgb="FFFFEB84"/>
        <color rgb="FF63BE7B"/>
      </colorScale>
    </cfRule>
  </conditionalFormatting>
  <conditionalFormatting sqref="W11:W97">
    <cfRule type="colorScale" priority="21">
      <colorScale>
        <cfvo type="min"/>
        <cfvo type="percentile" val="50"/>
        <cfvo type="max"/>
        <color rgb="FFF8696B"/>
        <color rgb="FFFFEB84"/>
        <color rgb="FF63BE7B"/>
      </colorScale>
    </cfRule>
  </conditionalFormatting>
  <conditionalFormatting sqref="X11:X97">
    <cfRule type="colorScale" priority="22">
      <colorScale>
        <cfvo type="min"/>
        <cfvo type="percentile" val="50"/>
        <cfvo type="max"/>
        <color rgb="FFF8696B"/>
        <color rgb="FFFFEB84"/>
        <color rgb="FF63BE7B"/>
      </colorScale>
    </cfRule>
  </conditionalFormatting>
  <conditionalFormatting sqref="Y11:Y97">
    <cfRule type="colorScale" priority="23">
      <colorScale>
        <cfvo type="min"/>
        <cfvo type="percentile" val="50"/>
        <cfvo type="max"/>
        <color rgb="FFF8696B"/>
        <color rgb="FFFFEB84"/>
        <color rgb="FF63BE7B"/>
      </colorScale>
    </cfRule>
  </conditionalFormatting>
  <conditionalFormatting sqref="Z11:Z97">
    <cfRule type="colorScale" priority="24">
      <colorScale>
        <cfvo type="min"/>
        <cfvo type="percentile" val="50"/>
        <cfvo type="max"/>
        <color rgb="FFF8696B"/>
        <color rgb="FFFFEB84"/>
        <color rgb="FF63BE7B"/>
      </colorScale>
    </cfRule>
  </conditionalFormatting>
  <conditionalFormatting sqref="AA11:AA97">
    <cfRule type="colorScale" priority="25">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sheetPr codeName="Sheet7">
    <tabColor rgb="FF0070C0"/>
    <outlinePr summaryBelow="1" summaryRight="1"/>
    <pageSetUpPr/>
  </sheetPr>
  <dimension ref="A1:AH98"/>
  <sheetViews>
    <sheetView zoomScale="130" zoomScaleNormal="130" workbookViewId="0">
      <selection activeCell="AH95" sqref="AH95"/>
    </sheetView>
  </sheetViews>
  <sheetFormatPr baseColWidth="10" defaultColWidth="8.83203125" defaultRowHeight="15"/>
  <cols>
    <col width="8.33203125" bestFit="1" customWidth="1" style="74" min="1" max="1"/>
    <col width="13.1640625" bestFit="1" customWidth="1" style="68" min="2" max="2"/>
    <col width="8.1640625" bestFit="1" customWidth="1" style="68" min="3" max="3"/>
    <col width="8.33203125" bestFit="1" customWidth="1" style="68" min="4" max="4"/>
    <col width="8.1640625" bestFit="1" customWidth="1" style="68" min="5" max="6"/>
    <col width="8.33203125" bestFit="1" customWidth="1" style="68" min="7" max="13"/>
    <col width="8.1640625" bestFit="1" customWidth="1" style="68" min="14" max="14"/>
    <col width="8.33203125" bestFit="1" customWidth="1" style="68" min="15" max="16"/>
    <col width="8.1640625" bestFit="1" customWidth="1" style="68" min="17" max="17"/>
    <col width="8.33203125" bestFit="1" customWidth="1" style="68" min="18" max="18"/>
    <col width="8.1640625" bestFit="1" customWidth="1" style="68" min="19" max="20"/>
    <col width="8.33203125" bestFit="1" customWidth="1" style="68" min="21" max="21"/>
    <col width="8.1640625" bestFit="1" customWidth="1" style="68" min="22" max="25"/>
    <col width="8.33203125" bestFit="1" customWidth="1" style="68" min="26" max="26"/>
    <col width="8.1640625" bestFit="1" customWidth="1" style="68" min="27" max="27"/>
    <col width="6.1640625" customWidth="1" style="74" min="28" max="28"/>
    <col width="8" bestFit="1" customWidth="1" style="74" min="29" max="29"/>
    <col width="15" bestFit="1" customWidth="1" style="74" min="30" max="30"/>
    <col width="8" bestFit="1" customWidth="1" style="74" min="31" max="31"/>
    <col width="9.1640625" customWidth="1" style="74" min="32" max="33"/>
    <col width="18.1640625" bestFit="1" customWidth="1" style="74" min="34" max="34"/>
    <col width="9.1640625" customWidth="1" style="74" min="35" max="72"/>
  </cols>
  <sheetData>
    <row r="1">
      <c r="C1" t="inlineStr">
        <is>
          <t>USA</t>
        </is>
      </c>
      <c r="D1" t="inlineStr">
        <is>
          <t>CHN</t>
        </is>
      </c>
      <c r="E1" t="inlineStr">
        <is>
          <t>EA19</t>
        </is>
      </c>
      <c r="F1" t="inlineStr">
        <is>
          <t>JPN</t>
        </is>
      </c>
      <c r="G1" t="inlineStr">
        <is>
          <t>DEU</t>
        </is>
      </c>
      <c r="H1" t="inlineStr">
        <is>
          <t>FRA</t>
        </is>
      </c>
      <c r="I1" t="inlineStr">
        <is>
          <t>GBR</t>
        </is>
      </c>
      <c r="J1" t="inlineStr">
        <is>
          <t>ITA</t>
        </is>
      </c>
      <c r="K1" t="inlineStr">
        <is>
          <t>ESP</t>
        </is>
      </c>
      <c r="L1" t="inlineStr">
        <is>
          <t>SWE</t>
        </is>
      </c>
      <c r="M1" t="inlineStr">
        <is>
          <t>MEX</t>
        </is>
      </c>
      <c r="N1" t="inlineStr">
        <is>
          <t>RUS</t>
        </is>
      </c>
      <c r="O1" t="inlineStr">
        <is>
          <t>IND</t>
        </is>
      </c>
      <c r="P1" t="inlineStr">
        <is>
          <t>CAN</t>
        </is>
      </c>
      <c r="Q1" t="inlineStr">
        <is>
          <t>AUS</t>
        </is>
      </c>
      <c r="R1" t="inlineStr">
        <is>
          <t>CHE</t>
        </is>
      </c>
      <c r="S1" t="inlineStr">
        <is>
          <t>KOR</t>
        </is>
      </c>
      <c r="T1" t="inlineStr">
        <is>
          <t>BRA</t>
        </is>
      </c>
      <c r="U1" t="inlineStr">
        <is>
          <t>GRC</t>
        </is>
      </c>
      <c r="V1" t="inlineStr">
        <is>
          <t>IRL</t>
        </is>
      </c>
      <c r="W1" t="inlineStr">
        <is>
          <t>TUR</t>
        </is>
      </c>
      <c r="X1" t="inlineStr">
        <is>
          <t>CZE</t>
        </is>
      </c>
      <c r="Y1" t="inlineStr">
        <is>
          <t>POL</t>
        </is>
      </c>
      <c r="Z1" t="inlineStr">
        <is>
          <t>ARG</t>
        </is>
      </c>
      <c r="AA1" t="inlineStr">
        <is>
          <t>NZL</t>
        </is>
      </c>
    </row>
    <row r="2" customFormat="1" s="74">
      <c r="AD2" s="74" t="inlineStr">
        <is>
          <t>Last month</t>
        </is>
      </c>
      <c r="AE2" s="3">
        <f>'Table yoy'!AE2</f>
        <v/>
      </c>
      <c r="AH2" s="74" t="inlineStr">
        <is>
          <t>modify max/min/avg</t>
        </is>
      </c>
    </row>
    <row r="3" ht="75.75" customHeight="1" s="68">
      <c r="B3" s="4" t="n"/>
      <c r="C3" s="5" t="inlineStr">
        <is>
          <t>US</t>
        </is>
      </c>
      <c r="D3" s="6" t="inlineStr">
        <is>
          <t xml:space="preserve">China </t>
        </is>
      </c>
      <c r="E3" s="7" t="inlineStr">
        <is>
          <t>Eurozone</t>
        </is>
      </c>
      <c r="F3" s="8" t="inlineStr">
        <is>
          <t xml:space="preserve">Japan </t>
        </is>
      </c>
      <c r="G3" s="9" t="inlineStr">
        <is>
          <t>Germany</t>
        </is>
      </c>
      <c r="H3" s="9" t="inlineStr">
        <is>
          <t>France</t>
        </is>
      </c>
      <c r="I3" s="9" t="inlineStr">
        <is>
          <t>UK</t>
        </is>
      </c>
      <c r="J3" s="9" t="inlineStr">
        <is>
          <t xml:space="preserve">Italy </t>
        </is>
      </c>
      <c r="K3" s="9" t="inlineStr">
        <is>
          <t>Spain</t>
        </is>
      </c>
      <c r="L3" s="9" t="inlineStr">
        <is>
          <t>Sweden</t>
        </is>
      </c>
      <c r="M3" s="9" t="inlineStr">
        <is>
          <t>Mexico</t>
        </is>
      </c>
      <c r="N3" s="9" t="inlineStr">
        <is>
          <t>Russia</t>
        </is>
      </c>
      <c r="O3" s="9" t="inlineStr">
        <is>
          <t>India</t>
        </is>
      </c>
      <c r="P3" s="9" t="inlineStr">
        <is>
          <t>Canada</t>
        </is>
      </c>
      <c r="Q3" s="9" t="inlineStr">
        <is>
          <t>Australia</t>
        </is>
      </c>
      <c r="R3" s="10" t="inlineStr">
        <is>
          <t>Switzerland</t>
        </is>
      </c>
      <c r="S3" s="9" t="inlineStr">
        <is>
          <t xml:space="preserve">S Korea </t>
        </is>
      </c>
      <c r="T3" s="9" t="inlineStr">
        <is>
          <t>Brazil</t>
        </is>
      </c>
      <c r="U3" s="9" t="inlineStr">
        <is>
          <t>Greece</t>
        </is>
      </c>
      <c r="V3" s="9" t="inlineStr">
        <is>
          <t>Ireland</t>
        </is>
      </c>
      <c r="W3" s="9" t="inlineStr">
        <is>
          <t>Turkey</t>
        </is>
      </c>
      <c r="X3" s="9" t="inlineStr">
        <is>
          <t xml:space="preserve">Czech </t>
        </is>
      </c>
      <c r="Y3" s="9" t="inlineStr">
        <is>
          <t>Poland</t>
        </is>
      </c>
      <c r="Z3" s="9" t="inlineStr">
        <is>
          <t>Argentina</t>
        </is>
      </c>
      <c r="AA3" s="9" t="inlineStr">
        <is>
          <t>New Zealand</t>
        </is>
      </c>
      <c r="AD3" s="11" t="inlineStr">
        <is>
          <t>Previous Quarter</t>
        </is>
      </c>
      <c r="AE3" s="12">
        <f>'Table yoy'!AE3</f>
        <v/>
      </c>
    </row>
    <row r="4" ht="16" customHeight="1" s="68" thickBot="1">
      <c r="B4" s="4" t="inlineStr">
        <is>
          <t>max 1y</t>
        </is>
      </c>
      <c r="C4" s="29">
        <f>MAX(C90:C93)</f>
        <v/>
      </c>
      <c r="D4" s="29">
        <f>MAX(D90:D93)</f>
        <v/>
      </c>
      <c r="E4" s="29">
        <f>MAX(E90:E93)</f>
        <v/>
      </c>
      <c r="F4" s="29">
        <f>MAX(F90:F93)</f>
        <v/>
      </c>
      <c r="G4" s="29">
        <f>MAX(G90:G93)</f>
        <v/>
      </c>
      <c r="H4" s="29">
        <f>MAX(H90:H93)</f>
        <v/>
      </c>
      <c r="I4" s="29">
        <f>MAX(I90:I93)</f>
        <v/>
      </c>
      <c r="J4" s="29">
        <f>MAX(J90:J93)</f>
        <v/>
      </c>
      <c r="K4" s="29">
        <f>MAX(K90:K93)</f>
        <v/>
      </c>
      <c r="L4" s="29">
        <f>MAX(L90:L93)</f>
        <v/>
      </c>
      <c r="M4" s="29">
        <f>MAX(M90:M93)</f>
        <v/>
      </c>
      <c r="N4" s="29">
        <f>MAX(N90:N93)</f>
        <v/>
      </c>
      <c r="O4" s="29">
        <f>MAX(O90:O93)</f>
        <v/>
      </c>
      <c r="P4" s="29">
        <f>MAX(P90:P93)</f>
        <v/>
      </c>
      <c r="Q4" s="29">
        <f>MAX(Q90:Q93)</f>
        <v/>
      </c>
      <c r="R4" s="29">
        <f>MAX(R90:R93)</f>
        <v/>
      </c>
      <c r="S4" s="29">
        <f>MAX(S90:S93)</f>
        <v/>
      </c>
      <c r="T4" s="29">
        <f>MAX(T90:T93)</f>
        <v/>
      </c>
      <c r="U4" s="29">
        <f>MAX(U90:U93)</f>
        <v/>
      </c>
      <c r="V4" s="29">
        <f>MAX(V90:V93)</f>
        <v/>
      </c>
      <c r="W4" s="29">
        <f>MAX(W90:W93)</f>
        <v/>
      </c>
      <c r="X4" s="29">
        <f>MAX(X90:X93)</f>
        <v/>
      </c>
      <c r="Y4" s="29">
        <f>MAX(Y90:Y93)</f>
        <v/>
      </c>
      <c r="Z4" s="29">
        <f>MAX(Z90:Z93)</f>
        <v/>
      </c>
      <c r="AA4" s="29">
        <f>MAX(AA90:AA93)</f>
        <v/>
      </c>
      <c r="AD4" s="14" t="inlineStr">
        <is>
          <t>12 months</t>
        </is>
      </c>
      <c r="AE4" s="15">
        <f>'Table yoy'!AE4</f>
        <v/>
      </c>
    </row>
    <row r="5">
      <c r="B5" s="4" t="inlineStr">
        <is>
          <t>min 1y</t>
        </is>
      </c>
      <c r="C5" s="29">
        <f>MIN(C90:C93)</f>
        <v/>
      </c>
      <c r="D5" s="29">
        <f>MIN(D90:D93)</f>
        <v/>
      </c>
      <c r="E5" s="29">
        <f>MIN(E90:E93)</f>
        <v/>
      </c>
      <c r="F5" s="29">
        <f>MIN(F90:F93)</f>
        <v/>
      </c>
      <c r="G5" s="29">
        <f>MIN(G90:G93)</f>
        <v/>
      </c>
      <c r="H5" s="29">
        <f>MIN(H90:H93)</f>
        <v/>
      </c>
      <c r="I5" s="29">
        <f>MIN(I90:I93)</f>
        <v/>
      </c>
      <c r="J5" s="29">
        <f>MIN(J90:J93)</f>
        <v/>
      </c>
      <c r="K5" s="29">
        <f>MIN(K90:K93)</f>
        <v/>
      </c>
      <c r="L5" s="29">
        <f>MIN(L90:L93)</f>
        <v/>
      </c>
      <c r="M5" s="29">
        <f>MIN(M90:M93)</f>
        <v/>
      </c>
      <c r="N5" s="29">
        <f>MIN(N90:N93)</f>
        <v/>
      </c>
      <c r="O5" s="29">
        <f>MIN(O90:O93)</f>
        <v/>
      </c>
      <c r="P5" s="29">
        <f>MIN(P90:P93)</f>
        <v/>
      </c>
      <c r="Q5" s="29">
        <f>MIN(Q90:Q93)</f>
        <v/>
      </c>
      <c r="R5" s="29">
        <f>MIN(R90:R93)</f>
        <v/>
      </c>
      <c r="S5" s="29">
        <f>MIN(S90:S93)</f>
        <v/>
      </c>
      <c r="T5" s="29">
        <f>MIN(T90:T93)</f>
        <v/>
      </c>
      <c r="U5" s="29">
        <f>MIN(U90:U93)</f>
        <v/>
      </c>
      <c r="V5" s="29">
        <f>MIN(V90:V93)</f>
        <v/>
      </c>
      <c r="W5" s="29">
        <f>MIN(W90:W93)</f>
        <v/>
      </c>
      <c r="X5" s="29">
        <f>MIN(X90:X93)</f>
        <v/>
      </c>
      <c r="Y5" s="29">
        <f>MIN(Y90:Y93)</f>
        <v/>
      </c>
      <c r="Z5" s="29">
        <f>MIN(Z90:Z93)</f>
        <v/>
      </c>
      <c r="AA5" s="29">
        <f>MIN(AA90:AA93)</f>
        <v/>
      </c>
      <c r="AC5" s="16" t="inlineStr">
        <is>
          <t>SPREAD</t>
        </is>
      </c>
      <c r="AE5" s="17" t="n"/>
    </row>
    <row r="6">
      <c r="B6" s="4" t="inlineStr">
        <is>
          <t>1y avg</t>
        </is>
      </c>
      <c r="C6" s="29">
        <f>AVERAGE(C90:C93)</f>
        <v/>
      </c>
      <c r="D6" s="29">
        <f>AVERAGE(D90:D93)</f>
        <v/>
      </c>
      <c r="E6" s="29">
        <f>AVERAGE(E90:E93)</f>
        <v/>
      </c>
      <c r="F6" s="29">
        <f>AVERAGE(F90:F93)</f>
        <v/>
      </c>
      <c r="G6" s="29">
        <f>AVERAGE(G90:G93)</f>
        <v/>
      </c>
      <c r="H6" s="29">
        <f>AVERAGE(H90:H93)</f>
        <v/>
      </c>
      <c r="I6" s="29">
        <f>AVERAGE(I90:I93)</f>
        <v/>
      </c>
      <c r="J6" s="29">
        <f>AVERAGE(J90:J93)</f>
        <v/>
      </c>
      <c r="K6" s="29">
        <f>AVERAGE(K90:K93)</f>
        <v/>
      </c>
      <c r="L6" s="29">
        <f>AVERAGE(L90:L93)</f>
        <v/>
      </c>
      <c r="M6" s="29">
        <f>AVERAGE(M90:M93)</f>
        <v/>
      </c>
      <c r="N6" s="29">
        <f>AVERAGE(N90:N93)</f>
        <v/>
      </c>
      <c r="O6" s="29">
        <f>AVERAGE(O90:O93)</f>
        <v/>
      </c>
      <c r="P6" s="29">
        <f>AVERAGE(P90:P93)</f>
        <v/>
      </c>
      <c r="Q6" s="29">
        <f>AVERAGE(Q90:Q93)</f>
        <v/>
      </c>
      <c r="R6" s="29">
        <f>AVERAGE(R90:R93)</f>
        <v/>
      </c>
      <c r="S6" s="29">
        <f>AVERAGE(S90:S93)</f>
        <v/>
      </c>
      <c r="T6" s="29">
        <f>AVERAGE(T90:T93)</f>
        <v/>
      </c>
      <c r="U6" s="29">
        <f>AVERAGE(U90:U93)</f>
        <v/>
      </c>
      <c r="V6" s="29">
        <f>AVERAGE(V90:V93)</f>
        <v/>
      </c>
      <c r="W6" s="29">
        <f>AVERAGE(W90:W93)</f>
        <v/>
      </c>
      <c r="X6" s="29">
        <f>AVERAGE(X90:X93)</f>
        <v/>
      </c>
      <c r="Y6" s="29">
        <f>AVERAGE(Y90:Y93)</f>
        <v/>
      </c>
      <c r="Z6" s="29">
        <f>AVERAGE(Z90:Z93)</f>
        <v/>
      </c>
      <c r="AA6" s="29">
        <f>AVERAGE(AA90:AA93)</f>
        <v/>
      </c>
      <c r="AC6" s="18" t="n"/>
      <c r="AD6" s="74" t="inlineStr">
        <is>
          <t>Country 1</t>
        </is>
      </c>
      <c r="AE6" s="17" t="inlineStr">
        <is>
          <t>EA19</t>
        </is>
      </c>
    </row>
    <row r="7" ht="16" customHeight="1" s="68" thickBot="1">
      <c r="B7" s="4" t="inlineStr">
        <is>
          <t>Last vs 12m avg</t>
        </is>
      </c>
      <c r="C7" s="13">
        <f>IF((VLOOKUP($AE$2,$B:$AA,MATCH(C3,$B$3:$AA$3,),))&gt;C6,"above","below")</f>
        <v/>
      </c>
      <c r="D7" s="13">
        <f>IF((VLOOKUP($AE$2,$B:$AA,MATCH(D3,$B$3:$AA$3,),))&gt;D6,"above","below")</f>
        <v/>
      </c>
      <c r="E7" s="13">
        <f>IF((VLOOKUP($AE$2,$B:$AA,MATCH(E3,$B$3:$AA$3,),))&gt;E6,"above","below")</f>
        <v/>
      </c>
      <c r="F7" s="13">
        <f>IF((VLOOKUP($AE$2,$B:$AA,MATCH(F3,$B$3:$AA$3,),))&gt;F6,"above","below")</f>
        <v/>
      </c>
      <c r="G7" s="13">
        <f>IF((VLOOKUP($AE$2,$B:$AA,MATCH(G3,$B$3:$AA$3,),))&gt;G6,"above","below")</f>
        <v/>
      </c>
      <c r="H7" s="13">
        <f>IF((VLOOKUP($AE$2,$B:$AA,MATCH(H3,$B$3:$AA$3,),))&gt;H6,"above","below")</f>
        <v/>
      </c>
      <c r="I7" s="13">
        <f>IF((VLOOKUP($AE$2,$B:$AA,MATCH(I3,$B$3:$AA$3,),))&gt;I6,"above","below")</f>
        <v/>
      </c>
      <c r="J7" s="13">
        <f>IF((VLOOKUP($AE$2,$B:$AA,MATCH(J3,$B$3:$AA$3,),))&gt;J6,"above","below")</f>
        <v/>
      </c>
      <c r="K7" s="13">
        <f>IF((VLOOKUP($AE$2,$B:$AA,MATCH(K3,$B$3:$AA$3,),))&gt;K6,"above","below")</f>
        <v/>
      </c>
      <c r="L7" s="13">
        <f>IF((VLOOKUP($AE$2,$B:$AA,MATCH(L3,$B$3:$AA$3,),))&gt;L6,"above","below")</f>
        <v/>
      </c>
      <c r="M7" s="13">
        <f>IF((VLOOKUP($AE$2,$B:$AA,MATCH(M3,$B$3:$AA$3,),))&gt;M6,"above","below")</f>
        <v/>
      </c>
      <c r="N7" s="13">
        <f>IF((VLOOKUP($AE$2,$B:$AA,MATCH(N3,$B$3:$AA$3,),))&gt;N6,"above","below")</f>
        <v/>
      </c>
      <c r="O7" s="13">
        <f>IF((VLOOKUP($AE$2,$B:$AA,MATCH(O3,$B$3:$AA$3,),))&gt;O6,"above","below")</f>
        <v/>
      </c>
      <c r="P7" s="13">
        <f>IF((VLOOKUP($AE$2,$B:$AA,MATCH(P3,$B$3:$AA$3,),))&gt;P6,"above","below")</f>
        <v/>
      </c>
      <c r="Q7" s="13">
        <f>IF((VLOOKUP($AE$2,$B:$AA,MATCH(Q3,$B$3:$AA$3,),))&gt;Q6,"above","below")</f>
        <v/>
      </c>
      <c r="R7" s="13">
        <f>IF((VLOOKUP($AE$2,$B:$AA,MATCH(R3,$B$3:$AA$3,),))&gt;R6,"above","below")</f>
        <v/>
      </c>
      <c r="S7" s="13">
        <f>IF((VLOOKUP($AE$2,$B:$AA,MATCH(S3,$B$3:$AA$3,),))&gt;S6,"above","below")</f>
        <v/>
      </c>
      <c r="T7" s="13">
        <f>IF((VLOOKUP($AE$2,$B:$AA,MATCH(T3,$B$3:$AA$3,),))&gt;T6,"above","below")</f>
        <v/>
      </c>
      <c r="U7" s="13">
        <f>IF((VLOOKUP($AE$2,$B:$AA,MATCH(U3,$B$3:$AA$3,),))&gt;U6,"above","below")</f>
        <v/>
      </c>
      <c r="V7" s="13">
        <f>IF((VLOOKUP($AE$2,$B:$AA,MATCH(V3,$B$3:$AA$3,),))&gt;V6,"above","below")</f>
        <v/>
      </c>
      <c r="W7" s="13">
        <f>IF((VLOOKUP($AE$2,$B:$AA,MATCH(W3,$B$3:$AA$3,),))&gt;W6,"above","below")</f>
        <v/>
      </c>
      <c r="X7" s="13">
        <f>IF((VLOOKUP($AE$2,$B:$AA,MATCH(X3,$B$3:$AA$3,),))&gt;X6,"above","below")</f>
        <v/>
      </c>
      <c r="Y7" s="13">
        <f>IF((VLOOKUP($AE$2,$B:$AA,MATCH(Y3,$B$3:$AA$3,),))&gt;Y6,"above","below")</f>
        <v/>
      </c>
      <c r="Z7" s="13">
        <f>IF((VLOOKUP($AE$2,$B:$AA,MATCH(Z3,$B$3:$AA$3,),))&gt;Z6,"above","below")</f>
        <v/>
      </c>
      <c r="AA7" s="13">
        <f>IF((VLOOKUP($AE$2,$B:$AA,MATCH(AA3,$B$3:$AA$3,),))&gt;AA6,"above","below")</f>
        <v/>
      </c>
      <c r="AC7" s="19" t="n"/>
      <c r="AD7" s="20" t="inlineStr">
        <is>
          <t>Country 2</t>
        </is>
      </c>
      <c r="AE7" s="21" t="inlineStr">
        <is>
          <t>GBR</t>
        </is>
      </c>
    </row>
    <row r="8">
      <c r="B8" s="4" t="inlineStr">
        <is>
          <t>Y/Y</t>
        </is>
      </c>
      <c r="C8" s="28">
        <f>VLOOKUP($AE$2,$B:$AA,MATCH(C3,$B$3:$AA$3,),)-VLOOKUP($AE$4,$B:$AA,MATCH(C3,$B$3:$AA$3,),)</f>
        <v/>
      </c>
      <c r="D8" s="28">
        <f>VLOOKUP($AE$2,$B:$AA,MATCH(D3,$B$3:$AA$3,),)-VLOOKUP($AE$4,$B:$AA,MATCH(D3,$B$3:$AA$3,),)</f>
        <v/>
      </c>
      <c r="E8" s="28">
        <f>VLOOKUP($AE$2,$B:$AA,MATCH(E3,$B$3:$AA$3,),)-VLOOKUP($AE$4,$B:$AA,MATCH(E3,$B$3:$AA$3,),)</f>
        <v/>
      </c>
      <c r="F8" s="28">
        <f>VLOOKUP($AE$2,$B:$AA,MATCH(F3,$B$3:$AA$3,),)-VLOOKUP($AE$4,$B:$AA,MATCH(F3,$B$3:$AA$3,),)</f>
        <v/>
      </c>
      <c r="G8" s="28">
        <f>VLOOKUP($AE$2,$B:$AA,MATCH(G3,$B$3:$AA$3,),)-VLOOKUP($AE$4,$B:$AA,MATCH(G3,$B$3:$AA$3,),)</f>
        <v/>
      </c>
      <c r="H8" s="28">
        <f>VLOOKUP($AE$2,$B:$AA,MATCH(H3,$B$3:$AA$3,),)-VLOOKUP($AE$4,$B:$AA,MATCH(H3,$B$3:$AA$3,),)</f>
        <v/>
      </c>
      <c r="I8" s="28">
        <f>VLOOKUP($AE$2,$B:$AA,MATCH(I3,$B$3:$AA$3,),)-VLOOKUP($AE$4,$B:$AA,MATCH(I3,$B$3:$AA$3,),)</f>
        <v/>
      </c>
      <c r="J8" s="28">
        <f>VLOOKUP($AE$2,$B:$AA,MATCH(J3,$B$3:$AA$3,),)-VLOOKUP($AE$4,$B:$AA,MATCH(J3,$B$3:$AA$3,),)</f>
        <v/>
      </c>
      <c r="K8" s="28">
        <f>VLOOKUP($AE$2,$B:$AA,MATCH(K3,$B$3:$AA$3,),)-VLOOKUP($AE$4,$B:$AA,MATCH(K3,$B$3:$AA$3,),)</f>
        <v/>
      </c>
      <c r="L8" s="28">
        <f>VLOOKUP($AE$2,$B:$AA,MATCH(L3,$B$3:$AA$3,),)-VLOOKUP($AE$4,$B:$AA,MATCH(L3,$B$3:$AA$3,),)</f>
        <v/>
      </c>
      <c r="M8" s="28">
        <f>VLOOKUP($AE$2,$B:$AA,MATCH(M3,$B$3:$AA$3,),)-VLOOKUP($AE$4,$B:$AA,MATCH(M3,$B$3:$AA$3,),)</f>
        <v/>
      </c>
      <c r="N8" s="28">
        <f>VLOOKUP($AE$2,$B:$AA,MATCH(N3,$B$3:$AA$3,),)-VLOOKUP($AE$4,$B:$AA,MATCH(N3,$B$3:$AA$3,),)</f>
        <v/>
      </c>
      <c r="O8" s="28">
        <f>VLOOKUP($AE$2,$B:$AA,MATCH(O3,$B$3:$AA$3,),)-VLOOKUP($AE$4,$B:$AA,MATCH(O3,$B$3:$AA$3,),)</f>
        <v/>
      </c>
      <c r="P8" s="28">
        <f>VLOOKUP($AE$2,$B:$AA,MATCH(P3,$B$3:$AA$3,),)-VLOOKUP($AE$4,$B:$AA,MATCH(P3,$B$3:$AA$3,),)</f>
        <v/>
      </c>
      <c r="Q8" s="28">
        <f>VLOOKUP($AE$2,$B:$AA,MATCH(Q3,$B$3:$AA$3,),)-VLOOKUP($AE$4,$B:$AA,MATCH(Q3,$B$3:$AA$3,),)</f>
        <v/>
      </c>
      <c r="R8" s="28">
        <f>VLOOKUP($AE$2,$B:$AA,MATCH(R3,$B$3:$AA$3,),)-VLOOKUP($AE$4,$B:$AA,MATCH(R3,$B$3:$AA$3,),)</f>
        <v/>
      </c>
      <c r="S8" s="28">
        <f>VLOOKUP($AE$2,$B:$AA,MATCH(S3,$B$3:$AA$3,),)-VLOOKUP($AE$4,$B:$AA,MATCH(S3,$B$3:$AA$3,),)</f>
        <v/>
      </c>
      <c r="T8" s="28">
        <f>VLOOKUP($AE$2,$B:$AA,MATCH(T3,$B$3:$AA$3,),)-VLOOKUP($AE$4,$B:$AA,MATCH(T3,$B$3:$AA$3,),)</f>
        <v/>
      </c>
      <c r="U8" s="28">
        <f>VLOOKUP($AE$2,$B:$AA,MATCH(U3,$B$3:$AA$3,),)-VLOOKUP($AE$4,$B:$AA,MATCH(U3,$B$3:$AA$3,),)</f>
        <v/>
      </c>
      <c r="V8" s="28">
        <f>VLOOKUP($AE$2,$B:$AA,MATCH(V3,$B$3:$AA$3,),)-VLOOKUP($AE$4,$B:$AA,MATCH(V3,$B$3:$AA$3,),)</f>
        <v/>
      </c>
      <c r="W8" s="28">
        <f>VLOOKUP($AE$2,$B:$AA,MATCH(W3,$B$3:$AA$3,),)-VLOOKUP($AE$4,$B:$AA,MATCH(W3,$B$3:$AA$3,),)</f>
        <v/>
      </c>
      <c r="X8" s="28">
        <f>VLOOKUP($AE$2,$B:$AA,MATCH(X3,$B$3:$AA$3,),)-VLOOKUP($AE$4,$B:$AA,MATCH(X3,$B$3:$AA$3,),)</f>
        <v/>
      </c>
      <c r="Y8" s="28">
        <f>VLOOKUP($AE$2,$B:$AA,MATCH(Y3,$B$3:$AA$3,),)-VLOOKUP($AE$4,$B:$AA,MATCH(Y3,$B$3:$AA$3,),)</f>
        <v/>
      </c>
      <c r="Z8" s="28">
        <f>VLOOKUP($AE$2,$B:$AA,MATCH(Z3,$B$3:$AA$3,),)-VLOOKUP($AE$4,$B:$AA,MATCH(Z3,$B$3:$AA$3,),)</f>
        <v/>
      </c>
      <c r="AA8" s="28">
        <f>VLOOKUP($AE$2,$B:$AA,MATCH(AA3,$B$3:$AA$3,),)-VLOOKUP($AE$4,$B:$AA,MATCH(AA3,$B$3:$AA$3,),)</f>
        <v/>
      </c>
    </row>
    <row r="9">
      <c r="B9" s="4" t="inlineStr">
        <is>
          <t>Q/Q</t>
        </is>
      </c>
      <c r="C9" s="29">
        <f>VLOOKUP($AE$2,$B:$AA,MATCH(C3,$B$3:$AA$3,),)-VLOOKUP($AE$3,$B:$AA,MATCH(C3,$B$3:$AA$3,),)</f>
        <v/>
      </c>
      <c r="D9" s="29">
        <f>VLOOKUP($AE$2,$B:$AA,MATCH(D3,$B$3:$AA$3,),)-VLOOKUP($AE$3,$B:$AA,MATCH(D3,$B$3:$AA$3,),)</f>
        <v/>
      </c>
      <c r="E9" s="29">
        <f>VLOOKUP($AE$2,$B:$AA,MATCH(E3,$B$3:$AA$3,),)-VLOOKUP($AE$3,$B:$AA,MATCH(E3,$B$3:$AA$3,),)</f>
        <v/>
      </c>
      <c r="F9" s="29">
        <f>VLOOKUP($AE$2,$B:$AA,MATCH(F3,$B$3:$AA$3,),)-VLOOKUP($AE$3,$B:$AA,MATCH(F3,$B$3:$AA$3,),)</f>
        <v/>
      </c>
      <c r="G9" s="29">
        <f>VLOOKUP($AE$2,$B:$AA,MATCH(G3,$B$3:$AA$3,),)-VLOOKUP($AE$3,$B:$AA,MATCH(G3,$B$3:$AA$3,),)</f>
        <v/>
      </c>
      <c r="H9" s="29">
        <f>VLOOKUP($AE$2,$B:$AA,MATCH(H3,$B$3:$AA$3,),)-VLOOKUP($AE$3,$B:$AA,MATCH(H3,$B$3:$AA$3,),)</f>
        <v/>
      </c>
      <c r="I9" s="29">
        <f>VLOOKUP($AE$2,$B:$AA,MATCH(I3,$B$3:$AA$3,),)-VLOOKUP($AE$3,$B:$AA,MATCH(I3,$B$3:$AA$3,),)</f>
        <v/>
      </c>
      <c r="J9" s="29">
        <f>VLOOKUP($AE$2,$B:$AA,MATCH(J3,$B$3:$AA$3,),)-VLOOKUP($AE$3,$B:$AA,MATCH(J3,$B$3:$AA$3,),)</f>
        <v/>
      </c>
      <c r="K9" s="29">
        <f>VLOOKUP($AE$2,$B:$AA,MATCH(K3,$B$3:$AA$3,),)-VLOOKUP($AE$3,$B:$AA,MATCH(K3,$B$3:$AA$3,),)</f>
        <v/>
      </c>
      <c r="L9" s="29">
        <f>VLOOKUP($AE$2,$B:$AA,MATCH(L3,$B$3:$AA$3,),)-VLOOKUP($AE$3,$B:$AA,MATCH(L3,$B$3:$AA$3,),)</f>
        <v/>
      </c>
      <c r="M9" s="29">
        <f>VLOOKUP($AE$2,$B:$AA,MATCH(M3,$B$3:$AA$3,),)-VLOOKUP($AE$3,$B:$AA,MATCH(M3,$B$3:$AA$3,),)</f>
        <v/>
      </c>
      <c r="N9" s="29">
        <f>VLOOKUP($AE$2,$B:$AA,MATCH(N3,$B$3:$AA$3,),)-VLOOKUP($AE$3,$B:$AA,MATCH(N3,$B$3:$AA$3,),)</f>
        <v/>
      </c>
      <c r="O9" s="29">
        <f>VLOOKUP($AE$2,$B:$AA,MATCH(O3,$B$3:$AA$3,),)-VLOOKUP($AE$3,$B:$AA,MATCH(O3,$B$3:$AA$3,),)</f>
        <v/>
      </c>
      <c r="P9" s="29">
        <f>VLOOKUP($AE$2,$B:$AA,MATCH(P3,$B$3:$AA$3,),)-VLOOKUP($AE$3,$B:$AA,MATCH(P3,$B$3:$AA$3,),)</f>
        <v/>
      </c>
      <c r="Q9" s="29">
        <f>VLOOKUP($AE$2,$B:$AA,MATCH(Q3,$B$3:$AA$3,),)-VLOOKUP($AE$3,$B:$AA,MATCH(Q3,$B$3:$AA$3,),)</f>
        <v/>
      </c>
      <c r="R9" s="29">
        <f>VLOOKUP($AE$2,$B:$AA,MATCH(R3,$B$3:$AA$3,),)-VLOOKUP($AE$3,$B:$AA,MATCH(R3,$B$3:$AA$3,),)</f>
        <v/>
      </c>
      <c r="S9" s="29">
        <f>VLOOKUP($AE$2,$B:$AA,MATCH(S3,$B$3:$AA$3,),)-VLOOKUP($AE$3,$B:$AA,MATCH(S3,$B$3:$AA$3,),)</f>
        <v/>
      </c>
      <c r="T9" s="29">
        <f>VLOOKUP($AE$2,$B:$AA,MATCH(T3,$B$3:$AA$3,),)-VLOOKUP($AE$3,$B:$AA,MATCH(T3,$B$3:$AA$3,),)</f>
        <v/>
      </c>
      <c r="U9" s="29">
        <f>VLOOKUP($AE$2,$B:$AA,MATCH(U3,$B$3:$AA$3,),)-VLOOKUP($AE$3,$B:$AA,MATCH(U3,$B$3:$AA$3,),)</f>
        <v/>
      </c>
      <c r="V9" s="29">
        <f>VLOOKUP($AE$2,$B:$AA,MATCH(V3,$B$3:$AA$3,),)-VLOOKUP($AE$3,$B:$AA,MATCH(V3,$B$3:$AA$3,),)</f>
        <v/>
      </c>
      <c r="W9" s="29">
        <f>VLOOKUP($AE$2,$B:$AA,MATCH(W3,$B$3:$AA$3,),)-VLOOKUP($AE$3,$B:$AA,MATCH(W3,$B$3:$AA$3,),)</f>
        <v/>
      </c>
      <c r="X9" s="29">
        <f>VLOOKUP($AE$2,$B:$AA,MATCH(X3,$B$3:$AA$3,),)-VLOOKUP($AE$3,$B:$AA,MATCH(X3,$B$3:$AA$3,),)</f>
        <v/>
      </c>
      <c r="Y9" s="29">
        <f>VLOOKUP($AE$2,$B:$AA,MATCH(Y3,$B$3:$AA$3,),)-VLOOKUP($AE$3,$B:$AA,MATCH(Y3,$B$3:$AA$3,),)</f>
        <v/>
      </c>
      <c r="Z9" s="29">
        <f>VLOOKUP($AE$2,$B:$AA,MATCH(Z3,$B$3:$AA$3,),)-VLOOKUP($AE$3,$B:$AA,MATCH(Z3,$B$3:$AA$3,),)</f>
        <v/>
      </c>
      <c r="AA9" s="29">
        <f>VLOOKUP($AE$2,$B:$AA,MATCH(AA3,$B$3:$AA$3,),)-VLOOKUP($AE$3,$B:$AA,MATCH(AA3,$B$3:$AA$3,),)</f>
        <v/>
      </c>
    </row>
    <row r="10">
      <c r="B10" s="4" t="n"/>
      <c r="C10" s="22" t="n"/>
      <c r="D10" s="22" t="n"/>
      <c r="E10" s="22" t="n"/>
      <c r="F10" s="22" t="n"/>
      <c r="G10" s="22" t="n"/>
      <c r="H10" s="22" t="n"/>
      <c r="I10" s="22" t="n"/>
      <c r="J10" s="22" t="n"/>
      <c r="K10" s="22" t="n"/>
      <c r="L10" s="22" t="n"/>
      <c r="M10" s="22" t="n"/>
      <c r="N10" s="22" t="n"/>
      <c r="O10" s="22" t="n"/>
      <c r="P10" s="22" t="n"/>
      <c r="Q10" s="22" t="n"/>
      <c r="R10" s="23" t="n"/>
      <c r="S10" s="22" t="n"/>
      <c r="T10" s="22" t="n"/>
      <c r="U10" s="22" t="n"/>
      <c r="V10" s="22" t="n"/>
      <c r="W10" s="22" t="n"/>
      <c r="X10" s="22" t="n"/>
      <c r="Y10" s="22" t="n"/>
      <c r="Z10" s="22" t="n"/>
      <c r="AA10" s="22" t="n"/>
    </row>
    <row r="11" hidden="1" s="68">
      <c r="A11" s="30" t="n">
        <v>36586</v>
      </c>
      <c r="B11" s="24" t="inlineStr">
        <is>
          <t>2000-Q1</t>
        </is>
      </c>
      <c r="C11" s="32">
        <f>(((VLOOKUP(B11,'Data qoq'!$A:$AT,MATCH($C$1,'Data qoq'!$A$1:$AT$1,),))/100+1)^4)-1</f>
        <v/>
      </c>
      <c r="D11" s="32">
        <f>(((VLOOKUP(B11,'Data qoq'!$A:$AT,MATCH($D$1,'Data qoq'!$A$1:$AT$1,),))/100+1)^4)-1</f>
        <v/>
      </c>
      <c r="E11" s="32">
        <f>(((VLOOKUP(B11,'Data qoq'!$A:$AT,MATCH($E$1,'Data qoq'!$A$1:$AT$1,),))/100+1)^4)-1</f>
        <v/>
      </c>
      <c r="F11" s="32">
        <f>(((VLOOKUP(B11,'Data qoq'!$A:$AT,MATCH($F$1,'Data qoq'!$A$1:$AT$1,),))/100+1)^4)-1</f>
        <v/>
      </c>
      <c r="G11" s="32">
        <f>(((VLOOKUP(B11,'Data qoq'!$A:$AT,MATCH($G$1,'Data qoq'!$A$1:$AT$1,),))/100+1)^4)-1</f>
        <v/>
      </c>
      <c r="H11" s="32">
        <f>(((VLOOKUP(B11,'Data qoq'!$A:$AT,MATCH($H$1,'Data qoq'!$A$1:$AT$1,),))/100+1)^4)-1</f>
        <v/>
      </c>
      <c r="I11" s="32">
        <f>(((VLOOKUP(B11,'Data qoq'!$A:$AT,MATCH($I$1,'Data qoq'!$A$1:$AT$1,),))/100+1)^4)-1</f>
        <v/>
      </c>
      <c r="J11" s="32">
        <f>(((VLOOKUP(B11,'Data qoq'!$A:$AT,MATCH($J$1,'Data qoq'!$A$1:$AT$1,),))/100+1)^4)-1</f>
        <v/>
      </c>
      <c r="K11" s="32">
        <f>(((VLOOKUP(B11,'Data qoq'!$A:$AT,MATCH($K$1,'Data qoq'!$A$1:$AT$1,),))/100+1)^4)-1</f>
        <v/>
      </c>
      <c r="L11" s="32">
        <f>(((VLOOKUP(B11,'Data qoq'!$A:$AT,MATCH($L$1,'Data qoq'!$A$1:$AT$1,),))/100+1)^4)-1</f>
        <v/>
      </c>
      <c r="M11" s="32">
        <f>(((VLOOKUP(B11,'Data qoq'!$A:$AT,MATCH($M$1,'Data qoq'!$A$1:$AT$1,),))/100+1)^4)-1</f>
        <v/>
      </c>
      <c r="N11" s="32">
        <f>(((VLOOKUP(B11,'Data qoq'!$A:$AT,MATCH($N$1,'Data qoq'!$A$1:$AT$1,),))/100+1)^4)-1</f>
        <v/>
      </c>
      <c r="O11" s="32">
        <f>(((VLOOKUP(B11,'Data qoq'!$A:$AT,MATCH($O$1,'Data qoq'!$A$1:$AT$1,),))/100+1)^4)-1</f>
        <v/>
      </c>
      <c r="P11" s="32">
        <f>(((VLOOKUP(B11,'Data qoq'!$A:$AT,MATCH($P$1,'Data qoq'!$A$1:$AT$1,),))/100+1)^4)-1</f>
        <v/>
      </c>
      <c r="Q11" s="32">
        <f>(((VLOOKUP(B11,'Data qoq'!$A:$AT,MATCH($Q$1,'Data qoq'!$A$1:$AT$1,),))/100+1)^4)-1</f>
        <v/>
      </c>
      <c r="R11" s="32">
        <f>(((VLOOKUP(B11,'Data qoq'!$A:$AT,MATCH($R$1,'Data qoq'!$A$1:$AT$1,),))/100+1)^4)-1</f>
        <v/>
      </c>
      <c r="S11" s="32">
        <f>(((VLOOKUP(B11,'Data qoq'!$A:$AT,MATCH($S$1,'Data qoq'!$A$1:$AT$1,),))/100+1)^4)-1</f>
        <v/>
      </c>
      <c r="T11" s="32">
        <f>(((VLOOKUP(B11,'Data qoq'!$A:$AT,MATCH($T$1,'Data qoq'!$A$1:$AT$1,),))/100+1)^4)-1</f>
        <v/>
      </c>
      <c r="U11" s="32">
        <f>(((VLOOKUP(B11,'Data qoq'!$A:$AT,MATCH($U$1,'Data qoq'!$A$1:$AT$1,),))/100+1)^4)-1</f>
        <v/>
      </c>
      <c r="V11" s="32">
        <f>(((VLOOKUP(B11,'Data qoq'!$A:$AT,MATCH($V$1,'Data qoq'!$A$1:$AT$1,),))/100+1)^4)-1</f>
        <v/>
      </c>
      <c r="W11" s="32">
        <f>(((VLOOKUP(B11,'Data qoq'!$A:$AT,MATCH($W$1,'Data qoq'!$A$1:$AT$1,),))/100+1)^4)-1</f>
        <v/>
      </c>
      <c r="X11" s="32">
        <f>(((VLOOKUP(B11,'Data qoq'!$A:$AT,MATCH($X$1,'Data qoq'!$A$1:$AT$1,),))/100+1)^4)-1</f>
        <v/>
      </c>
      <c r="Y11" s="32">
        <f>(((VLOOKUP(B11,'Data qoq'!$A:$AT,MATCH($Y$1,'Data qoq'!$A$1:$AT$1,),))/100+1)^4)-1</f>
        <v/>
      </c>
      <c r="Z11" s="32">
        <f>(((VLOOKUP(B11,'Data qoq'!$A:$AU,MATCH($Z$1,'Data qoq'!$A$1:$AU$1,),))/100+1)^4)-1</f>
        <v/>
      </c>
      <c r="AA11" s="32">
        <f>(((VLOOKUP(B11,'Data qoq'!$A:$AU,MATCH($AA$1,'Data qoq'!$A$1:$AU$1,),))/100+1)^4)-1</f>
        <v/>
      </c>
      <c r="AC11" s="26">
        <f>B11</f>
        <v/>
      </c>
      <c r="AD11" s="31">
        <f>(VLOOKUP(AC11,B:Y,MATCH($AE$6,$B$1:$Y$1,),))-(VLOOKUP(AC11,B:Y,MATCH($AE$7,$B$1:$Y$1,),))</f>
        <v/>
      </c>
      <c r="AE11" s="27" t="n"/>
    </row>
    <row r="12" hidden="1" s="68">
      <c r="A12" s="30" t="n">
        <v>36678</v>
      </c>
      <c r="B12" s="24" t="inlineStr">
        <is>
          <t>2000-Q2</t>
        </is>
      </c>
      <c r="C12" s="32">
        <f>(((VLOOKUP(B12,'Data qoq'!$A:$AT,MATCH($C$1,'Data qoq'!$A$1:$AT$1,),))/100+1)^4)-1</f>
        <v/>
      </c>
      <c r="D12" s="32">
        <f>(((VLOOKUP(B12,'Data qoq'!$A:$AT,MATCH($D$1,'Data qoq'!$A$1:$AT$1,),))/100+1)^4)-1</f>
        <v/>
      </c>
      <c r="E12" s="32">
        <f>(((VLOOKUP(B12,'Data qoq'!$A:$AT,MATCH($E$1,'Data qoq'!$A$1:$AT$1,),))/100+1)^4)-1</f>
        <v/>
      </c>
      <c r="F12" s="32">
        <f>(((VLOOKUP(B12,'Data qoq'!$A:$AT,MATCH($F$1,'Data qoq'!$A$1:$AT$1,),))/100+1)^4)-1</f>
        <v/>
      </c>
      <c r="G12" s="32">
        <f>(((VLOOKUP(B12,'Data qoq'!$A:$AT,MATCH($G$1,'Data qoq'!$A$1:$AT$1,),))/100+1)^4)-1</f>
        <v/>
      </c>
      <c r="H12" s="32">
        <f>(((VLOOKUP(B12,'Data qoq'!$A:$AT,MATCH($H$1,'Data qoq'!$A$1:$AT$1,),))/100+1)^4)-1</f>
        <v/>
      </c>
      <c r="I12" s="32">
        <f>(((VLOOKUP(B12,'Data qoq'!$A:$AT,MATCH($I$1,'Data qoq'!$A$1:$AT$1,),))/100+1)^4)-1</f>
        <v/>
      </c>
      <c r="J12" s="32">
        <f>(((VLOOKUP(B12,'Data qoq'!$A:$AT,MATCH($J$1,'Data qoq'!$A$1:$AT$1,),))/100+1)^4)-1</f>
        <v/>
      </c>
      <c r="K12" s="32">
        <f>(((VLOOKUP(B12,'Data qoq'!$A:$AT,MATCH($K$1,'Data qoq'!$A$1:$AT$1,),))/100+1)^4)-1</f>
        <v/>
      </c>
      <c r="L12" s="32">
        <f>(((VLOOKUP(B12,'Data qoq'!$A:$AT,MATCH($L$1,'Data qoq'!$A$1:$AT$1,),))/100+1)^4)-1</f>
        <v/>
      </c>
      <c r="M12" s="32">
        <f>(((VLOOKUP(B12,'Data qoq'!$A:$AT,MATCH($M$1,'Data qoq'!$A$1:$AT$1,),))/100+1)^4)-1</f>
        <v/>
      </c>
      <c r="N12" s="32">
        <f>(((VLOOKUP(B12,'Data qoq'!$A:$AT,MATCH($N$1,'Data qoq'!$A$1:$AT$1,),))/100+1)^4)-1</f>
        <v/>
      </c>
      <c r="O12" s="32">
        <f>(((VLOOKUP(B12,'Data qoq'!$A:$AT,MATCH($O$1,'Data qoq'!$A$1:$AT$1,),))/100+1)^4)-1</f>
        <v/>
      </c>
      <c r="P12" s="32">
        <f>(((VLOOKUP(B12,'Data qoq'!$A:$AT,MATCH($P$1,'Data qoq'!$A$1:$AT$1,),))/100+1)^4)-1</f>
        <v/>
      </c>
      <c r="Q12" s="32">
        <f>(((VLOOKUP(B12,'Data qoq'!$A:$AT,MATCH($Q$1,'Data qoq'!$A$1:$AT$1,),))/100+1)^4)-1</f>
        <v/>
      </c>
      <c r="R12" s="32">
        <f>(((VLOOKUP(B12,'Data qoq'!$A:$AT,MATCH($R$1,'Data qoq'!$A$1:$AT$1,),))/100+1)^4)-1</f>
        <v/>
      </c>
      <c r="S12" s="32">
        <f>(((VLOOKUP(B12,'Data qoq'!$A:$AT,MATCH($S$1,'Data qoq'!$A$1:$AT$1,),))/100+1)^4)-1</f>
        <v/>
      </c>
      <c r="T12" s="32">
        <f>(((VLOOKUP(B12,'Data qoq'!$A:$AT,MATCH($T$1,'Data qoq'!$A$1:$AT$1,),))/100+1)^4)-1</f>
        <v/>
      </c>
      <c r="U12" s="32">
        <f>(((VLOOKUP(B12,'Data qoq'!$A:$AT,MATCH($U$1,'Data qoq'!$A$1:$AT$1,),))/100+1)^4)-1</f>
        <v/>
      </c>
      <c r="V12" s="32">
        <f>(((VLOOKUP(B12,'Data qoq'!$A:$AT,MATCH($V$1,'Data qoq'!$A$1:$AT$1,),))/100+1)^4)-1</f>
        <v/>
      </c>
      <c r="W12" s="32">
        <f>(((VLOOKUP(B12,'Data qoq'!$A:$AT,MATCH($W$1,'Data qoq'!$A$1:$AT$1,),))/100+1)^4)-1</f>
        <v/>
      </c>
      <c r="X12" s="32">
        <f>(((VLOOKUP(B12,'Data qoq'!$A:$AT,MATCH($X$1,'Data qoq'!$A$1:$AT$1,),))/100+1)^4)-1</f>
        <v/>
      </c>
      <c r="Y12" s="32">
        <f>(((VLOOKUP(B12,'Data qoq'!$A:$AT,MATCH($Y$1,'Data qoq'!$A$1:$AT$1,),))/100+1)^4)-1</f>
        <v/>
      </c>
      <c r="Z12" s="32">
        <f>(((VLOOKUP(B12,'Data qoq'!$A:$AU,MATCH($Z$1,'Data qoq'!$A$1:$AU$1,),))/100+1)^4)-1</f>
        <v/>
      </c>
      <c r="AA12" s="32">
        <f>(((VLOOKUP(B12,'Data qoq'!$A:$AU,MATCH($AA$1,'Data qoq'!$A$1:$AU$1,),))/100+1)^4)-1</f>
        <v/>
      </c>
      <c r="AC12" s="26">
        <f>B12</f>
        <v/>
      </c>
      <c r="AD12" s="31">
        <f>(VLOOKUP(AC12,B:Y,MATCH($AE$6,$B$1:$Y$1,),))-(VLOOKUP(AC12,B:Y,MATCH($AE$7,$B$1:$Y$1,),))</f>
        <v/>
      </c>
      <c r="AE12" s="27" t="n"/>
    </row>
    <row r="13" hidden="1" s="68">
      <c r="A13" s="30" t="n">
        <v>36770</v>
      </c>
      <c r="B13" s="24" t="inlineStr">
        <is>
          <t>2000-Q3</t>
        </is>
      </c>
      <c r="C13" s="32">
        <f>(((VLOOKUP(B13,'Data qoq'!$A:$AT,MATCH($C$1,'Data qoq'!$A$1:$AT$1,),))/100+1)^4)-1</f>
        <v/>
      </c>
      <c r="D13" s="32">
        <f>(((VLOOKUP(B13,'Data qoq'!$A:$AT,MATCH($D$1,'Data qoq'!$A$1:$AT$1,),))/100+1)^4)-1</f>
        <v/>
      </c>
      <c r="E13" s="32">
        <f>(((VLOOKUP(B13,'Data qoq'!$A:$AT,MATCH($E$1,'Data qoq'!$A$1:$AT$1,),))/100+1)^4)-1</f>
        <v/>
      </c>
      <c r="F13" s="32">
        <f>(((VLOOKUP(B13,'Data qoq'!$A:$AT,MATCH($F$1,'Data qoq'!$A$1:$AT$1,),))/100+1)^4)-1</f>
        <v/>
      </c>
      <c r="G13" s="32">
        <f>(((VLOOKUP(B13,'Data qoq'!$A:$AT,MATCH($G$1,'Data qoq'!$A$1:$AT$1,),))/100+1)^4)-1</f>
        <v/>
      </c>
      <c r="H13" s="32">
        <f>(((VLOOKUP(B13,'Data qoq'!$A:$AT,MATCH($H$1,'Data qoq'!$A$1:$AT$1,),))/100+1)^4)-1</f>
        <v/>
      </c>
      <c r="I13" s="32">
        <f>(((VLOOKUP(B13,'Data qoq'!$A:$AT,MATCH($I$1,'Data qoq'!$A$1:$AT$1,),))/100+1)^4)-1</f>
        <v/>
      </c>
      <c r="J13" s="32">
        <f>(((VLOOKUP(B13,'Data qoq'!$A:$AT,MATCH($J$1,'Data qoq'!$A$1:$AT$1,),))/100+1)^4)-1</f>
        <v/>
      </c>
      <c r="K13" s="32">
        <f>(((VLOOKUP(B13,'Data qoq'!$A:$AT,MATCH($K$1,'Data qoq'!$A$1:$AT$1,),))/100+1)^4)-1</f>
        <v/>
      </c>
      <c r="L13" s="32">
        <f>(((VLOOKUP(B13,'Data qoq'!$A:$AT,MATCH($L$1,'Data qoq'!$A$1:$AT$1,),))/100+1)^4)-1</f>
        <v/>
      </c>
      <c r="M13" s="32">
        <f>(((VLOOKUP(B13,'Data qoq'!$A:$AT,MATCH($M$1,'Data qoq'!$A$1:$AT$1,),))/100+1)^4)-1</f>
        <v/>
      </c>
      <c r="N13" s="32">
        <f>(((VLOOKUP(B13,'Data qoq'!$A:$AT,MATCH($N$1,'Data qoq'!$A$1:$AT$1,),))/100+1)^4)-1</f>
        <v/>
      </c>
      <c r="O13" s="32">
        <f>(((VLOOKUP(B13,'Data qoq'!$A:$AT,MATCH($O$1,'Data qoq'!$A$1:$AT$1,),))/100+1)^4)-1</f>
        <v/>
      </c>
      <c r="P13" s="32">
        <f>(((VLOOKUP(B13,'Data qoq'!$A:$AT,MATCH($P$1,'Data qoq'!$A$1:$AT$1,),))/100+1)^4)-1</f>
        <v/>
      </c>
      <c r="Q13" s="32">
        <f>(((VLOOKUP(B13,'Data qoq'!$A:$AT,MATCH($Q$1,'Data qoq'!$A$1:$AT$1,),))/100+1)^4)-1</f>
        <v/>
      </c>
      <c r="R13" s="32">
        <f>(((VLOOKUP(B13,'Data qoq'!$A:$AT,MATCH($R$1,'Data qoq'!$A$1:$AT$1,),))/100+1)^4)-1</f>
        <v/>
      </c>
      <c r="S13" s="32">
        <f>(((VLOOKUP(B13,'Data qoq'!$A:$AT,MATCH($S$1,'Data qoq'!$A$1:$AT$1,),))/100+1)^4)-1</f>
        <v/>
      </c>
      <c r="T13" s="32">
        <f>(((VLOOKUP(B13,'Data qoq'!$A:$AT,MATCH($T$1,'Data qoq'!$A$1:$AT$1,),))/100+1)^4)-1</f>
        <v/>
      </c>
      <c r="U13" s="32">
        <f>(((VLOOKUP(B13,'Data qoq'!$A:$AT,MATCH($U$1,'Data qoq'!$A$1:$AT$1,),))/100+1)^4)-1</f>
        <v/>
      </c>
      <c r="V13" s="32">
        <f>(((VLOOKUP(B13,'Data qoq'!$A:$AT,MATCH($V$1,'Data qoq'!$A$1:$AT$1,),))/100+1)^4)-1</f>
        <v/>
      </c>
      <c r="W13" s="32">
        <f>(((VLOOKUP(B13,'Data qoq'!$A:$AT,MATCH($W$1,'Data qoq'!$A$1:$AT$1,),))/100+1)^4)-1</f>
        <v/>
      </c>
      <c r="X13" s="32">
        <f>(((VLOOKUP(B13,'Data qoq'!$A:$AT,MATCH($X$1,'Data qoq'!$A$1:$AT$1,),))/100+1)^4)-1</f>
        <v/>
      </c>
      <c r="Y13" s="32">
        <f>(((VLOOKUP(B13,'Data qoq'!$A:$AT,MATCH($Y$1,'Data qoq'!$A$1:$AT$1,),))/100+1)^4)-1</f>
        <v/>
      </c>
      <c r="Z13" s="32">
        <f>(((VLOOKUP(B13,'Data qoq'!$A:$AU,MATCH($Z$1,'Data qoq'!$A$1:$AU$1,),))/100+1)^4)-1</f>
        <v/>
      </c>
      <c r="AA13" s="32">
        <f>(((VLOOKUP(B13,'Data qoq'!$A:$AU,MATCH($AA$1,'Data qoq'!$A$1:$AU$1,),))/100+1)^4)-1</f>
        <v/>
      </c>
      <c r="AC13" s="26">
        <f>B13</f>
        <v/>
      </c>
      <c r="AD13" s="31">
        <f>(VLOOKUP(AC13,B:Y,MATCH($AE$6,$B$1:$Y$1,),))-(VLOOKUP(AC13,B:Y,MATCH($AE$7,$B$1:$Y$1,),))</f>
        <v/>
      </c>
      <c r="AE13" s="27" t="n"/>
    </row>
    <row r="14" hidden="1" s="68">
      <c r="A14" s="30" t="n">
        <v>36861</v>
      </c>
      <c r="B14" s="24" t="inlineStr">
        <is>
          <t>2000-Q4</t>
        </is>
      </c>
      <c r="C14" s="32">
        <f>(((VLOOKUP(B14,'Data qoq'!$A:$AT,MATCH($C$1,'Data qoq'!$A$1:$AT$1,),))/100+1)^4)-1</f>
        <v/>
      </c>
      <c r="D14" s="32">
        <f>(((VLOOKUP(B14,'Data qoq'!$A:$AT,MATCH($D$1,'Data qoq'!$A$1:$AT$1,),))/100+1)^4)-1</f>
        <v/>
      </c>
      <c r="E14" s="32">
        <f>(((VLOOKUP(B14,'Data qoq'!$A:$AT,MATCH($E$1,'Data qoq'!$A$1:$AT$1,),))/100+1)^4)-1</f>
        <v/>
      </c>
      <c r="F14" s="32">
        <f>(((VLOOKUP(B14,'Data qoq'!$A:$AT,MATCH($F$1,'Data qoq'!$A$1:$AT$1,),))/100+1)^4)-1</f>
        <v/>
      </c>
      <c r="G14" s="32">
        <f>(((VLOOKUP(B14,'Data qoq'!$A:$AT,MATCH($G$1,'Data qoq'!$A$1:$AT$1,),))/100+1)^4)-1</f>
        <v/>
      </c>
      <c r="H14" s="32">
        <f>(((VLOOKUP(B14,'Data qoq'!$A:$AT,MATCH($H$1,'Data qoq'!$A$1:$AT$1,),))/100+1)^4)-1</f>
        <v/>
      </c>
      <c r="I14" s="32">
        <f>(((VLOOKUP(B14,'Data qoq'!$A:$AT,MATCH($I$1,'Data qoq'!$A$1:$AT$1,),))/100+1)^4)-1</f>
        <v/>
      </c>
      <c r="J14" s="32">
        <f>(((VLOOKUP(B14,'Data qoq'!$A:$AT,MATCH($J$1,'Data qoq'!$A$1:$AT$1,),))/100+1)^4)-1</f>
        <v/>
      </c>
      <c r="K14" s="32">
        <f>(((VLOOKUP(B14,'Data qoq'!$A:$AT,MATCH($K$1,'Data qoq'!$A$1:$AT$1,),))/100+1)^4)-1</f>
        <v/>
      </c>
      <c r="L14" s="32">
        <f>(((VLOOKUP(B14,'Data qoq'!$A:$AT,MATCH($L$1,'Data qoq'!$A$1:$AT$1,),))/100+1)^4)-1</f>
        <v/>
      </c>
      <c r="M14" s="32">
        <f>(((VLOOKUP(B14,'Data qoq'!$A:$AT,MATCH($M$1,'Data qoq'!$A$1:$AT$1,),))/100+1)^4)-1</f>
        <v/>
      </c>
      <c r="N14" s="32">
        <f>(((VLOOKUP(B14,'Data qoq'!$A:$AT,MATCH($N$1,'Data qoq'!$A$1:$AT$1,),))/100+1)^4)-1</f>
        <v/>
      </c>
      <c r="O14" s="32">
        <f>(((VLOOKUP(B14,'Data qoq'!$A:$AT,MATCH($O$1,'Data qoq'!$A$1:$AT$1,),))/100+1)^4)-1</f>
        <v/>
      </c>
      <c r="P14" s="32">
        <f>(((VLOOKUP(B14,'Data qoq'!$A:$AT,MATCH($P$1,'Data qoq'!$A$1:$AT$1,),))/100+1)^4)-1</f>
        <v/>
      </c>
      <c r="Q14" s="32">
        <f>(((VLOOKUP(B14,'Data qoq'!$A:$AT,MATCH($Q$1,'Data qoq'!$A$1:$AT$1,),))/100+1)^4)-1</f>
        <v/>
      </c>
      <c r="R14" s="32">
        <f>(((VLOOKUP(B14,'Data qoq'!$A:$AT,MATCH($R$1,'Data qoq'!$A$1:$AT$1,),))/100+1)^4)-1</f>
        <v/>
      </c>
      <c r="S14" s="32">
        <f>(((VLOOKUP(B14,'Data qoq'!$A:$AT,MATCH($S$1,'Data qoq'!$A$1:$AT$1,),))/100+1)^4)-1</f>
        <v/>
      </c>
      <c r="T14" s="32">
        <f>(((VLOOKUP(B14,'Data qoq'!$A:$AT,MATCH($T$1,'Data qoq'!$A$1:$AT$1,),))/100+1)^4)-1</f>
        <v/>
      </c>
      <c r="U14" s="32">
        <f>(((VLOOKUP(B14,'Data qoq'!$A:$AT,MATCH($U$1,'Data qoq'!$A$1:$AT$1,),))/100+1)^4)-1</f>
        <v/>
      </c>
      <c r="V14" s="32">
        <f>(((VLOOKUP(B14,'Data qoq'!$A:$AT,MATCH($V$1,'Data qoq'!$A$1:$AT$1,),))/100+1)^4)-1</f>
        <v/>
      </c>
      <c r="W14" s="32">
        <f>(((VLOOKUP(B14,'Data qoq'!$A:$AT,MATCH($W$1,'Data qoq'!$A$1:$AT$1,),))/100+1)^4)-1</f>
        <v/>
      </c>
      <c r="X14" s="32">
        <f>(((VLOOKUP(B14,'Data qoq'!$A:$AT,MATCH($X$1,'Data qoq'!$A$1:$AT$1,),))/100+1)^4)-1</f>
        <v/>
      </c>
      <c r="Y14" s="32">
        <f>(((VLOOKUP(B14,'Data qoq'!$A:$AT,MATCH($Y$1,'Data qoq'!$A$1:$AT$1,),))/100+1)^4)-1</f>
        <v/>
      </c>
      <c r="Z14" s="32">
        <f>(((VLOOKUP(B14,'Data qoq'!$A:$AU,MATCH($Z$1,'Data qoq'!$A$1:$AU$1,),))/100+1)^4)-1</f>
        <v/>
      </c>
      <c r="AA14" s="32">
        <f>(((VLOOKUP(B14,'Data qoq'!$A:$AU,MATCH($AA$1,'Data qoq'!$A$1:$AU$1,),))/100+1)^4)-1</f>
        <v/>
      </c>
      <c r="AC14" s="26">
        <f>B14</f>
        <v/>
      </c>
      <c r="AD14" s="31">
        <f>(VLOOKUP(AC14,B:Y,MATCH($AE$6,$B$1:$Y$1,),))-(VLOOKUP(AC14,B:Y,MATCH($AE$7,$B$1:$Y$1,),))</f>
        <v/>
      </c>
      <c r="AE14" s="27" t="n"/>
    </row>
    <row r="15" hidden="1" s="68">
      <c r="A15" s="30" t="n">
        <v>36951</v>
      </c>
      <c r="B15" s="24" t="inlineStr">
        <is>
          <t>2001-Q1</t>
        </is>
      </c>
      <c r="C15" s="32">
        <f>(((VLOOKUP(B15,'Data qoq'!$A:$AT,MATCH($C$1,'Data qoq'!$A$1:$AT$1,),))/100+1)^4)-1</f>
        <v/>
      </c>
      <c r="D15" s="32">
        <f>(((VLOOKUP(B15,'Data qoq'!$A:$AT,MATCH($D$1,'Data qoq'!$A$1:$AT$1,),))/100+1)^4)-1</f>
        <v/>
      </c>
      <c r="E15" s="32">
        <f>(((VLOOKUP(B15,'Data qoq'!$A:$AT,MATCH($E$1,'Data qoq'!$A$1:$AT$1,),))/100+1)^4)-1</f>
        <v/>
      </c>
      <c r="F15" s="32">
        <f>(((VLOOKUP(B15,'Data qoq'!$A:$AT,MATCH($F$1,'Data qoq'!$A$1:$AT$1,),))/100+1)^4)-1</f>
        <v/>
      </c>
      <c r="G15" s="32">
        <f>(((VLOOKUP(B15,'Data qoq'!$A:$AT,MATCH($G$1,'Data qoq'!$A$1:$AT$1,),))/100+1)^4)-1</f>
        <v/>
      </c>
      <c r="H15" s="32">
        <f>(((VLOOKUP(B15,'Data qoq'!$A:$AT,MATCH($H$1,'Data qoq'!$A$1:$AT$1,),))/100+1)^4)-1</f>
        <v/>
      </c>
      <c r="I15" s="32">
        <f>(((VLOOKUP(B15,'Data qoq'!$A:$AT,MATCH($I$1,'Data qoq'!$A$1:$AT$1,),))/100+1)^4)-1</f>
        <v/>
      </c>
      <c r="J15" s="32">
        <f>(((VLOOKUP(B15,'Data qoq'!$A:$AT,MATCH($J$1,'Data qoq'!$A$1:$AT$1,),))/100+1)^4)-1</f>
        <v/>
      </c>
      <c r="K15" s="32">
        <f>(((VLOOKUP(B15,'Data qoq'!$A:$AT,MATCH($K$1,'Data qoq'!$A$1:$AT$1,),))/100+1)^4)-1</f>
        <v/>
      </c>
      <c r="L15" s="32">
        <f>(((VLOOKUP(B15,'Data qoq'!$A:$AT,MATCH($L$1,'Data qoq'!$A$1:$AT$1,),))/100+1)^4)-1</f>
        <v/>
      </c>
      <c r="M15" s="32">
        <f>(((VLOOKUP(B15,'Data qoq'!$A:$AT,MATCH($M$1,'Data qoq'!$A$1:$AT$1,),))/100+1)^4)-1</f>
        <v/>
      </c>
      <c r="N15" s="32">
        <f>(((VLOOKUP(B15,'Data qoq'!$A:$AT,MATCH($N$1,'Data qoq'!$A$1:$AT$1,),))/100+1)^4)-1</f>
        <v/>
      </c>
      <c r="O15" s="32">
        <f>(((VLOOKUP(B15,'Data qoq'!$A:$AT,MATCH($O$1,'Data qoq'!$A$1:$AT$1,),))/100+1)^4)-1</f>
        <v/>
      </c>
      <c r="P15" s="32">
        <f>(((VLOOKUP(B15,'Data qoq'!$A:$AT,MATCH($P$1,'Data qoq'!$A$1:$AT$1,),))/100+1)^4)-1</f>
        <v/>
      </c>
      <c r="Q15" s="32">
        <f>(((VLOOKUP(B15,'Data qoq'!$A:$AT,MATCH($Q$1,'Data qoq'!$A$1:$AT$1,),))/100+1)^4)-1</f>
        <v/>
      </c>
      <c r="R15" s="32">
        <f>(((VLOOKUP(B15,'Data qoq'!$A:$AT,MATCH($R$1,'Data qoq'!$A$1:$AT$1,),))/100+1)^4)-1</f>
        <v/>
      </c>
      <c r="S15" s="32">
        <f>(((VLOOKUP(B15,'Data qoq'!$A:$AT,MATCH($S$1,'Data qoq'!$A$1:$AT$1,),))/100+1)^4)-1</f>
        <v/>
      </c>
      <c r="T15" s="32">
        <f>(((VLOOKUP(B15,'Data qoq'!$A:$AT,MATCH($T$1,'Data qoq'!$A$1:$AT$1,),))/100+1)^4)-1</f>
        <v/>
      </c>
      <c r="U15" s="32">
        <f>(((VLOOKUP(B15,'Data qoq'!$A:$AT,MATCH($U$1,'Data qoq'!$A$1:$AT$1,),))/100+1)^4)-1</f>
        <v/>
      </c>
      <c r="V15" s="32">
        <f>(((VLOOKUP(B15,'Data qoq'!$A:$AT,MATCH($V$1,'Data qoq'!$A$1:$AT$1,),))/100+1)^4)-1</f>
        <v/>
      </c>
      <c r="W15" s="32">
        <f>(((VLOOKUP(B15,'Data qoq'!$A:$AT,MATCH($W$1,'Data qoq'!$A$1:$AT$1,),))/100+1)^4)-1</f>
        <v/>
      </c>
      <c r="X15" s="32">
        <f>(((VLOOKUP(B15,'Data qoq'!$A:$AT,MATCH($X$1,'Data qoq'!$A$1:$AT$1,),))/100+1)^4)-1</f>
        <v/>
      </c>
      <c r="Y15" s="32">
        <f>(((VLOOKUP(B15,'Data qoq'!$A:$AT,MATCH($Y$1,'Data qoq'!$A$1:$AT$1,),))/100+1)^4)-1</f>
        <v/>
      </c>
      <c r="Z15" s="32">
        <f>(((VLOOKUP(B15,'Data qoq'!$A:$AU,MATCH($Z$1,'Data qoq'!$A$1:$AU$1,),))/100+1)^4)-1</f>
        <v/>
      </c>
      <c r="AA15" s="32">
        <f>(((VLOOKUP(B15,'Data qoq'!$A:$AU,MATCH($AA$1,'Data qoq'!$A$1:$AU$1,),))/100+1)^4)-1</f>
        <v/>
      </c>
      <c r="AC15" s="26">
        <f>B15</f>
        <v/>
      </c>
      <c r="AD15" s="31">
        <f>(VLOOKUP(AC15,B:Y,MATCH($AE$6,$B$1:$Y$1,),))-(VLOOKUP(AC15,B:Y,MATCH($AE$7,$B$1:$Y$1,),))</f>
        <v/>
      </c>
      <c r="AE15" s="27" t="n"/>
    </row>
    <row r="16" hidden="1" s="68">
      <c r="A16" s="30" t="n">
        <v>37043</v>
      </c>
      <c r="B16" s="24" t="inlineStr">
        <is>
          <t>2001-Q2</t>
        </is>
      </c>
      <c r="C16" s="32">
        <f>(((VLOOKUP(B16,'Data qoq'!$A:$AT,MATCH($C$1,'Data qoq'!$A$1:$AT$1,),))/100+1)^4)-1</f>
        <v/>
      </c>
      <c r="D16" s="32">
        <f>(((VLOOKUP(B16,'Data qoq'!$A:$AT,MATCH($D$1,'Data qoq'!$A$1:$AT$1,),))/100+1)^4)-1</f>
        <v/>
      </c>
      <c r="E16" s="32">
        <f>(((VLOOKUP(B16,'Data qoq'!$A:$AT,MATCH($E$1,'Data qoq'!$A$1:$AT$1,),))/100+1)^4)-1</f>
        <v/>
      </c>
      <c r="F16" s="32">
        <f>(((VLOOKUP(B16,'Data qoq'!$A:$AT,MATCH($F$1,'Data qoq'!$A$1:$AT$1,),))/100+1)^4)-1</f>
        <v/>
      </c>
      <c r="G16" s="32">
        <f>(((VLOOKUP(B16,'Data qoq'!$A:$AT,MATCH($G$1,'Data qoq'!$A$1:$AT$1,),))/100+1)^4)-1</f>
        <v/>
      </c>
      <c r="H16" s="32">
        <f>(((VLOOKUP(B16,'Data qoq'!$A:$AT,MATCH($H$1,'Data qoq'!$A$1:$AT$1,),))/100+1)^4)-1</f>
        <v/>
      </c>
      <c r="I16" s="32">
        <f>(((VLOOKUP(B16,'Data qoq'!$A:$AT,MATCH($I$1,'Data qoq'!$A$1:$AT$1,),))/100+1)^4)-1</f>
        <v/>
      </c>
      <c r="J16" s="32">
        <f>(((VLOOKUP(B16,'Data qoq'!$A:$AT,MATCH($J$1,'Data qoq'!$A$1:$AT$1,),))/100+1)^4)-1</f>
        <v/>
      </c>
      <c r="K16" s="32">
        <f>(((VLOOKUP(B16,'Data qoq'!$A:$AT,MATCH($K$1,'Data qoq'!$A$1:$AT$1,),))/100+1)^4)-1</f>
        <v/>
      </c>
      <c r="L16" s="32">
        <f>(((VLOOKUP(B16,'Data qoq'!$A:$AT,MATCH($L$1,'Data qoq'!$A$1:$AT$1,),))/100+1)^4)-1</f>
        <v/>
      </c>
      <c r="M16" s="32">
        <f>(((VLOOKUP(B16,'Data qoq'!$A:$AT,MATCH($M$1,'Data qoq'!$A$1:$AT$1,),))/100+1)^4)-1</f>
        <v/>
      </c>
      <c r="N16" s="32">
        <f>(((VLOOKUP(B16,'Data qoq'!$A:$AT,MATCH($N$1,'Data qoq'!$A$1:$AT$1,),))/100+1)^4)-1</f>
        <v/>
      </c>
      <c r="O16" s="32">
        <f>(((VLOOKUP(B16,'Data qoq'!$A:$AT,MATCH($O$1,'Data qoq'!$A$1:$AT$1,),))/100+1)^4)-1</f>
        <v/>
      </c>
      <c r="P16" s="32">
        <f>(((VLOOKUP(B16,'Data qoq'!$A:$AT,MATCH($P$1,'Data qoq'!$A$1:$AT$1,),))/100+1)^4)-1</f>
        <v/>
      </c>
      <c r="Q16" s="32">
        <f>(((VLOOKUP(B16,'Data qoq'!$A:$AT,MATCH($Q$1,'Data qoq'!$A$1:$AT$1,),))/100+1)^4)-1</f>
        <v/>
      </c>
      <c r="R16" s="32">
        <f>(((VLOOKUP(B16,'Data qoq'!$A:$AT,MATCH($R$1,'Data qoq'!$A$1:$AT$1,),))/100+1)^4)-1</f>
        <v/>
      </c>
      <c r="S16" s="32">
        <f>(((VLOOKUP(B16,'Data qoq'!$A:$AT,MATCH($S$1,'Data qoq'!$A$1:$AT$1,),))/100+1)^4)-1</f>
        <v/>
      </c>
      <c r="T16" s="32">
        <f>(((VLOOKUP(B16,'Data qoq'!$A:$AT,MATCH($T$1,'Data qoq'!$A$1:$AT$1,),))/100+1)^4)-1</f>
        <v/>
      </c>
      <c r="U16" s="32">
        <f>(((VLOOKUP(B16,'Data qoq'!$A:$AT,MATCH($U$1,'Data qoq'!$A$1:$AT$1,),))/100+1)^4)-1</f>
        <v/>
      </c>
      <c r="V16" s="32">
        <f>(((VLOOKUP(B16,'Data qoq'!$A:$AT,MATCH($V$1,'Data qoq'!$A$1:$AT$1,),))/100+1)^4)-1</f>
        <v/>
      </c>
      <c r="W16" s="32">
        <f>(((VLOOKUP(B16,'Data qoq'!$A:$AT,MATCH($W$1,'Data qoq'!$A$1:$AT$1,),))/100+1)^4)-1</f>
        <v/>
      </c>
      <c r="X16" s="32">
        <f>(((VLOOKUP(B16,'Data qoq'!$A:$AT,MATCH($X$1,'Data qoq'!$A$1:$AT$1,),))/100+1)^4)-1</f>
        <v/>
      </c>
      <c r="Y16" s="32">
        <f>(((VLOOKUP(B16,'Data qoq'!$A:$AT,MATCH($Y$1,'Data qoq'!$A$1:$AT$1,),))/100+1)^4)-1</f>
        <v/>
      </c>
      <c r="Z16" s="32">
        <f>(((VLOOKUP(B16,'Data qoq'!$A:$AU,MATCH($Z$1,'Data qoq'!$A$1:$AU$1,),))/100+1)^4)-1</f>
        <v/>
      </c>
      <c r="AA16" s="32">
        <f>(((VLOOKUP(B16,'Data qoq'!$A:$AU,MATCH($AA$1,'Data qoq'!$A$1:$AU$1,),))/100+1)^4)-1</f>
        <v/>
      </c>
      <c r="AC16" s="26">
        <f>B16</f>
        <v/>
      </c>
      <c r="AD16" s="31">
        <f>(VLOOKUP(AC16,B:Y,MATCH($AE$6,$B$1:$Y$1,),))-(VLOOKUP(AC16,B:Y,MATCH($AE$7,$B$1:$Y$1,),))</f>
        <v/>
      </c>
      <c r="AE16" s="27" t="n"/>
    </row>
    <row r="17" hidden="1" s="68">
      <c r="A17" s="30" t="n">
        <v>37135</v>
      </c>
      <c r="B17" s="24" t="inlineStr">
        <is>
          <t>2001-Q3</t>
        </is>
      </c>
      <c r="C17" s="32">
        <f>(((VLOOKUP(B17,'Data qoq'!$A:$AT,MATCH($C$1,'Data qoq'!$A$1:$AT$1,),))/100+1)^4)-1</f>
        <v/>
      </c>
      <c r="D17" s="32">
        <f>(((VLOOKUP(B17,'Data qoq'!$A:$AT,MATCH($D$1,'Data qoq'!$A$1:$AT$1,),))/100+1)^4)-1</f>
        <v/>
      </c>
      <c r="E17" s="32">
        <f>(((VLOOKUP(B17,'Data qoq'!$A:$AT,MATCH($E$1,'Data qoq'!$A$1:$AT$1,),))/100+1)^4)-1</f>
        <v/>
      </c>
      <c r="F17" s="32">
        <f>(((VLOOKUP(B17,'Data qoq'!$A:$AT,MATCH($F$1,'Data qoq'!$A$1:$AT$1,),))/100+1)^4)-1</f>
        <v/>
      </c>
      <c r="G17" s="32">
        <f>(((VLOOKUP(B17,'Data qoq'!$A:$AT,MATCH($G$1,'Data qoq'!$A$1:$AT$1,),))/100+1)^4)-1</f>
        <v/>
      </c>
      <c r="H17" s="32">
        <f>(((VLOOKUP(B17,'Data qoq'!$A:$AT,MATCH($H$1,'Data qoq'!$A$1:$AT$1,),))/100+1)^4)-1</f>
        <v/>
      </c>
      <c r="I17" s="32">
        <f>(((VLOOKUP(B17,'Data qoq'!$A:$AT,MATCH($I$1,'Data qoq'!$A$1:$AT$1,),))/100+1)^4)-1</f>
        <v/>
      </c>
      <c r="J17" s="32">
        <f>(((VLOOKUP(B17,'Data qoq'!$A:$AT,MATCH($J$1,'Data qoq'!$A$1:$AT$1,),))/100+1)^4)-1</f>
        <v/>
      </c>
      <c r="K17" s="32">
        <f>(((VLOOKUP(B17,'Data qoq'!$A:$AT,MATCH($K$1,'Data qoq'!$A$1:$AT$1,),))/100+1)^4)-1</f>
        <v/>
      </c>
      <c r="L17" s="32">
        <f>(((VLOOKUP(B17,'Data qoq'!$A:$AT,MATCH($L$1,'Data qoq'!$A$1:$AT$1,),))/100+1)^4)-1</f>
        <v/>
      </c>
      <c r="M17" s="32">
        <f>(((VLOOKUP(B17,'Data qoq'!$A:$AT,MATCH($M$1,'Data qoq'!$A$1:$AT$1,),))/100+1)^4)-1</f>
        <v/>
      </c>
      <c r="N17" s="32">
        <f>(((VLOOKUP(B17,'Data qoq'!$A:$AT,MATCH($N$1,'Data qoq'!$A$1:$AT$1,),))/100+1)^4)-1</f>
        <v/>
      </c>
      <c r="O17" s="32">
        <f>(((VLOOKUP(B17,'Data qoq'!$A:$AT,MATCH($O$1,'Data qoq'!$A$1:$AT$1,),))/100+1)^4)-1</f>
        <v/>
      </c>
      <c r="P17" s="32">
        <f>(((VLOOKUP(B17,'Data qoq'!$A:$AT,MATCH($P$1,'Data qoq'!$A$1:$AT$1,),))/100+1)^4)-1</f>
        <v/>
      </c>
      <c r="Q17" s="32">
        <f>(((VLOOKUP(B17,'Data qoq'!$A:$AT,MATCH($Q$1,'Data qoq'!$A$1:$AT$1,),))/100+1)^4)-1</f>
        <v/>
      </c>
      <c r="R17" s="32">
        <f>(((VLOOKUP(B17,'Data qoq'!$A:$AT,MATCH($R$1,'Data qoq'!$A$1:$AT$1,),))/100+1)^4)-1</f>
        <v/>
      </c>
      <c r="S17" s="32">
        <f>(((VLOOKUP(B17,'Data qoq'!$A:$AT,MATCH($S$1,'Data qoq'!$A$1:$AT$1,),))/100+1)^4)-1</f>
        <v/>
      </c>
      <c r="T17" s="32">
        <f>(((VLOOKUP(B17,'Data qoq'!$A:$AT,MATCH($T$1,'Data qoq'!$A$1:$AT$1,),))/100+1)^4)-1</f>
        <v/>
      </c>
      <c r="U17" s="32">
        <f>(((VLOOKUP(B17,'Data qoq'!$A:$AT,MATCH($U$1,'Data qoq'!$A$1:$AT$1,),))/100+1)^4)-1</f>
        <v/>
      </c>
      <c r="V17" s="32">
        <f>(((VLOOKUP(B17,'Data qoq'!$A:$AT,MATCH($V$1,'Data qoq'!$A$1:$AT$1,),))/100+1)^4)-1</f>
        <v/>
      </c>
      <c r="W17" s="32">
        <f>(((VLOOKUP(B17,'Data qoq'!$A:$AT,MATCH($W$1,'Data qoq'!$A$1:$AT$1,),))/100+1)^4)-1</f>
        <v/>
      </c>
      <c r="X17" s="32">
        <f>(((VLOOKUP(B17,'Data qoq'!$A:$AT,MATCH($X$1,'Data qoq'!$A$1:$AT$1,),))/100+1)^4)-1</f>
        <v/>
      </c>
      <c r="Y17" s="32">
        <f>(((VLOOKUP(B17,'Data qoq'!$A:$AT,MATCH($Y$1,'Data qoq'!$A$1:$AT$1,),))/100+1)^4)-1</f>
        <v/>
      </c>
      <c r="Z17" s="32">
        <f>(((VLOOKUP(B17,'Data qoq'!$A:$AU,MATCH($Z$1,'Data qoq'!$A$1:$AU$1,),))/100+1)^4)-1</f>
        <v/>
      </c>
      <c r="AA17" s="32">
        <f>(((VLOOKUP(B17,'Data qoq'!$A:$AU,MATCH($AA$1,'Data qoq'!$A$1:$AU$1,),))/100+1)^4)-1</f>
        <v/>
      </c>
      <c r="AC17" s="26">
        <f>B17</f>
        <v/>
      </c>
      <c r="AD17" s="31">
        <f>(VLOOKUP(AC17,B:Y,MATCH($AE$6,$B$1:$Y$1,),))-(VLOOKUP(AC17,B:Y,MATCH($AE$7,$B$1:$Y$1,),))</f>
        <v/>
      </c>
      <c r="AE17" s="27" t="n"/>
    </row>
    <row r="18" hidden="1" s="68">
      <c r="A18" s="30" t="n">
        <v>37226</v>
      </c>
      <c r="B18" s="24" t="inlineStr">
        <is>
          <t>2001-Q4</t>
        </is>
      </c>
      <c r="C18" s="32">
        <f>(((VLOOKUP(B18,'Data qoq'!$A:$AT,MATCH($C$1,'Data qoq'!$A$1:$AT$1,),))/100+1)^4)-1</f>
        <v/>
      </c>
      <c r="D18" s="32">
        <f>(((VLOOKUP(B18,'Data qoq'!$A:$AT,MATCH($D$1,'Data qoq'!$A$1:$AT$1,),))/100+1)^4)-1</f>
        <v/>
      </c>
      <c r="E18" s="32">
        <f>(((VLOOKUP(B18,'Data qoq'!$A:$AT,MATCH($E$1,'Data qoq'!$A$1:$AT$1,),))/100+1)^4)-1</f>
        <v/>
      </c>
      <c r="F18" s="32">
        <f>(((VLOOKUP(B18,'Data qoq'!$A:$AT,MATCH($F$1,'Data qoq'!$A$1:$AT$1,),))/100+1)^4)-1</f>
        <v/>
      </c>
      <c r="G18" s="32">
        <f>(((VLOOKUP(B18,'Data qoq'!$A:$AT,MATCH($G$1,'Data qoq'!$A$1:$AT$1,),))/100+1)^4)-1</f>
        <v/>
      </c>
      <c r="H18" s="32">
        <f>(((VLOOKUP(B18,'Data qoq'!$A:$AT,MATCH($H$1,'Data qoq'!$A$1:$AT$1,),))/100+1)^4)-1</f>
        <v/>
      </c>
      <c r="I18" s="32">
        <f>(((VLOOKUP(B18,'Data qoq'!$A:$AT,MATCH($I$1,'Data qoq'!$A$1:$AT$1,),))/100+1)^4)-1</f>
        <v/>
      </c>
      <c r="J18" s="32">
        <f>(((VLOOKUP(B18,'Data qoq'!$A:$AT,MATCH($J$1,'Data qoq'!$A$1:$AT$1,),))/100+1)^4)-1</f>
        <v/>
      </c>
      <c r="K18" s="32">
        <f>(((VLOOKUP(B18,'Data qoq'!$A:$AT,MATCH($K$1,'Data qoq'!$A$1:$AT$1,),))/100+1)^4)-1</f>
        <v/>
      </c>
      <c r="L18" s="32">
        <f>(((VLOOKUP(B18,'Data qoq'!$A:$AT,MATCH($L$1,'Data qoq'!$A$1:$AT$1,),))/100+1)^4)-1</f>
        <v/>
      </c>
      <c r="M18" s="32">
        <f>(((VLOOKUP(B18,'Data qoq'!$A:$AT,MATCH($M$1,'Data qoq'!$A$1:$AT$1,),))/100+1)^4)-1</f>
        <v/>
      </c>
      <c r="N18" s="32">
        <f>(((VLOOKUP(B18,'Data qoq'!$A:$AT,MATCH($N$1,'Data qoq'!$A$1:$AT$1,),))/100+1)^4)-1</f>
        <v/>
      </c>
      <c r="O18" s="32">
        <f>(((VLOOKUP(B18,'Data qoq'!$A:$AT,MATCH($O$1,'Data qoq'!$A$1:$AT$1,),))/100+1)^4)-1</f>
        <v/>
      </c>
      <c r="P18" s="32">
        <f>(((VLOOKUP(B18,'Data qoq'!$A:$AT,MATCH($P$1,'Data qoq'!$A$1:$AT$1,),))/100+1)^4)-1</f>
        <v/>
      </c>
      <c r="Q18" s="32">
        <f>(((VLOOKUP(B18,'Data qoq'!$A:$AT,MATCH($Q$1,'Data qoq'!$A$1:$AT$1,),))/100+1)^4)-1</f>
        <v/>
      </c>
      <c r="R18" s="32">
        <f>(((VLOOKUP(B18,'Data qoq'!$A:$AT,MATCH($R$1,'Data qoq'!$A$1:$AT$1,),))/100+1)^4)-1</f>
        <v/>
      </c>
      <c r="S18" s="32">
        <f>(((VLOOKUP(B18,'Data qoq'!$A:$AT,MATCH($S$1,'Data qoq'!$A$1:$AT$1,),))/100+1)^4)-1</f>
        <v/>
      </c>
      <c r="T18" s="32">
        <f>(((VLOOKUP(B18,'Data qoq'!$A:$AT,MATCH($T$1,'Data qoq'!$A$1:$AT$1,),))/100+1)^4)-1</f>
        <v/>
      </c>
      <c r="U18" s="32">
        <f>(((VLOOKUP(B18,'Data qoq'!$A:$AT,MATCH($U$1,'Data qoq'!$A$1:$AT$1,),))/100+1)^4)-1</f>
        <v/>
      </c>
      <c r="V18" s="32">
        <f>(((VLOOKUP(B18,'Data qoq'!$A:$AT,MATCH($V$1,'Data qoq'!$A$1:$AT$1,),))/100+1)^4)-1</f>
        <v/>
      </c>
      <c r="W18" s="32">
        <f>(((VLOOKUP(B18,'Data qoq'!$A:$AT,MATCH($W$1,'Data qoq'!$A$1:$AT$1,),))/100+1)^4)-1</f>
        <v/>
      </c>
      <c r="X18" s="32">
        <f>(((VLOOKUP(B18,'Data qoq'!$A:$AT,MATCH($X$1,'Data qoq'!$A$1:$AT$1,),))/100+1)^4)-1</f>
        <v/>
      </c>
      <c r="Y18" s="32">
        <f>(((VLOOKUP(B18,'Data qoq'!$A:$AT,MATCH($Y$1,'Data qoq'!$A$1:$AT$1,),))/100+1)^4)-1</f>
        <v/>
      </c>
      <c r="Z18" s="32">
        <f>(((VLOOKUP(B18,'Data qoq'!$A:$AU,MATCH($Z$1,'Data qoq'!$A$1:$AU$1,),))/100+1)^4)-1</f>
        <v/>
      </c>
      <c r="AA18" s="32">
        <f>(((VLOOKUP(B18,'Data qoq'!$A:$AU,MATCH($AA$1,'Data qoq'!$A$1:$AU$1,),))/100+1)^4)-1</f>
        <v/>
      </c>
      <c r="AC18" s="26">
        <f>B18</f>
        <v/>
      </c>
      <c r="AD18" s="31">
        <f>(VLOOKUP(AC18,B:Y,MATCH($AE$6,$B$1:$Y$1,),))-(VLOOKUP(AC18,B:Y,MATCH($AE$7,$B$1:$Y$1,),))</f>
        <v/>
      </c>
      <c r="AE18" s="27" t="n"/>
    </row>
    <row r="19" hidden="1" s="68">
      <c r="A19" s="30" t="n">
        <v>37316</v>
      </c>
      <c r="B19" s="24" t="inlineStr">
        <is>
          <t>2002-Q1</t>
        </is>
      </c>
      <c r="C19" s="32">
        <f>(((VLOOKUP(B19,'Data qoq'!$A:$AT,MATCH($C$1,'Data qoq'!$A$1:$AT$1,),))/100+1)^4)-1</f>
        <v/>
      </c>
      <c r="D19" s="32">
        <f>(((VLOOKUP(B19,'Data qoq'!$A:$AT,MATCH($D$1,'Data qoq'!$A$1:$AT$1,),))/100+1)^4)-1</f>
        <v/>
      </c>
      <c r="E19" s="32">
        <f>(((VLOOKUP(B19,'Data qoq'!$A:$AT,MATCH($E$1,'Data qoq'!$A$1:$AT$1,),))/100+1)^4)-1</f>
        <v/>
      </c>
      <c r="F19" s="32">
        <f>(((VLOOKUP(B19,'Data qoq'!$A:$AT,MATCH($F$1,'Data qoq'!$A$1:$AT$1,),))/100+1)^4)-1</f>
        <v/>
      </c>
      <c r="G19" s="32">
        <f>(((VLOOKUP(B19,'Data qoq'!$A:$AT,MATCH($G$1,'Data qoq'!$A$1:$AT$1,),))/100+1)^4)-1</f>
        <v/>
      </c>
      <c r="H19" s="32">
        <f>(((VLOOKUP(B19,'Data qoq'!$A:$AT,MATCH($H$1,'Data qoq'!$A$1:$AT$1,),))/100+1)^4)-1</f>
        <v/>
      </c>
      <c r="I19" s="32">
        <f>(((VLOOKUP(B19,'Data qoq'!$A:$AT,MATCH($I$1,'Data qoq'!$A$1:$AT$1,),))/100+1)^4)-1</f>
        <v/>
      </c>
      <c r="J19" s="32">
        <f>(((VLOOKUP(B19,'Data qoq'!$A:$AT,MATCH($J$1,'Data qoq'!$A$1:$AT$1,),))/100+1)^4)-1</f>
        <v/>
      </c>
      <c r="K19" s="32">
        <f>(((VLOOKUP(B19,'Data qoq'!$A:$AT,MATCH($K$1,'Data qoq'!$A$1:$AT$1,),))/100+1)^4)-1</f>
        <v/>
      </c>
      <c r="L19" s="32">
        <f>(((VLOOKUP(B19,'Data qoq'!$A:$AT,MATCH($L$1,'Data qoq'!$A$1:$AT$1,),))/100+1)^4)-1</f>
        <v/>
      </c>
      <c r="M19" s="32">
        <f>(((VLOOKUP(B19,'Data qoq'!$A:$AT,MATCH($M$1,'Data qoq'!$A$1:$AT$1,),))/100+1)^4)-1</f>
        <v/>
      </c>
      <c r="N19" s="32">
        <f>(((VLOOKUP(B19,'Data qoq'!$A:$AT,MATCH($N$1,'Data qoq'!$A$1:$AT$1,),))/100+1)^4)-1</f>
        <v/>
      </c>
      <c r="O19" s="32">
        <f>(((VLOOKUP(B19,'Data qoq'!$A:$AT,MATCH($O$1,'Data qoq'!$A$1:$AT$1,),))/100+1)^4)-1</f>
        <v/>
      </c>
      <c r="P19" s="32">
        <f>(((VLOOKUP(B19,'Data qoq'!$A:$AT,MATCH($P$1,'Data qoq'!$A$1:$AT$1,),))/100+1)^4)-1</f>
        <v/>
      </c>
      <c r="Q19" s="32">
        <f>(((VLOOKUP(B19,'Data qoq'!$A:$AT,MATCH($Q$1,'Data qoq'!$A$1:$AT$1,),))/100+1)^4)-1</f>
        <v/>
      </c>
      <c r="R19" s="32">
        <f>(((VLOOKUP(B19,'Data qoq'!$A:$AT,MATCH($R$1,'Data qoq'!$A$1:$AT$1,),))/100+1)^4)-1</f>
        <v/>
      </c>
      <c r="S19" s="32">
        <f>(((VLOOKUP(B19,'Data qoq'!$A:$AT,MATCH($S$1,'Data qoq'!$A$1:$AT$1,),))/100+1)^4)-1</f>
        <v/>
      </c>
      <c r="T19" s="32">
        <f>(((VLOOKUP(B19,'Data qoq'!$A:$AT,MATCH($T$1,'Data qoq'!$A$1:$AT$1,),))/100+1)^4)-1</f>
        <v/>
      </c>
      <c r="U19" s="32">
        <f>(((VLOOKUP(B19,'Data qoq'!$A:$AT,MATCH($U$1,'Data qoq'!$A$1:$AT$1,),))/100+1)^4)-1</f>
        <v/>
      </c>
      <c r="V19" s="32">
        <f>(((VLOOKUP(B19,'Data qoq'!$A:$AT,MATCH($V$1,'Data qoq'!$A$1:$AT$1,),))/100+1)^4)-1</f>
        <v/>
      </c>
      <c r="W19" s="32">
        <f>(((VLOOKUP(B19,'Data qoq'!$A:$AT,MATCH($W$1,'Data qoq'!$A$1:$AT$1,),))/100+1)^4)-1</f>
        <v/>
      </c>
      <c r="X19" s="32">
        <f>(((VLOOKUP(B19,'Data qoq'!$A:$AT,MATCH($X$1,'Data qoq'!$A$1:$AT$1,),))/100+1)^4)-1</f>
        <v/>
      </c>
      <c r="Y19" s="32">
        <f>(((VLOOKUP(B19,'Data qoq'!$A:$AT,MATCH($Y$1,'Data qoq'!$A$1:$AT$1,),))/100+1)^4)-1</f>
        <v/>
      </c>
      <c r="Z19" s="32">
        <f>(((VLOOKUP(B19,'Data qoq'!$A:$AU,MATCH($Z$1,'Data qoq'!$A$1:$AU$1,),))/100+1)^4)-1</f>
        <v/>
      </c>
      <c r="AA19" s="32">
        <f>(((VLOOKUP(B19,'Data qoq'!$A:$AU,MATCH($AA$1,'Data qoq'!$A$1:$AU$1,),))/100+1)^4)-1</f>
        <v/>
      </c>
      <c r="AC19" s="26">
        <f>B19</f>
        <v/>
      </c>
      <c r="AD19" s="31">
        <f>(VLOOKUP(AC19,B:Y,MATCH($AE$6,$B$1:$Y$1,),))-(VLOOKUP(AC19,B:Y,MATCH($AE$7,$B$1:$Y$1,),))</f>
        <v/>
      </c>
      <c r="AE19" s="27" t="n"/>
    </row>
    <row r="20" hidden="1" s="68">
      <c r="A20" s="30" t="n">
        <v>37408</v>
      </c>
      <c r="B20" s="24" t="inlineStr">
        <is>
          <t>2002-Q2</t>
        </is>
      </c>
      <c r="C20" s="32">
        <f>(((VLOOKUP(B20,'Data qoq'!$A:$AT,MATCH($C$1,'Data qoq'!$A$1:$AT$1,),))/100+1)^4)-1</f>
        <v/>
      </c>
      <c r="D20" s="32">
        <f>(((VLOOKUP(B20,'Data qoq'!$A:$AT,MATCH($D$1,'Data qoq'!$A$1:$AT$1,),))/100+1)^4)-1</f>
        <v/>
      </c>
      <c r="E20" s="32">
        <f>(((VLOOKUP(B20,'Data qoq'!$A:$AT,MATCH($E$1,'Data qoq'!$A$1:$AT$1,),))/100+1)^4)-1</f>
        <v/>
      </c>
      <c r="F20" s="32">
        <f>(((VLOOKUP(B20,'Data qoq'!$A:$AT,MATCH($F$1,'Data qoq'!$A$1:$AT$1,),))/100+1)^4)-1</f>
        <v/>
      </c>
      <c r="G20" s="32">
        <f>(((VLOOKUP(B20,'Data qoq'!$A:$AT,MATCH($G$1,'Data qoq'!$A$1:$AT$1,),))/100+1)^4)-1</f>
        <v/>
      </c>
      <c r="H20" s="32">
        <f>(((VLOOKUP(B20,'Data qoq'!$A:$AT,MATCH($H$1,'Data qoq'!$A$1:$AT$1,),))/100+1)^4)-1</f>
        <v/>
      </c>
      <c r="I20" s="32">
        <f>(((VLOOKUP(B20,'Data qoq'!$A:$AT,MATCH($I$1,'Data qoq'!$A$1:$AT$1,),))/100+1)^4)-1</f>
        <v/>
      </c>
      <c r="J20" s="32">
        <f>(((VLOOKUP(B20,'Data qoq'!$A:$AT,MATCH($J$1,'Data qoq'!$A$1:$AT$1,),))/100+1)^4)-1</f>
        <v/>
      </c>
      <c r="K20" s="32">
        <f>(((VLOOKUP(B20,'Data qoq'!$A:$AT,MATCH($K$1,'Data qoq'!$A$1:$AT$1,),))/100+1)^4)-1</f>
        <v/>
      </c>
      <c r="L20" s="32">
        <f>(((VLOOKUP(B20,'Data qoq'!$A:$AT,MATCH($L$1,'Data qoq'!$A$1:$AT$1,),))/100+1)^4)-1</f>
        <v/>
      </c>
      <c r="M20" s="32">
        <f>(((VLOOKUP(B20,'Data qoq'!$A:$AT,MATCH($M$1,'Data qoq'!$A$1:$AT$1,),))/100+1)^4)-1</f>
        <v/>
      </c>
      <c r="N20" s="32">
        <f>(((VLOOKUP(B20,'Data qoq'!$A:$AT,MATCH($N$1,'Data qoq'!$A$1:$AT$1,),))/100+1)^4)-1</f>
        <v/>
      </c>
      <c r="O20" s="32">
        <f>(((VLOOKUP(B20,'Data qoq'!$A:$AT,MATCH($O$1,'Data qoq'!$A$1:$AT$1,),))/100+1)^4)-1</f>
        <v/>
      </c>
      <c r="P20" s="32">
        <f>(((VLOOKUP(B20,'Data qoq'!$A:$AT,MATCH($P$1,'Data qoq'!$A$1:$AT$1,),))/100+1)^4)-1</f>
        <v/>
      </c>
      <c r="Q20" s="32">
        <f>(((VLOOKUP(B20,'Data qoq'!$A:$AT,MATCH($Q$1,'Data qoq'!$A$1:$AT$1,),))/100+1)^4)-1</f>
        <v/>
      </c>
      <c r="R20" s="32">
        <f>(((VLOOKUP(B20,'Data qoq'!$A:$AT,MATCH($R$1,'Data qoq'!$A$1:$AT$1,),))/100+1)^4)-1</f>
        <v/>
      </c>
      <c r="S20" s="32">
        <f>(((VLOOKUP(B20,'Data qoq'!$A:$AT,MATCH($S$1,'Data qoq'!$A$1:$AT$1,),))/100+1)^4)-1</f>
        <v/>
      </c>
      <c r="T20" s="32">
        <f>(((VLOOKUP(B20,'Data qoq'!$A:$AT,MATCH($T$1,'Data qoq'!$A$1:$AT$1,),))/100+1)^4)-1</f>
        <v/>
      </c>
      <c r="U20" s="32">
        <f>(((VLOOKUP(B20,'Data qoq'!$A:$AT,MATCH($U$1,'Data qoq'!$A$1:$AT$1,),))/100+1)^4)-1</f>
        <v/>
      </c>
      <c r="V20" s="32">
        <f>(((VLOOKUP(B20,'Data qoq'!$A:$AT,MATCH($V$1,'Data qoq'!$A$1:$AT$1,),))/100+1)^4)-1</f>
        <v/>
      </c>
      <c r="W20" s="32">
        <f>(((VLOOKUP(B20,'Data qoq'!$A:$AT,MATCH($W$1,'Data qoq'!$A$1:$AT$1,),))/100+1)^4)-1</f>
        <v/>
      </c>
      <c r="X20" s="32">
        <f>(((VLOOKUP(B20,'Data qoq'!$A:$AT,MATCH($X$1,'Data qoq'!$A$1:$AT$1,),))/100+1)^4)-1</f>
        <v/>
      </c>
      <c r="Y20" s="32">
        <f>(((VLOOKUP(B20,'Data qoq'!$A:$AT,MATCH($Y$1,'Data qoq'!$A$1:$AT$1,),))/100+1)^4)-1</f>
        <v/>
      </c>
      <c r="Z20" s="32">
        <f>(((VLOOKUP(B20,'Data qoq'!$A:$AU,MATCH($Z$1,'Data qoq'!$A$1:$AU$1,),))/100+1)^4)-1</f>
        <v/>
      </c>
      <c r="AA20" s="32">
        <f>(((VLOOKUP(B20,'Data qoq'!$A:$AU,MATCH($AA$1,'Data qoq'!$A$1:$AU$1,),))/100+1)^4)-1</f>
        <v/>
      </c>
      <c r="AC20" s="26">
        <f>B20</f>
        <v/>
      </c>
      <c r="AD20" s="31">
        <f>(VLOOKUP(AC20,B:Y,MATCH($AE$6,$B$1:$Y$1,),))-(VLOOKUP(AC20,B:Y,MATCH($AE$7,$B$1:$Y$1,),))</f>
        <v/>
      </c>
      <c r="AE20" s="27" t="n"/>
    </row>
    <row r="21" hidden="1" s="68">
      <c r="A21" s="30" t="n">
        <v>37500</v>
      </c>
      <c r="B21" s="24" t="inlineStr">
        <is>
          <t>2002-Q3</t>
        </is>
      </c>
      <c r="C21" s="32">
        <f>(((VLOOKUP(B21,'Data qoq'!$A:$AT,MATCH($C$1,'Data qoq'!$A$1:$AT$1,),))/100+1)^4)-1</f>
        <v/>
      </c>
      <c r="D21" s="32">
        <f>(((VLOOKUP(B21,'Data qoq'!$A:$AT,MATCH($D$1,'Data qoq'!$A$1:$AT$1,),))/100+1)^4)-1</f>
        <v/>
      </c>
      <c r="E21" s="32">
        <f>(((VLOOKUP(B21,'Data qoq'!$A:$AT,MATCH($E$1,'Data qoq'!$A$1:$AT$1,),))/100+1)^4)-1</f>
        <v/>
      </c>
      <c r="F21" s="32">
        <f>(((VLOOKUP(B21,'Data qoq'!$A:$AT,MATCH($F$1,'Data qoq'!$A$1:$AT$1,),))/100+1)^4)-1</f>
        <v/>
      </c>
      <c r="G21" s="32">
        <f>(((VLOOKUP(B21,'Data qoq'!$A:$AT,MATCH($G$1,'Data qoq'!$A$1:$AT$1,),))/100+1)^4)-1</f>
        <v/>
      </c>
      <c r="H21" s="32">
        <f>(((VLOOKUP(B21,'Data qoq'!$A:$AT,MATCH($H$1,'Data qoq'!$A$1:$AT$1,),))/100+1)^4)-1</f>
        <v/>
      </c>
      <c r="I21" s="32">
        <f>(((VLOOKUP(B21,'Data qoq'!$A:$AT,MATCH($I$1,'Data qoq'!$A$1:$AT$1,),))/100+1)^4)-1</f>
        <v/>
      </c>
      <c r="J21" s="32">
        <f>(((VLOOKUP(B21,'Data qoq'!$A:$AT,MATCH($J$1,'Data qoq'!$A$1:$AT$1,),))/100+1)^4)-1</f>
        <v/>
      </c>
      <c r="K21" s="32">
        <f>(((VLOOKUP(B21,'Data qoq'!$A:$AT,MATCH($K$1,'Data qoq'!$A$1:$AT$1,),))/100+1)^4)-1</f>
        <v/>
      </c>
      <c r="L21" s="32">
        <f>(((VLOOKUP(B21,'Data qoq'!$A:$AT,MATCH($L$1,'Data qoq'!$A$1:$AT$1,),))/100+1)^4)-1</f>
        <v/>
      </c>
      <c r="M21" s="32">
        <f>(((VLOOKUP(B21,'Data qoq'!$A:$AT,MATCH($M$1,'Data qoq'!$A$1:$AT$1,),))/100+1)^4)-1</f>
        <v/>
      </c>
      <c r="N21" s="32">
        <f>(((VLOOKUP(B21,'Data qoq'!$A:$AT,MATCH($N$1,'Data qoq'!$A$1:$AT$1,),))/100+1)^4)-1</f>
        <v/>
      </c>
      <c r="O21" s="32">
        <f>(((VLOOKUP(B21,'Data qoq'!$A:$AT,MATCH($O$1,'Data qoq'!$A$1:$AT$1,),))/100+1)^4)-1</f>
        <v/>
      </c>
      <c r="P21" s="32">
        <f>(((VLOOKUP(B21,'Data qoq'!$A:$AT,MATCH($P$1,'Data qoq'!$A$1:$AT$1,),))/100+1)^4)-1</f>
        <v/>
      </c>
      <c r="Q21" s="32">
        <f>(((VLOOKUP(B21,'Data qoq'!$A:$AT,MATCH($Q$1,'Data qoq'!$A$1:$AT$1,),))/100+1)^4)-1</f>
        <v/>
      </c>
      <c r="R21" s="32">
        <f>(((VLOOKUP(B21,'Data qoq'!$A:$AT,MATCH($R$1,'Data qoq'!$A$1:$AT$1,),))/100+1)^4)-1</f>
        <v/>
      </c>
      <c r="S21" s="32">
        <f>(((VLOOKUP(B21,'Data qoq'!$A:$AT,MATCH($S$1,'Data qoq'!$A$1:$AT$1,),))/100+1)^4)-1</f>
        <v/>
      </c>
      <c r="T21" s="32">
        <f>(((VLOOKUP(B21,'Data qoq'!$A:$AT,MATCH($T$1,'Data qoq'!$A$1:$AT$1,),))/100+1)^4)-1</f>
        <v/>
      </c>
      <c r="U21" s="32">
        <f>(((VLOOKUP(B21,'Data qoq'!$A:$AT,MATCH($U$1,'Data qoq'!$A$1:$AT$1,),))/100+1)^4)-1</f>
        <v/>
      </c>
      <c r="V21" s="32">
        <f>(((VLOOKUP(B21,'Data qoq'!$A:$AT,MATCH($V$1,'Data qoq'!$A$1:$AT$1,),))/100+1)^4)-1</f>
        <v/>
      </c>
      <c r="W21" s="32">
        <f>(((VLOOKUP(B21,'Data qoq'!$A:$AT,MATCH($W$1,'Data qoq'!$A$1:$AT$1,),))/100+1)^4)-1</f>
        <v/>
      </c>
      <c r="X21" s="32">
        <f>(((VLOOKUP(B21,'Data qoq'!$A:$AT,MATCH($X$1,'Data qoq'!$A$1:$AT$1,),))/100+1)^4)-1</f>
        <v/>
      </c>
      <c r="Y21" s="32">
        <f>(((VLOOKUP(B21,'Data qoq'!$A:$AT,MATCH($Y$1,'Data qoq'!$A$1:$AT$1,),))/100+1)^4)-1</f>
        <v/>
      </c>
      <c r="Z21" s="32">
        <f>(((VLOOKUP(B21,'Data qoq'!$A:$AU,MATCH($Z$1,'Data qoq'!$A$1:$AU$1,),))/100+1)^4)-1</f>
        <v/>
      </c>
      <c r="AA21" s="32">
        <f>(((VLOOKUP(B21,'Data qoq'!$A:$AU,MATCH($AA$1,'Data qoq'!$A$1:$AU$1,),))/100+1)^4)-1</f>
        <v/>
      </c>
      <c r="AC21" s="26">
        <f>B21</f>
        <v/>
      </c>
      <c r="AD21" s="31">
        <f>(VLOOKUP(AC21,B:Y,MATCH($AE$6,$B$1:$Y$1,),))-(VLOOKUP(AC21,B:Y,MATCH($AE$7,$B$1:$Y$1,),))</f>
        <v/>
      </c>
      <c r="AE21" s="27" t="n"/>
    </row>
    <row r="22" hidden="1" s="68">
      <c r="A22" s="30" t="n">
        <v>37591</v>
      </c>
      <c r="B22" s="24" t="inlineStr">
        <is>
          <t>2002-Q4</t>
        </is>
      </c>
      <c r="C22" s="32">
        <f>(((VLOOKUP(B22,'Data qoq'!$A:$AT,MATCH($C$1,'Data qoq'!$A$1:$AT$1,),))/100+1)^4)-1</f>
        <v/>
      </c>
      <c r="D22" s="32">
        <f>(((VLOOKUP(B22,'Data qoq'!$A:$AT,MATCH($D$1,'Data qoq'!$A$1:$AT$1,),))/100+1)^4)-1</f>
        <v/>
      </c>
      <c r="E22" s="32">
        <f>(((VLOOKUP(B22,'Data qoq'!$A:$AT,MATCH($E$1,'Data qoq'!$A$1:$AT$1,),))/100+1)^4)-1</f>
        <v/>
      </c>
      <c r="F22" s="32">
        <f>(((VLOOKUP(B22,'Data qoq'!$A:$AT,MATCH($F$1,'Data qoq'!$A$1:$AT$1,),))/100+1)^4)-1</f>
        <v/>
      </c>
      <c r="G22" s="32">
        <f>(((VLOOKUP(B22,'Data qoq'!$A:$AT,MATCH($G$1,'Data qoq'!$A$1:$AT$1,),))/100+1)^4)-1</f>
        <v/>
      </c>
      <c r="H22" s="32">
        <f>(((VLOOKUP(B22,'Data qoq'!$A:$AT,MATCH($H$1,'Data qoq'!$A$1:$AT$1,),))/100+1)^4)-1</f>
        <v/>
      </c>
      <c r="I22" s="32">
        <f>(((VLOOKUP(B22,'Data qoq'!$A:$AT,MATCH($I$1,'Data qoq'!$A$1:$AT$1,),))/100+1)^4)-1</f>
        <v/>
      </c>
      <c r="J22" s="32">
        <f>(((VLOOKUP(B22,'Data qoq'!$A:$AT,MATCH($J$1,'Data qoq'!$A$1:$AT$1,),))/100+1)^4)-1</f>
        <v/>
      </c>
      <c r="K22" s="32">
        <f>(((VLOOKUP(B22,'Data qoq'!$A:$AT,MATCH($K$1,'Data qoq'!$A$1:$AT$1,),))/100+1)^4)-1</f>
        <v/>
      </c>
      <c r="L22" s="32">
        <f>(((VLOOKUP(B22,'Data qoq'!$A:$AT,MATCH($L$1,'Data qoq'!$A$1:$AT$1,),))/100+1)^4)-1</f>
        <v/>
      </c>
      <c r="M22" s="32">
        <f>(((VLOOKUP(B22,'Data qoq'!$A:$AT,MATCH($M$1,'Data qoq'!$A$1:$AT$1,),))/100+1)^4)-1</f>
        <v/>
      </c>
      <c r="N22" s="32">
        <f>(((VLOOKUP(B22,'Data qoq'!$A:$AT,MATCH($N$1,'Data qoq'!$A$1:$AT$1,),))/100+1)^4)-1</f>
        <v/>
      </c>
      <c r="O22" s="32">
        <f>(((VLOOKUP(B22,'Data qoq'!$A:$AT,MATCH($O$1,'Data qoq'!$A$1:$AT$1,),))/100+1)^4)-1</f>
        <v/>
      </c>
      <c r="P22" s="32">
        <f>(((VLOOKUP(B22,'Data qoq'!$A:$AT,MATCH($P$1,'Data qoq'!$A$1:$AT$1,),))/100+1)^4)-1</f>
        <v/>
      </c>
      <c r="Q22" s="32">
        <f>(((VLOOKUP(B22,'Data qoq'!$A:$AT,MATCH($Q$1,'Data qoq'!$A$1:$AT$1,),))/100+1)^4)-1</f>
        <v/>
      </c>
      <c r="R22" s="32">
        <f>(((VLOOKUP(B22,'Data qoq'!$A:$AT,MATCH($R$1,'Data qoq'!$A$1:$AT$1,),))/100+1)^4)-1</f>
        <v/>
      </c>
      <c r="S22" s="32">
        <f>(((VLOOKUP(B22,'Data qoq'!$A:$AT,MATCH($S$1,'Data qoq'!$A$1:$AT$1,),))/100+1)^4)-1</f>
        <v/>
      </c>
      <c r="T22" s="32">
        <f>(((VLOOKUP(B22,'Data qoq'!$A:$AT,MATCH($T$1,'Data qoq'!$A$1:$AT$1,),))/100+1)^4)-1</f>
        <v/>
      </c>
      <c r="U22" s="32">
        <f>(((VLOOKUP(B22,'Data qoq'!$A:$AT,MATCH($U$1,'Data qoq'!$A$1:$AT$1,),))/100+1)^4)-1</f>
        <v/>
      </c>
      <c r="V22" s="32">
        <f>(((VLOOKUP(B22,'Data qoq'!$A:$AT,MATCH($V$1,'Data qoq'!$A$1:$AT$1,),))/100+1)^4)-1</f>
        <v/>
      </c>
      <c r="W22" s="32">
        <f>(((VLOOKUP(B22,'Data qoq'!$A:$AT,MATCH($W$1,'Data qoq'!$A$1:$AT$1,),))/100+1)^4)-1</f>
        <v/>
      </c>
      <c r="X22" s="32">
        <f>(((VLOOKUP(B22,'Data qoq'!$A:$AT,MATCH($X$1,'Data qoq'!$A$1:$AT$1,),))/100+1)^4)-1</f>
        <v/>
      </c>
      <c r="Y22" s="32">
        <f>(((VLOOKUP(B22,'Data qoq'!$A:$AT,MATCH($Y$1,'Data qoq'!$A$1:$AT$1,),))/100+1)^4)-1</f>
        <v/>
      </c>
      <c r="Z22" s="32">
        <f>(((VLOOKUP(B22,'Data qoq'!$A:$AU,MATCH($Z$1,'Data qoq'!$A$1:$AU$1,),))/100+1)^4)-1</f>
        <v/>
      </c>
      <c r="AA22" s="32">
        <f>(((VLOOKUP(B22,'Data qoq'!$A:$AU,MATCH($AA$1,'Data qoq'!$A$1:$AU$1,),))/100+1)^4)-1</f>
        <v/>
      </c>
      <c r="AC22" s="26">
        <f>B22</f>
        <v/>
      </c>
      <c r="AD22" s="31">
        <f>(VLOOKUP(AC22,B:Y,MATCH($AE$6,$B$1:$Y$1,),))-(VLOOKUP(AC22,B:Y,MATCH($AE$7,$B$1:$Y$1,),))</f>
        <v/>
      </c>
      <c r="AE22" s="27" t="n"/>
    </row>
    <row r="23" hidden="1" s="68">
      <c r="A23" s="30" t="n">
        <v>37681</v>
      </c>
      <c r="B23" s="24" t="inlineStr">
        <is>
          <t>2003-Q1</t>
        </is>
      </c>
      <c r="C23" s="32">
        <f>(((VLOOKUP(B23,'Data qoq'!$A:$AT,MATCH($C$1,'Data qoq'!$A$1:$AT$1,),))/100+1)^4)-1</f>
        <v/>
      </c>
      <c r="D23" s="32">
        <f>(((VLOOKUP(B23,'Data qoq'!$A:$AT,MATCH($D$1,'Data qoq'!$A$1:$AT$1,),))/100+1)^4)-1</f>
        <v/>
      </c>
      <c r="E23" s="32">
        <f>(((VLOOKUP(B23,'Data qoq'!$A:$AT,MATCH($E$1,'Data qoq'!$A$1:$AT$1,),))/100+1)^4)-1</f>
        <v/>
      </c>
      <c r="F23" s="32">
        <f>(((VLOOKUP(B23,'Data qoq'!$A:$AT,MATCH($F$1,'Data qoq'!$A$1:$AT$1,),))/100+1)^4)-1</f>
        <v/>
      </c>
      <c r="G23" s="32">
        <f>(((VLOOKUP(B23,'Data qoq'!$A:$AT,MATCH($G$1,'Data qoq'!$A$1:$AT$1,),))/100+1)^4)-1</f>
        <v/>
      </c>
      <c r="H23" s="32">
        <f>(((VLOOKUP(B23,'Data qoq'!$A:$AT,MATCH($H$1,'Data qoq'!$A$1:$AT$1,),))/100+1)^4)-1</f>
        <v/>
      </c>
      <c r="I23" s="32">
        <f>(((VLOOKUP(B23,'Data qoq'!$A:$AT,MATCH($I$1,'Data qoq'!$A$1:$AT$1,),))/100+1)^4)-1</f>
        <v/>
      </c>
      <c r="J23" s="32">
        <f>(((VLOOKUP(B23,'Data qoq'!$A:$AT,MATCH($J$1,'Data qoq'!$A$1:$AT$1,),))/100+1)^4)-1</f>
        <v/>
      </c>
      <c r="K23" s="32">
        <f>(((VLOOKUP(B23,'Data qoq'!$A:$AT,MATCH($K$1,'Data qoq'!$A$1:$AT$1,),))/100+1)^4)-1</f>
        <v/>
      </c>
      <c r="L23" s="32">
        <f>(((VLOOKUP(B23,'Data qoq'!$A:$AT,MATCH($L$1,'Data qoq'!$A$1:$AT$1,),))/100+1)^4)-1</f>
        <v/>
      </c>
      <c r="M23" s="32">
        <f>(((VLOOKUP(B23,'Data qoq'!$A:$AT,MATCH($M$1,'Data qoq'!$A$1:$AT$1,),))/100+1)^4)-1</f>
        <v/>
      </c>
      <c r="N23" s="32">
        <f>(((VLOOKUP(B23,'Data qoq'!$A:$AT,MATCH($N$1,'Data qoq'!$A$1:$AT$1,),))/100+1)^4)-1</f>
        <v/>
      </c>
      <c r="O23" s="32">
        <f>(((VLOOKUP(B23,'Data qoq'!$A:$AT,MATCH($O$1,'Data qoq'!$A$1:$AT$1,),))/100+1)^4)-1</f>
        <v/>
      </c>
      <c r="P23" s="32">
        <f>(((VLOOKUP(B23,'Data qoq'!$A:$AT,MATCH($P$1,'Data qoq'!$A$1:$AT$1,),))/100+1)^4)-1</f>
        <v/>
      </c>
      <c r="Q23" s="32">
        <f>(((VLOOKUP(B23,'Data qoq'!$A:$AT,MATCH($Q$1,'Data qoq'!$A$1:$AT$1,),))/100+1)^4)-1</f>
        <v/>
      </c>
      <c r="R23" s="32">
        <f>(((VLOOKUP(B23,'Data qoq'!$A:$AT,MATCH($R$1,'Data qoq'!$A$1:$AT$1,),))/100+1)^4)-1</f>
        <v/>
      </c>
      <c r="S23" s="32">
        <f>(((VLOOKUP(B23,'Data qoq'!$A:$AT,MATCH($S$1,'Data qoq'!$A$1:$AT$1,),))/100+1)^4)-1</f>
        <v/>
      </c>
      <c r="T23" s="32">
        <f>(((VLOOKUP(B23,'Data qoq'!$A:$AT,MATCH($T$1,'Data qoq'!$A$1:$AT$1,),))/100+1)^4)-1</f>
        <v/>
      </c>
      <c r="U23" s="32">
        <f>(((VLOOKUP(B23,'Data qoq'!$A:$AT,MATCH($U$1,'Data qoq'!$A$1:$AT$1,),))/100+1)^4)-1</f>
        <v/>
      </c>
      <c r="V23" s="32">
        <f>(((VLOOKUP(B23,'Data qoq'!$A:$AT,MATCH($V$1,'Data qoq'!$A$1:$AT$1,),))/100+1)^4)-1</f>
        <v/>
      </c>
      <c r="W23" s="32">
        <f>(((VLOOKUP(B23,'Data qoq'!$A:$AT,MATCH($W$1,'Data qoq'!$A$1:$AT$1,),))/100+1)^4)-1</f>
        <v/>
      </c>
      <c r="X23" s="32">
        <f>(((VLOOKUP(B23,'Data qoq'!$A:$AT,MATCH($X$1,'Data qoq'!$A$1:$AT$1,),))/100+1)^4)-1</f>
        <v/>
      </c>
      <c r="Y23" s="32">
        <f>(((VLOOKUP(B23,'Data qoq'!$A:$AT,MATCH($Y$1,'Data qoq'!$A$1:$AT$1,),))/100+1)^4)-1</f>
        <v/>
      </c>
      <c r="Z23" s="32">
        <f>(((VLOOKUP(B23,'Data qoq'!$A:$AU,MATCH($Z$1,'Data qoq'!$A$1:$AU$1,),))/100+1)^4)-1</f>
        <v/>
      </c>
      <c r="AA23" s="32">
        <f>(((VLOOKUP(B23,'Data qoq'!$A:$AU,MATCH($AA$1,'Data qoq'!$A$1:$AU$1,),))/100+1)^4)-1</f>
        <v/>
      </c>
      <c r="AC23" s="26">
        <f>B23</f>
        <v/>
      </c>
      <c r="AD23" s="31">
        <f>(VLOOKUP(AC23,B:Y,MATCH($AE$6,$B$1:$Y$1,),))-(VLOOKUP(AC23,B:Y,MATCH($AE$7,$B$1:$Y$1,),))</f>
        <v/>
      </c>
      <c r="AE23" s="27" t="n"/>
    </row>
    <row r="24" hidden="1" s="68">
      <c r="A24" s="30" t="n">
        <v>37773</v>
      </c>
      <c r="B24" s="24" t="inlineStr">
        <is>
          <t>2003-Q2</t>
        </is>
      </c>
      <c r="C24" s="32">
        <f>(((VLOOKUP(B24,'Data qoq'!$A:$AT,MATCH($C$1,'Data qoq'!$A$1:$AT$1,),))/100+1)^4)-1</f>
        <v/>
      </c>
      <c r="D24" s="32">
        <f>(((VLOOKUP(B24,'Data qoq'!$A:$AT,MATCH($D$1,'Data qoq'!$A$1:$AT$1,),))/100+1)^4)-1</f>
        <v/>
      </c>
      <c r="E24" s="32">
        <f>(((VLOOKUP(B24,'Data qoq'!$A:$AT,MATCH($E$1,'Data qoq'!$A$1:$AT$1,),))/100+1)^4)-1</f>
        <v/>
      </c>
      <c r="F24" s="32">
        <f>(((VLOOKUP(B24,'Data qoq'!$A:$AT,MATCH($F$1,'Data qoq'!$A$1:$AT$1,),))/100+1)^4)-1</f>
        <v/>
      </c>
      <c r="G24" s="32">
        <f>(((VLOOKUP(B24,'Data qoq'!$A:$AT,MATCH($G$1,'Data qoq'!$A$1:$AT$1,),))/100+1)^4)-1</f>
        <v/>
      </c>
      <c r="H24" s="32">
        <f>(((VLOOKUP(B24,'Data qoq'!$A:$AT,MATCH($H$1,'Data qoq'!$A$1:$AT$1,),))/100+1)^4)-1</f>
        <v/>
      </c>
      <c r="I24" s="32">
        <f>(((VLOOKUP(B24,'Data qoq'!$A:$AT,MATCH($I$1,'Data qoq'!$A$1:$AT$1,),))/100+1)^4)-1</f>
        <v/>
      </c>
      <c r="J24" s="32">
        <f>(((VLOOKUP(B24,'Data qoq'!$A:$AT,MATCH($J$1,'Data qoq'!$A$1:$AT$1,),))/100+1)^4)-1</f>
        <v/>
      </c>
      <c r="K24" s="32">
        <f>(((VLOOKUP(B24,'Data qoq'!$A:$AT,MATCH($K$1,'Data qoq'!$A$1:$AT$1,),))/100+1)^4)-1</f>
        <v/>
      </c>
      <c r="L24" s="32">
        <f>(((VLOOKUP(B24,'Data qoq'!$A:$AT,MATCH($L$1,'Data qoq'!$A$1:$AT$1,),))/100+1)^4)-1</f>
        <v/>
      </c>
      <c r="M24" s="32">
        <f>(((VLOOKUP(B24,'Data qoq'!$A:$AT,MATCH($M$1,'Data qoq'!$A$1:$AT$1,),))/100+1)^4)-1</f>
        <v/>
      </c>
      <c r="N24" s="32">
        <f>(((VLOOKUP(B24,'Data qoq'!$A:$AT,MATCH($N$1,'Data qoq'!$A$1:$AT$1,),))/100+1)^4)-1</f>
        <v/>
      </c>
      <c r="O24" s="32">
        <f>(((VLOOKUP(B24,'Data qoq'!$A:$AT,MATCH($O$1,'Data qoq'!$A$1:$AT$1,),))/100+1)^4)-1</f>
        <v/>
      </c>
      <c r="P24" s="32">
        <f>(((VLOOKUP(B24,'Data qoq'!$A:$AT,MATCH($P$1,'Data qoq'!$A$1:$AT$1,),))/100+1)^4)-1</f>
        <v/>
      </c>
      <c r="Q24" s="32">
        <f>(((VLOOKUP(B24,'Data qoq'!$A:$AT,MATCH($Q$1,'Data qoq'!$A$1:$AT$1,),))/100+1)^4)-1</f>
        <v/>
      </c>
      <c r="R24" s="32">
        <f>(((VLOOKUP(B24,'Data qoq'!$A:$AT,MATCH($R$1,'Data qoq'!$A$1:$AT$1,),))/100+1)^4)-1</f>
        <v/>
      </c>
      <c r="S24" s="32">
        <f>(((VLOOKUP(B24,'Data qoq'!$A:$AT,MATCH($S$1,'Data qoq'!$A$1:$AT$1,),))/100+1)^4)-1</f>
        <v/>
      </c>
      <c r="T24" s="32">
        <f>(((VLOOKUP(B24,'Data qoq'!$A:$AT,MATCH($T$1,'Data qoq'!$A$1:$AT$1,),))/100+1)^4)-1</f>
        <v/>
      </c>
      <c r="U24" s="32">
        <f>(((VLOOKUP(B24,'Data qoq'!$A:$AT,MATCH($U$1,'Data qoq'!$A$1:$AT$1,),))/100+1)^4)-1</f>
        <v/>
      </c>
      <c r="V24" s="32">
        <f>(((VLOOKUP(B24,'Data qoq'!$A:$AT,MATCH($V$1,'Data qoq'!$A$1:$AT$1,),))/100+1)^4)-1</f>
        <v/>
      </c>
      <c r="W24" s="32">
        <f>(((VLOOKUP(B24,'Data qoq'!$A:$AT,MATCH($W$1,'Data qoq'!$A$1:$AT$1,),))/100+1)^4)-1</f>
        <v/>
      </c>
      <c r="X24" s="32">
        <f>(((VLOOKUP(B24,'Data qoq'!$A:$AT,MATCH($X$1,'Data qoq'!$A$1:$AT$1,),))/100+1)^4)-1</f>
        <v/>
      </c>
      <c r="Y24" s="32">
        <f>(((VLOOKUP(B24,'Data qoq'!$A:$AT,MATCH($Y$1,'Data qoq'!$A$1:$AT$1,),))/100+1)^4)-1</f>
        <v/>
      </c>
      <c r="Z24" s="32">
        <f>(((VLOOKUP(B24,'Data qoq'!$A:$AU,MATCH($Z$1,'Data qoq'!$A$1:$AU$1,),))/100+1)^4)-1</f>
        <v/>
      </c>
      <c r="AA24" s="32">
        <f>(((VLOOKUP(B24,'Data qoq'!$A:$AU,MATCH($AA$1,'Data qoq'!$A$1:$AU$1,),))/100+1)^4)-1</f>
        <v/>
      </c>
      <c r="AC24" s="26">
        <f>B24</f>
        <v/>
      </c>
      <c r="AD24" s="31">
        <f>(VLOOKUP(AC24,B:Y,MATCH($AE$6,$B$1:$Y$1,),))-(VLOOKUP(AC24,B:Y,MATCH($AE$7,$B$1:$Y$1,),))</f>
        <v/>
      </c>
      <c r="AE24" s="27" t="n"/>
    </row>
    <row r="25" hidden="1" s="68">
      <c r="A25" s="30" t="n">
        <v>37865</v>
      </c>
      <c r="B25" s="24" t="inlineStr">
        <is>
          <t>2003-Q3</t>
        </is>
      </c>
      <c r="C25" s="32">
        <f>(((VLOOKUP(B25,'Data qoq'!$A:$AT,MATCH($C$1,'Data qoq'!$A$1:$AT$1,),))/100+1)^4)-1</f>
        <v/>
      </c>
      <c r="D25" s="32">
        <f>(((VLOOKUP(B25,'Data qoq'!$A:$AT,MATCH($D$1,'Data qoq'!$A$1:$AT$1,),))/100+1)^4)-1</f>
        <v/>
      </c>
      <c r="E25" s="32">
        <f>(((VLOOKUP(B25,'Data qoq'!$A:$AT,MATCH($E$1,'Data qoq'!$A$1:$AT$1,),))/100+1)^4)-1</f>
        <v/>
      </c>
      <c r="F25" s="32">
        <f>(((VLOOKUP(B25,'Data qoq'!$A:$AT,MATCH($F$1,'Data qoq'!$A$1:$AT$1,),))/100+1)^4)-1</f>
        <v/>
      </c>
      <c r="G25" s="32">
        <f>(((VLOOKUP(B25,'Data qoq'!$A:$AT,MATCH($G$1,'Data qoq'!$A$1:$AT$1,),))/100+1)^4)-1</f>
        <v/>
      </c>
      <c r="H25" s="32">
        <f>(((VLOOKUP(B25,'Data qoq'!$A:$AT,MATCH($H$1,'Data qoq'!$A$1:$AT$1,),))/100+1)^4)-1</f>
        <v/>
      </c>
      <c r="I25" s="32">
        <f>(((VLOOKUP(B25,'Data qoq'!$A:$AT,MATCH($I$1,'Data qoq'!$A$1:$AT$1,),))/100+1)^4)-1</f>
        <v/>
      </c>
      <c r="J25" s="32">
        <f>(((VLOOKUP(B25,'Data qoq'!$A:$AT,MATCH($J$1,'Data qoq'!$A$1:$AT$1,),))/100+1)^4)-1</f>
        <v/>
      </c>
      <c r="K25" s="32">
        <f>(((VLOOKUP(B25,'Data qoq'!$A:$AT,MATCH($K$1,'Data qoq'!$A$1:$AT$1,),))/100+1)^4)-1</f>
        <v/>
      </c>
      <c r="L25" s="32">
        <f>(((VLOOKUP(B25,'Data qoq'!$A:$AT,MATCH($L$1,'Data qoq'!$A$1:$AT$1,),))/100+1)^4)-1</f>
        <v/>
      </c>
      <c r="M25" s="32">
        <f>(((VLOOKUP(B25,'Data qoq'!$A:$AT,MATCH($M$1,'Data qoq'!$A$1:$AT$1,),))/100+1)^4)-1</f>
        <v/>
      </c>
      <c r="N25" s="32">
        <f>(((VLOOKUP(B25,'Data qoq'!$A:$AT,MATCH($N$1,'Data qoq'!$A$1:$AT$1,),))/100+1)^4)-1</f>
        <v/>
      </c>
      <c r="O25" s="32">
        <f>(((VLOOKUP(B25,'Data qoq'!$A:$AT,MATCH($O$1,'Data qoq'!$A$1:$AT$1,),))/100+1)^4)-1</f>
        <v/>
      </c>
      <c r="P25" s="32">
        <f>(((VLOOKUP(B25,'Data qoq'!$A:$AT,MATCH($P$1,'Data qoq'!$A$1:$AT$1,),))/100+1)^4)-1</f>
        <v/>
      </c>
      <c r="Q25" s="32">
        <f>(((VLOOKUP(B25,'Data qoq'!$A:$AT,MATCH($Q$1,'Data qoq'!$A$1:$AT$1,),))/100+1)^4)-1</f>
        <v/>
      </c>
      <c r="R25" s="32">
        <f>(((VLOOKUP(B25,'Data qoq'!$A:$AT,MATCH($R$1,'Data qoq'!$A$1:$AT$1,),))/100+1)^4)-1</f>
        <v/>
      </c>
      <c r="S25" s="32">
        <f>(((VLOOKUP(B25,'Data qoq'!$A:$AT,MATCH($S$1,'Data qoq'!$A$1:$AT$1,),))/100+1)^4)-1</f>
        <v/>
      </c>
      <c r="T25" s="32">
        <f>(((VLOOKUP(B25,'Data qoq'!$A:$AT,MATCH($T$1,'Data qoq'!$A$1:$AT$1,),))/100+1)^4)-1</f>
        <v/>
      </c>
      <c r="U25" s="32">
        <f>(((VLOOKUP(B25,'Data qoq'!$A:$AT,MATCH($U$1,'Data qoq'!$A$1:$AT$1,),))/100+1)^4)-1</f>
        <v/>
      </c>
      <c r="V25" s="32">
        <f>(((VLOOKUP(B25,'Data qoq'!$A:$AT,MATCH($V$1,'Data qoq'!$A$1:$AT$1,),))/100+1)^4)-1</f>
        <v/>
      </c>
      <c r="W25" s="32">
        <f>(((VLOOKUP(B25,'Data qoq'!$A:$AT,MATCH($W$1,'Data qoq'!$A$1:$AT$1,),))/100+1)^4)-1</f>
        <v/>
      </c>
      <c r="X25" s="32">
        <f>(((VLOOKUP(B25,'Data qoq'!$A:$AT,MATCH($X$1,'Data qoq'!$A$1:$AT$1,),))/100+1)^4)-1</f>
        <v/>
      </c>
      <c r="Y25" s="32">
        <f>(((VLOOKUP(B25,'Data qoq'!$A:$AT,MATCH($Y$1,'Data qoq'!$A$1:$AT$1,),))/100+1)^4)-1</f>
        <v/>
      </c>
      <c r="Z25" s="32">
        <f>(((VLOOKUP(B25,'Data qoq'!$A:$AU,MATCH($Z$1,'Data qoq'!$A$1:$AU$1,),))/100+1)^4)-1</f>
        <v/>
      </c>
      <c r="AA25" s="32">
        <f>(((VLOOKUP(B25,'Data qoq'!$A:$AU,MATCH($AA$1,'Data qoq'!$A$1:$AU$1,),))/100+1)^4)-1</f>
        <v/>
      </c>
      <c r="AC25" s="26">
        <f>B25</f>
        <v/>
      </c>
      <c r="AD25" s="31">
        <f>(VLOOKUP(AC25,B:Y,MATCH($AE$6,$B$1:$Y$1,),))-(VLOOKUP(AC25,B:Y,MATCH($AE$7,$B$1:$Y$1,),))</f>
        <v/>
      </c>
      <c r="AE25" s="27" t="n"/>
    </row>
    <row r="26" hidden="1" s="68">
      <c r="A26" s="30" t="n">
        <v>37956</v>
      </c>
      <c r="B26" s="24" t="inlineStr">
        <is>
          <t>2003-Q4</t>
        </is>
      </c>
      <c r="C26" s="32">
        <f>(((VLOOKUP(B26,'Data qoq'!$A:$AT,MATCH($C$1,'Data qoq'!$A$1:$AT$1,),))/100+1)^4)-1</f>
        <v/>
      </c>
      <c r="D26" s="32">
        <f>(((VLOOKUP(B26,'Data qoq'!$A:$AT,MATCH($D$1,'Data qoq'!$A$1:$AT$1,),))/100+1)^4)-1</f>
        <v/>
      </c>
      <c r="E26" s="32">
        <f>(((VLOOKUP(B26,'Data qoq'!$A:$AT,MATCH($E$1,'Data qoq'!$A$1:$AT$1,),))/100+1)^4)-1</f>
        <v/>
      </c>
      <c r="F26" s="32">
        <f>(((VLOOKUP(B26,'Data qoq'!$A:$AT,MATCH($F$1,'Data qoq'!$A$1:$AT$1,),))/100+1)^4)-1</f>
        <v/>
      </c>
      <c r="G26" s="32">
        <f>(((VLOOKUP(B26,'Data qoq'!$A:$AT,MATCH($G$1,'Data qoq'!$A$1:$AT$1,),))/100+1)^4)-1</f>
        <v/>
      </c>
      <c r="H26" s="32">
        <f>(((VLOOKUP(B26,'Data qoq'!$A:$AT,MATCH($H$1,'Data qoq'!$A$1:$AT$1,),))/100+1)^4)-1</f>
        <v/>
      </c>
      <c r="I26" s="32">
        <f>(((VLOOKUP(B26,'Data qoq'!$A:$AT,MATCH($I$1,'Data qoq'!$A$1:$AT$1,),))/100+1)^4)-1</f>
        <v/>
      </c>
      <c r="J26" s="32">
        <f>(((VLOOKUP(B26,'Data qoq'!$A:$AT,MATCH($J$1,'Data qoq'!$A$1:$AT$1,),))/100+1)^4)-1</f>
        <v/>
      </c>
      <c r="K26" s="32">
        <f>(((VLOOKUP(B26,'Data qoq'!$A:$AT,MATCH($K$1,'Data qoq'!$A$1:$AT$1,),))/100+1)^4)-1</f>
        <v/>
      </c>
      <c r="L26" s="32">
        <f>(((VLOOKUP(B26,'Data qoq'!$A:$AT,MATCH($L$1,'Data qoq'!$A$1:$AT$1,),))/100+1)^4)-1</f>
        <v/>
      </c>
      <c r="M26" s="32">
        <f>(((VLOOKUP(B26,'Data qoq'!$A:$AT,MATCH($M$1,'Data qoq'!$A$1:$AT$1,),))/100+1)^4)-1</f>
        <v/>
      </c>
      <c r="N26" s="32">
        <f>(((VLOOKUP(B26,'Data qoq'!$A:$AT,MATCH($N$1,'Data qoq'!$A$1:$AT$1,),))/100+1)^4)-1</f>
        <v/>
      </c>
      <c r="O26" s="32">
        <f>(((VLOOKUP(B26,'Data qoq'!$A:$AT,MATCH($O$1,'Data qoq'!$A$1:$AT$1,),))/100+1)^4)-1</f>
        <v/>
      </c>
      <c r="P26" s="32">
        <f>(((VLOOKUP(B26,'Data qoq'!$A:$AT,MATCH($P$1,'Data qoq'!$A$1:$AT$1,),))/100+1)^4)-1</f>
        <v/>
      </c>
      <c r="Q26" s="32">
        <f>(((VLOOKUP(B26,'Data qoq'!$A:$AT,MATCH($Q$1,'Data qoq'!$A$1:$AT$1,),))/100+1)^4)-1</f>
        <v/>
      </c>
      <c r="R26" s="32">
        <f>(((VLOOKUP(B26,'Data qoq'!$A:$AT,MATCH($R$1,'Data qoq'!$A$1:$AT$1,),))/100+1)^4)-1</f>
        <v/>
      </c>
      <c r="S26" s="32">
        <f>(((VLOOKUP(B26,'Data qoq'!$A:$AT,MATCH($S$1,'Data qoq'!$A$1:$AT$1,),))/100+1)^4)-1</f>
        <v/>
      </c>
      <c r="T26" s="32">
        <f>(((VLOOKUP(B26,'Data qoq'!$A:$AT,MATCH($T$1,'Data qoq'!$A$1:$AT$1,),))/100+1)^4)-1</f>
        <v/>
      </c>
      <c r="U26" s="32">
        <f>(((VLOOKUP(B26,'Data qoq'!$A:$AT,MATCH($U$1,'Data qoq'!$A$1:$AT$1,),))/100+1)^4)-1</f>
        <v/>
      </c>
      <c r="V26" s="32">
        <f>(((VLOOKUP(B26,'Data qoq'!$A:$AT,MATCH($V$1,'Data qoq'!$A$1:$AT$1,),))/100+1)^4)-1</f>
        <v/>
      </c>
      <c r="W26" s="32">
        <f>(((VLOOKUP(B26,'Data qoq'!$A:$AT,MATCH($W$1,'Data qoq'!$A$1:$AT$1,),))/100+1)^4)-1</f>
        <v/>
      </c>
      <c r="X26" s="32">
        <f>(((VLOOKUP(B26,'Data qoq'!$A:$AT,MATCH($X$1,'Data qoq'!$A$1:$AT$1,),))/100+1)^4)-1</f>
        <v/>
      </c>
      <c r="Y26" s="32">
        <f>(((VLOOKUP(B26,'Data qoq'!$A:$AT,MATCH($Y$1,'Data qoq'!$A$1:$AT$1,),))/100+1)^4)-1</f>
        <v/>
      </c>
      <c r="Z26" s="32">
        <f>(((VLOOKUP(B26,'Data qoq'!$A:$AU,MATCH($Z$1,'Data qoq'!$A$1:$AU$1,),))/100+1)^4)-1</f>
        <v/>
      </c>
      <c r="AA26" s="32">
        <f>(((VLOOKUP(B26,'Data qoq'!$A:$AU,MATCH($AA$1,'Data qoq'!$A$1:$AU$1,),))/100+1)^4)-1</f>
        <v/>
      </c>
      <c r="AC26" s="26">
        <f>B26</f>
        <v/>
      </c>
      <c r="AD26" s="31">
        <f>(VLOOKUP(AC26,B:Y,MATCH($AE$6,$B$1:$Y$1,),))-(VLOOKUP(AC26,B:Y,MATCH($AE$7,$B$1:$Y$1,),))</f>
        <v/>
      </c>
      <c r="AE26" s="27" t="n"/>
    </row>
    <row r="27" hidden="1" s="68">
      <c r="A27" s="30" t="n">
        <v>38047</v>
      </c>
      <c r="B27" s="24" t="inlineStr">
        <is>
          <t>2004-Q1</t>
        </is>
      </c>
      <c r="C27" s="32">
        <f>(((VLOOKUP(B27,'Data qoq'!$A:$AT,MATCH($C$1,'Data qoq'!$A$1:$AT$1,),))/100+1)^4)-1</f>
        <v/>
      </c>
      <c r="D27" s="32">
        <f>(((VLOOKUP(B27,'Data qoq'!$A:$AT,MATCH($D$1,'Data qoq'!$A$1:$AT$1,),))/100+1)^4)-1</f>
        <v/>
      </c>
      <c r="E27" s="32">
        <f>(((VLOOKUP(B27,'Data qoq'!$A:$AT,MATCH($E$1,'Data qoq'!$A$1:$AT$1,),))/100+1)^4)-1</f>
        <v/>
      </c>
      <c r="F27" s="32">
        <f>(((VLOOKUP(B27,'Data qoq'!$A:$AT,MATCH($F$1,'Data qoq'!$A$1:$AT$1,),))/100+1)^4)-1</f>
        <v/>
      </c>
      <c r="G27" s="32">
        <f>(((VLOOKUP(B27,'Data qoq'!$A:$AT,MATCH($G$1,'Data qoq'!$A$1:$AT$1,),))/100+1)^4)-1</f>
        <v/>
      </c>
      <c r="H27" s="32">
        <f>(((VLOOKUP(B27,'Data qoq'!$A:$AT,MATCH($H$1,'Data qoq'!$A$1:$AT$1,),))/100+1)^4)-1</f>
        <v/>
      </c>
      <c r="I27" s="32">
        <f>(((VLOOKUP(B27,'Data qoq'!$A:$AT,MATCH($I$1,'Data qoq'!$A$1:$AT$1,),))/100+1)^4)-1</f>
        <v/>
      </c>
      <c r="J27" s="32">
        <f>(((VLOOKUP(B27,'Data qoq'!$A:$AT,MATCH($J$1,'Data qoq'!$A$1:$AT$1,),))/100+1)^4)-1</f>
        <v/>
      </c>
      <c r="K27" s="32">
        <f>(((VLOOKUP(B27,'Data qoq'!$A:$AT,MATCH($K$1,'Data qoq'!$A$1:$AT$1,),))/100+1)^4)-1</f>
        <v/>
      </c>
      <c r="L27" s="32">
        <f>(((VLOOKUP(B27,'Data qoq'!$A:$AT,MATCH($L$1,'Data qoq'!$A$1:$AT$1,),))/100+1)^4)-1</f>
        <v/>
      </c>
      <c r="M27" s="32">
        <f>(((VLOOKUP(B27,'Data qoq'!$A:$AT,MATCH($M$1,'Data qoq'!$A$1:$AT$1,),))/100+1)^4)-1</f>
        <v/>
      </c>
      <c r="N27" s="32">
        <f>(((VLOOKUP(B27,'Data qoq'!$A:$AT,MATCH($N$1,'Data qoq'!$A$1:$AT$1,),))/100+1)^4)-1</f>
        <v/>
      </c>
      <c r="O27" s="32">
        <f>(((VLOOKUP(B27,'Data qoq'!$A:$AT,MATCH($O$1,'Data qoq'!$A$1:$AT$1,),))/100+1)^4)-1</f>
        <v/>
      </c>
      <c r="P27" s="32">
        <f>(((VLOOKUP(B27,'Data qoq'!$A:$AT,MATCH($P$1,'Data qoq'!$A$1:$AT$1,),))/100+1)^4)-1</f>
        <v/>
      </c>
      <c r="Q27" s="32">
        <f>(((VLOOKUP(B27,'Data qoq'!$A:$AT,MATCH($Q$1,'Data qoq'!$A$1:$AT$1,),))/100+1)^4)-1</f>
        <v/>
      </c>
      <c r="R27" s="32">
        <f>(((VLOOKUP(B27,'Data qoq'!$A:$AT,MATCH($R$1,'Data qoq'!$A$1:$AT$1,),))/100+1)^4)-1</f>
        <v/>
      </c>
      <c r="S27" s="32">
        <f>(((VLOOKUP(B27,'Data qoq'!$A:$AT,MATCH($S$1,'Data qoq'!$A$1:$AT$1,),))/100+1)^4)-1</f>
        <v/>
      </c>
      <c r="T27" s="32">
        <f>(((VLOOKUP(B27,'Data qoq'!$A:$AT,MATCH($T$1,'Data qoq'!$A$1:$AT$1,),))/100+1)^4)-1</f>
        <v/>
      </c>
      <c r="U27" s="32">
        <f>(((VLOOKUP(B27,'Data qoq'!$A:$AT,MATCH($U$1,'Data qoq'!$A$1:$AT$1,),))/100+1)^4)-1</f>
        <v/>
      </c>
      <c r="V27" s="32">
        <f>(((VLOOKUP(B27,'Data qoq'!$A:$AT,MATCH($V$1,'Data qoq'!$A$1:$AT$1,),))/100+1)^4)-1</f>
        <v/>
      </c>
      <c r="W27" s="32">
        <f>(((VLOOKUP(B27,'Data qoq'!$A:$AT,MATCH($W$1,'Data qoq'!$A$1:$AT$1,),))/100+1)^4)-1</f>
        <v/>
      </c>
      <c r="X27" s="32">
        <f>(((VLOOKUP(B27,'Data qoq'!$A:$AT,MATCH($X$1,'Data qoq'!$A$1:$AT$1,),))/100+1)^4)-1</f>
        <v/>
      </c>
      <c r="Y27" s="32">
        <f>(((VLOOKUP(B27,'Data qoq'!$A:$AT,MATCH($Y$1,'Data qoq'!$A$1:$AT$1,),))/100+1)^4)-1</f>
        <v/>
      </c>
      <c r="Z27" s="32">
        <f>(((VLOOKUP(B27,'Data qoq'!$A:$AU,MATCH($Z$1,'Data qoq'!$A$1:$AU$1,),))/100+1)^4)-1</f>
        <v/>
      </c>
      <c r="AA27" s="32">
        <f>(((VLOOKUP(B27,'Data qoq'!$A:$AU,MATCH($AA$1,'Data qoq'!$A$1:$AU$1,),))/100+1)^4)-1</f>
        <v/>
      </c>
      <c r="AC27" s="26">
        <f>B27</f>
        <v/>
      </c>
      <c r="AD27" s="31">
        <f>(VLOOKUP(AC27,B:Y,MATCH($AE$6,$B$1:$Y$1,),))-(VLOOKUP(AC27,B:Y,MATCH($AE$7,$B$1:$Y$1,),))</f>
        <v/>
      </c>
      <c r="AE27" s="27" t="n"/>
    </row>
    <row r="28" hidden="1" s="68">
      <c r="A28" s="30" t="n">
        <v>38139</v>
      </c>
      <c r="B28" s="24" t="inlineStr">
        <is>
          <t>2004-Q2</t>
        </is>
      </c>
      <c r="C28" s="32">
        <f>(((VLOOKUP(B28,'Data qoq'!$A:$AT,MATCH($C$1,'Data qoq'!$A$1:$AT$1,),))/100+1)^4)-1</f>
        <v/>
      </c>
      <c r="D28" s="32">
        <f>(((VLOOKUP(B28,'Data qoq'!$A:$AT,MATCH($D$1,'Data qoq'!$A$1:$AT$1,),))/100+1)^4)-1</f>
        <v/>
      </c>
      <c r="E28" s="32">
        <f>(((VLOOKUP(B28,'Data qoq'!$A:$AT,MATCH($E$1,'Data qoq'!$A$1:$AT$1,),))/100+1)^4)-1</f>
        <v/>
      </c>
      <c r="F28" s="32">
        <f>(((VLOOKUP(B28,'Data qoq'!$A:$AT,MATCH($F$1,'Data qoq'!$A$1:$AT$1,),))/100+1)^4)-1</f>
        <v/>
      </c>
      <c r="G28" s="32">
        <f>(((VLOOKUP(B28,'Data qoq'!$A:$AT,MATCH($G$1,'Data qoq'!$A$1:$AT$1,),))/100+1)^4)-1</f>
        <v/>
      </c>
      <c r="H28" s="32">
        <f>(((VLOOKUP(B28,'Data qoq'!$A:$AT,MATCH($H$1,'Data qoq'!$A$1:$AT$1,),))/100+1)^4)-1</f>
        <v/>
      </c>
      <c r="I28" s="32">
        <f>(((VLOOKUP(B28,'Data qoq'!$A:$AT,MATCH($I$1,'Data qoq'!$A$1:$AT$1,),))/100+1)^4)-1</f>
        <v/>
      </c>
      <c r="J28" s="32">
        <f>(((VLOOKUP(B28,'Data qoq'!$A:$AT,MATCH($J$1,'Data qoq'!$A$1:$AT$1,),))/100+1)^4)-1</f>
        <v/>
      </c>
      <c r="K28" s="32">
        <f>(((VLOOKUP(B28,'Data qoq'!$A:$AT,MATCH($K$1,'Data qoq'!$A$1:$AT$1,),))/100+1)^4)-1</f>
        <v/>
      </c>
      <c r="L28" s="32">
        <f>(((VLOOKUP(B28,'Data qoq'!$A:$AT,MATCH($L$1,'Data qoq'!$A$1:$AT$1,),))/100+1)^4)-1</f>
        <v/>
      </c>
      <c r="M28" s="32">
        <f>(((VLOOKUP(B28,'Data qoq'!$A:$AT,MATCH($M$1,'Data qoq'!$A$1:$AT$1,),))/100+1)^4)-1</f>
        <v/>
      </c>
      <c r="N28" s="32">
        <f>(((VLOOKUP(B28,'Data qoq'!$A:$AT,MATCH($N$1,'Data qoq'!$A$1:$AT$1,),))/100+1)^4)-1</f>
        <v/>
      </c>
      <c r="O28" s="32">
        <f>(((VLOOKUP(B28,'Data qoq'!$A:$AT,MATCH($O$1,'Data qoq'!$A$1:$AT$1,),))/100+1)^4)-1</f>
        <v/>
      </c>
      <c r="P28" s="32">
        <f>(((VLOOKUP(B28,'Data qoq'!$A:$AT,MATCH($P$1,'Data qoq'!$A$1:$AT$1,),))/100+1)^4)-1</f>
        <v/>
      </c>
      <c r="Q28" s="32">
        <f>(((VLOOKUP(B28,'Data qoq'!$A:$AT,MATCH($Q$1,'Data qoq'!$A$1:$AT$1,),))/100+1)^4)-1</f>
        <v/>
      </c>
      <c r="R28" s="32">
        <f>(((VLOOKUP(B28,'Data qoq'!$A:$AT,MATCH($R$1,'Data qoq'!$A$1:$AT$1,),))/100+1)^4)-1</f>
        <v/>
      </c>
      <c r="S28" s="32">
        <f>(((VLOOKUP(B28,'Data qoq'!$A:$AT,MATCH($S$1,'Data qoq'!$A$1:$AT$1,),))/100+1)^4)-1</f>
        <v/>
      </c>
      <c r="T28" s="32">
        <f>(((VLOOKUP(B28,'Data qoq'!$A:$AT,MATCH($T$1,'Data qoq'!$A$1:$AT$1,),))/100+1)^4)-1</f>
        <v/>
      </c>
      <c r="U28" s="32">
        <f>(((VLOOKUP(B28,'Data qoq'!$A:$AT,MATCH($U$1,'Data qoq'!$A$1:$AT$1,),))/100+1)^4)-1</f>
        <v/>
      </c>
      <c r="V28" s="32">
        <f>(((VLOOKUP(B28,'Data qoq'!$A:$AT,MATCH($V$1,'Data qoq'!$A$1:$AT$1,),))/100+1)^4)-1</f>
        <v/>
      </c>
      <c r="W28" s="32">
        <f>(((VLOOKUP(B28,'Data qoq'!$A:$AT,MATCH($W$1,'Data qoq'!$A$1:$AT$1,),))/100+1)^4)-1</f>
        <v/>
      </c>
      <c r="X28" s="32">
        <f>(((VLOOKUP(B28,'Data qoq'!$A:$AT,MATCH($X$1,'Data qoq'!$A$1:$AT$1,),))/100+1)^4)-1</f>
        <v/>
      </c>
      <c r="Y28" s="32">
        <f>(((VLOOKUP(B28,'Data qoq'!$A:$AT,MATCH($Y$1,'Data qoq'!$A$1:$AT$1,),))/100+1)^4)-1</f>
        <v/>
      </c>
      <c r="Z28" s="32">
        <f>(((VLOOKUP(B28,'Data qoq'!$A:$AU,MATCH($Z$1,'Data qoq'!$A$1:$AU$1,),))/100+1)^4)-1</f>
        <v/>
      </c>
      <c r="AA28" s="32">
        <f>(((VLOOKUP(B28,'Data qoq'!$A:$AU,MATCH($AA$1,'Data qoq'!$A$1:$AU$1,),))/100+1)^4)-1</f>
        <v/>
      </c>
      <c r="AC28" s="26">
        <f>B28</f>
        <v/>
      </c>
      <c r="AD28" s="31">
        <f>(VLOOKUP(AC28,B:Y,MATCH($AE$6,$B$1:$Y$1,),))-(VLOOKUP(AC28,B:Y,MATCH($AE$7,$B$1:$Y$1,),))</f>
        <v/>
      </c>
      <c r="AE28" s="27" t="n"/>
    </row>
    <row r="29" hidden="1" s="68">
      <c r="A29" s="30" t="n">
        <v>38231</v>
      </c>
      <c r="B29" s="24" t="inlineStr">
        <is>
          <t>2004-Q3</t>
        </is>
      </c>
      <c r="C29" s="32">
        <f>(((VLOOKUP(B29,'Data qoq'!$A:$AT,MATCH($C$1,'Data qoq'!$A$1:$AT$1,),))/100+1)^4)-1</f>
        <v/>
      </c>
      <c r="D29" s="32">
        <f>(((VLOOKUP(B29,'Data qoq'!$A:$AT,MATCH($D$1,'Data qoq'!$A$1:$AT$1,),))/100+1)^4)-1</f>
        <v/>
      </c>
      <c r="E29" s="32">
        <f>(((VLOOKUP(B29,'Data qoq'!$A:$AT,MATCH($E$1,'Data qoq'!$A$1:$AT$1,),))/100+1)^4)-1</f>
        <v/>
      </c>
      <c r="F29" s="32">
        <f>(((VLOOKUP(B29,'Data qoq'!$A:$AT,MATCH($F$1,'Data qoq'!$A$1:$AT$1,),))/100+1)^4)-1</f>
        <v/>
      </c>
      <c r="G29" s="32">
        <f>(((VLOOKUP(B29,'Data qoq'!$A:$AT,MATCH($G$1,'Data qoq'!$A$1:$AT$1,),))/100+1)^4)-1</f>
        <v/>
      </c>
      <c r="H29" s="32">
        <f>(((VLOOKUP(B29,'Data qoq'!$A:$AT,MATCH($H$1,'Data qoq'!$A$1:$AT$1,),))/100+1)^4)-1</f>
        <v/>
      </c>
      <c r="I29" s="32">
        <f>(((VLOOKUP(B29,'Data qoq'!$A:$AT,MATCH($I$1,'Data qoq'!$A$1:$AT$1,),))/100+1)^4)-1</f>
        <v/>
      </c>
      <c r="J29" s="32">
        <f>(((VLOOKUP(B29,'Data qoq'!$A:$AT,MATCH($J$1,'Data qoq'!$A$1:$AT$1,),))/100+1)^4)-1</f>
        <v/>
      </c>
      <c r="K29" s="32">
        <f>(((VLOOKUP(B29,'Data qoq'!$A:$AT,MATCH($K$1,'Data qoq'!$A$1:$AT$1,),))/100+1)^4)-1</f>
        <v/>
      </c>
      <c r="L29" s="32">
        <f>(((VLOOKUP(B29,'Data qoq'!$A:$AT,MATCH($L$1,'Data qoq'!$A$1:$AT$1,),))/100+1)^4)-1</f>
        <v/>
      </c>
      <c r="M29" s="32">
        <f>(((VLOOKUP(B29,'Data qoq'!$A:$AT,MATCH($M$1,'Data qoq'!$A$1:$AT$1,),))/100+1)^4)-1</f>
        <v/>
      </c>
      <c r="N29" s="32">
        <f>(((VLOOKUP(B29,'Data qoq'!$A:$AT,MATCH($N$1,'Data qoq'!$A$1:$AT$1,),))/100+1)^4)-1</f>
        <v/>
      </c>
      <c r="O29" s="32">
        <f>(((VLOOKUP(B29,'Data qoq'!$A:$AT,MATCH($O$1,'Data qoq'!$A$1:$AT$1,),))/100+1)^4)-1</f>
        <v/>
      </c>
      <c r="P29" s="32">
        <f>(((VLOOKUP(B29,'Data qoq'!$A:$AT,MATCH($P$1,'Data qoq'!$A$1:$AT$1,),))/100+1)^4)-1</f>
        <v/>
      </c>
      <c r="Q29" s="32">
        <f>(((VLOOKUP(B29,'Data qoq'!$A:$AT,MATCH($Q$1,'Data qoq'!$A$1:$AT$1,),))/100+1)^4)-1</f>
        <v/>
      </c>
      <c r="R29" s="32">
        <f>(((VLOOKUP(B29,'Data qoq'!$A:$AT,MATCH($R$1,'Data qoq'!$A$1:$AT$1,),))/100+1)^4)-1</f>
        <v/>
      </c>
      <c r="S29" s="32">
        <f>(((VLOOKUP(B29,'Data qoq'!$A:$AT,MATCH($S$1,'Data qoq'!$A$1:$AT$1,),))/100+1)^4)-1</f>
        <v/>
      </c>
      <c r="T29" s="32">
        <f>(((VLOOKUP(B29,'Data qoq'!$A:$AT,MATCH($T$1,'Data qoq'!$A$1:$AT$1,),))/100+1)^4)-1</f>
        <v/>
      </c>
      <c r="U29" s="32">
        <f>(((VLOOKUP(B29,'Data qoq'!$A:$AT,MATCH($U$1,'Data qoq'!$A$1:$AT$1,),))/100+1)^4)-1</f>
        <v/>
      </c>
      <c r="V29" s="32">
        <f>(((VLOOKUP(B29,'Data qoq'!$A:$AT,MATCH($V$1,'Data qoq'!$A$1:$AT$1,),))/100+1)^4)-1</f>
        <v/>
      </c>
      <c r="W29" s="32">
        <f>(((VLOOKUP(B29,'Data qoq'!$A:$AT,MATCH($W$1,'Data qoq'!$A$1:$AT$1,),))/100+1)^4)-1</f>
        <v/>
      </c>
      <c r="X29" s="32">
        <f>(((VLOOKUP(B29,'Data qoq'!$A:$AT,MATCH($X$1,'Data qoq'!$A$1:$AT$1,),))/100+1)^4)-1</f>
        <v/>
      </c>
      <c r="Y29" s="32">
        <f>(((VLOOKUP(B29,'Data qoq'!$A:$AT,MATCH($Y$1,'Data qoq'!$A$1:$AT$1,),))/100+1)^4)-1</f>
        <v/>
      </c>
      <c r="Z29" s="32">
        <f>(((VLOOKUP(B29,'Data qoq'!$A:$AU,MATCH($Z$1,'Data qoq'!$A$1:$AU$1,),))/100+1)^4)-1</f>
        <v/>
      </c>
      <c r="AA29" s="32">
        <f>(((VLOOKUP(B29,'Data qoq'!$A:$AU,MATCH($AA$1,'Data qoq'!$A$1:$AU$1,),))/100+1)^4)-1</f>
        <v/>
      </c>
      <c r="AC29" s="26">
        <f>B29</f>
        <v/>
      </c>
      <c r="AD29" s="31">
        <f>(VLOOKUP(AC29,B:Y,MATCH($AE$6,$B$1:$Y$1,),))-(VLOOKUP(AC29,B:Y,MATCH($AE$7,$B$1:$Y$1,),))</f>
        <v/>
      </c>
      <c r="AE29" s="27" t="n"/>
    </row>
    <row r="30" hidden="1" s="68">
      <c r="A30" s="30" t="n">
        <v>38322</v>
      </c>
      <c r="B30" s="24" t="inlineStr">
        <is>
          <t>2004-Q4</t>
        </is>
      </c>
      <c r="C30" s="32">
        <f>(((VLOOKUP(B30,'Data qoq'!$A:$AT,MATCH($C$1,'Data qoq'!$A$1:$AT$1,),))/100+1)^4)-1</f>
        <v/>
      </c>
      <c r="D30" s="32">
        <f>(((VLOOKUP(B30,'Data qoq'!$A:$AT,MATCH($D$1,'Data qoq'!$A$1:$AT$1,),))/100+1)^4)-1</f>
        <v/>
      </c>
      <c r="E30" s="32">
        <f>(((VLOOKUP(B30,'Data qoq'!$A:$AT,MATCH($E$1,'Data qoq'!$A$1:$AT$1,),))/100+1)^4)-1</f>
        <v/>
      </c>
      <c r="F30" s="32">
        <f>(((VLOOKUP(B30,'Data qoq'!$A:$AT,MATCH($F$1,'Data qoq'!$A$1:$AT$1,),))/100+1)^4)-1</f>
        <v/>
      </c>
      <c r="G30" s="32">
        <f>(((VLOOKUP(B30,'Data qoq'!$A:$AT,MATCH($G$1,'Data qoq'!$A$1:$AT$1,),))/100+1)^4)-1</f>
        <v/>
      </c>
      <c r="H30" s="32">
        <f>(((VLOOKUP(B30,'Data qoq'!$A:$AT,MATCH($H$1,'Data qoq'!$A$1:$AT$1,),))/100+1)^4)-1</f>
        <v/>
      </c>
      <c r="I30" s="32">
        <f>(((VLOOKUP(B30,'Data qoq'!$A:$AT,MATCH($I$1,'Data qoq'!$A$1:$AT$1,),))/100+1)^4)-1</f>
        <v/>
      </c>
      <c r="J30" s="32">
        <f>(((VLOOKUP(B30,'Data qoq'!$A:$AT,MATCH($J$1,'Data qoq'!$A$1:$AT$1,),))/100+1)^4)-1</f>
        <v/>
      </c>
      <c r="K30" s="32">
        <f>(((VLOOKUP(B30,'Data qoq'!$A:$AT,MATCH($K$1,'Data qoq'!$A$1:$AT$1,),))/100+1)^4)-1</f>
        <v/>
      </c>
      <c r="L30" s="32">
        <f>(((VLOOKUP(B30,'Data qoq'!$A:$AT,MATCH($L$1,'Data qoq'!$A$1:$AT$1,),))/100+1)^4)-1</f>
        <v/>
      </c>
      <c r="M30" s="32">
        <f>(((VLOOKUP(B30,'Data qoq'!$A:$AT,MATCH($M$1,'Data qoq'!$A$1:$AT$1,),))/100+1)^4)-1</f>
        <v/>
      </c>
      <c r="N30" s="32">
        <f>(((VLOOKUP(B30,'Data qoq'!$A:$AT,MATCH($N$1,'Data qoq'!$A$1:$AT$1,),))/100+1)^4)-1</f>
        <v/>
      </c>
      <c r="O30" s="32">
        <f>(((VLOOKUP(B30,'Data qoq'!$A:$AT,MATCH($O$1,'Data qoq'!$A$1:$AT$1,),))/100+1)^4)-1</f>
        <v/>
      </c>
      <c r="P30" s="32">
        <f>(((VLOOKUP(B30,'Data qoq'!$A:$AT,MATCH($P$1,'Data qoq'!$A$1:$AT$1,),))/100+1)^4)-1</f>
        <v/>
      </c>
      <c r="Q30" s="32">
        <f>(((VLOOKUP(B30,'Data qoq'!$A:$AT,MATCH($Q$1,'Data qoq'!$A$1:$AT$1,),))/100+1)^4)-1</f>
        <v/>
      </c>
      <c r="R30" s="32">
        <f>(((VLOOKUP(B30,'Data qoq'!$A:$AT,MATCH($R$1,'Data qoq'!$A$1:$AT$1,),))/100+1)^4)-1</f>
        <v/>
      </c>
      <c r="S30" s="32">
        <f>(((VLOOKUP(B30,'Data qoq'!$A:$AT,MATCH($S$1,'Data qoq'!$A$1:$AT$1,),))/100+1)^4)-1</f>
        <v/>
      </c>
      <c r="T30" s="32">
        <f>(((VLOOKUP(B30,'Data qoq'!$A:$AT,MATCH($T$1,'Data qoq'!$A$1:$AT$1,),))/100+1)^4)-1</f>
        <v/>
      </c>
      <c r="U30" s="32">
        <f>(((VLOOKUP(B30,'Data qoq'!$A:$AT,MATCH($U$1,'Data qoq'!$A$1:$AT$1,),))/100+1)^4)-1</f>
        <v/>
      </c>
      <c r="V30" s="32">
        <f>(((VLOOKUP(B30,'Data qoq'!$A:$AT,MATCH($V$1,'Data qoq'!$A$1:$AT$1,),))/100+1)^4)-1</f>
        <v/>
      </c>
      <c r="W30" s="32">
        <f>(((VLOOKUP(B30,'Data qoq'!$A:$AT,MATCH($W$1,'Data qoq'!$A$1:$AT$1,),))/100+1)^4)-1</f>
        <v/>
      </c>
      <c r="X30" s="32">
        <f>(((VLOOKUP(B30,'Data qoq'!$A:$AT,MATCH($X$1,'Data qoq'!$A$1:$AT$1,),))/100+1)^4)-1</f>
        <v/>
      </c>
      <c r="Y30" s="32">
        <f>(((VLOOKUP(B30,'Data qoq'!$A:$AT,MATCH($Y$1,'Data qoq'!$A$1:$AT$1,),))/100+1)^4)-1</f>
        <v/>
      </c>
      <c r="Z30" s="32">
        <f>(((VLOOKUP(B30,'Data qoq'!$A:$AU,MATCH($Z$1,'Data qoq'!$A$1:$AU$1,),))/100+1)^4)-1</f>
        <v/>
      </c>
      <c r="AA30" s="32">
        <f>(((VLOOKUP(B30,'Data qoq'!$A:$AU,MATCH($AA$1,'Data qoq'!$A$1:$AU$1,),))/100+1)^4)-1</f>
        <v/>
      </c>
      <c r="AC30" s="26">
        <f>B30</f>
        <v/>
      </c>
      <c r="AD30" s="31">
        <f>(VLOOKUP(AC30,B:Y,MATCH($AE$6,$B$1:$Y$1,),))-(VLOOKUP(AC30,B:Y,MATCH($AE$7,$B$1:$Y$1,),))</f>
        <v/>
      </c>
      <c r="AE30" s="27" t="n"/>
    </row>
    <row r="31" hidden="1" s="68">
      <c r="A31" s="30" t="n">
        <v>38412</v>
      </c>
      <c r="B31" s="24" t="inlineStr">
        <is>
          <t>2005-Q1</t>
        </is>
      </c>
      <c r="C31" s="32">
        <f>(((VLOOKUP(B31,'Data qoq'!$A:$AT,MATCH($C$1,'Data qoq'!$A$1:$AT$1,),))/100+1)^4)-1</f>
        <v/>
      </c>
      <c r="D31" s="32">
        <f>(((VLOOKUP(B31,'Data qoq'!$A:$AT,MATCH($D$1,'Data qoq'!$A$1:$AT$1,),))/100+1)^4)-1</f>
        <v/>
      </c>
      <c r="E31" s="32">
        <f>(((VLOOKUP(B31,'Data qoq'!$A:$AT,MATCH($E$1,'Data qoq'!$A$1:$AT$1,),))/100+1)^4)-1</f>
        <v/>
      </c>
      <c r="F31" s="32">
        <f>(((VLOOKUP(B31,'Data qoq'!$A:$AT,MATCH($F$1,'Data qoq'!$A$1:$AT$1,),))/100+1)^4)-1</f>
        <v/>
      </c>
      <c r="G31" s="32">
        <f>(((VLOOKUP(B31,'Data qoq'!$A:$AT,MATCH($G$1,'Data qoq'!$A$1:$AT$1,),))/100+1)^4)-1</f>
        <v/>
      </c>
      <c r="H31" s="32">
        <f>(((VLOOKUP(B31,'Data qoq'!$A:$AT,MATCH($H$1,'Data qoq'!$A$1:$AT$1,),))/100+1)^4)-1</f>
        <v/>
      </c>
      <c r="I31" s="32">
        <f>(((VLOOKUP(B31,'Data qoq'!$A:$AT,MATCH($I$1,'Data qoq'!$A$1:$AT$1,),))/100+1)^4)-1</f>
        <v/>
      </c>
      <c r="J31" s="32">
        <f>(((VLOOKUP(B31,'Data qoq'!$A:$AT,MATCH($J$1,'Data qoq'!$A$1:$AT$1,),))/100+1)^4)-1</f>
        <v/>
      </c>
      <c r="K31" s="32">
        <f>(((VLOOKUP(B31,'Data qoq'!$A:$AT,MATCH($K$1,'Data qoq'!$A$1:$AT$1,),))/100+1)^4)-1</f>
        <v/>
      </c>
      <c r="L31" s="32">
        <f>(((VLOOKUP(B31,'Data qoq'!$A:$AT,MATCH($L$1,'Data qoq'!$A$1:$AT$1,),))/100+1)^4)-1</f>
        <v/>
      </c>
      <c r="M31" s="32">
        <f>(((VLOOKUP(B31,'Data qoq'!$A:$AT,MATCH($M$1,'Data qoq'!$A$1:$AT$1,),))/100+1)^4)-1</f>
        <v/>
      </c>
      <c r="N31" s="32">
        <f>(((VLOOKUP(B31,'Data qoq'!$A:$AT,MATCH($N$1,'Data qoq'!$A$1:$AT$1,),))/100+1)^4)-1</f>
        <v/>
      </c>
      <c r="O31" s="32">
        <f>(((VLOOKUP(B31,'Data qoq'!$A:$AT,MATCH($O$1,'Data qoq'!$A$1:$AT$1,),))/100+1)^4)-1</f>
        <v/>
      </c>
      <c r="P31" s="32">
        <f>(((VLOOKUP(B31,'Data qoq'!$A:$AT,MATCH($P$1,'Data qoq'!$A$1:$AT$1,),))/100+1)^4)-1</f>
        <v/>
      </c>
      <c r="Q31" s="32">
        <f>(((VLOOKUP(B31,'Data qoq'!$A:$AT,MATCH($Q$1,'Data qoq'!$A$1:$AT$1,),))/100+1)^4)-1</f>
        <v/>
      </c>
      <c r="R31" s="32">
        <f>(((VLOOKUP(B31,'Data qoq'!$A:$AT,MATCH($R$1,'Data qoq'!$A$1:$AT$1,),))/100+1)^4)-1</f>
        <v/>
      </c>
      <c r="S31" s="32">
        <f>(((VLOOKUP(B31,'Data qoq'!$A:$AT,MATCH($S$1,'Data qoq'!$A$1:$AT$1,),))/100+1)^4)-1</f>
        <v/>
      </c>
      <c r="T31" s="32">
        <f>(((VLOOKUP(B31,'Data qoq'!$A:$AT,MATCH($T$1,'Data qoq'!$A$1:$AT$1,),))/100+1)^4)-1</f>
        <v/>
      </c>
      <c r="U31" s="32">
        <f>(((VLOOKUP(B31,'Data qoq'!$A:$AT,MATCH($U$1,'Data qoq'!$A$1:$AT$1,),))/100+1)^4)-1</f>
        <v/>
      </c>
      <c r="V31" s="32">
        <f>(((VLOOKUP(B31,'Data qoq'!$A:$AT,MATCH($V$1,'Data qoq'!$A$1:$AT$1,),))/100+1)^4)-1</f>
        <v/>
      </c>
      <c r="W31" s="32">
        <f>(((VLOOKUP(B31,'Data qoq'!$A:$AT,MATCH($W$1,'Data qoq'!$A$1:$AT$1,),))/100+1)^4)-1</f>
        <v/>
      </c>
      <c r="X31" s="32">
        <f>(((VLOOKUP(B31,'Data qoq'!$A:$AT,MATCH($X$1,'Data qoq'!$A$1:$AT$1,),))/100+1)^4)-1</f>
        <v/>
      </c>
      <c r="Y31" s="32">
        <f>(((VLOOKUP(B31,'Data qoq'!$A:$AT,MATCH($Y$1,'Data qoq'!$A$1:$AT$1,),))/100+1)^4)-1</f>
        <v/>
      </c>
      <c r="Z31" s="32">
        <f>(((VLOOKUP(B31,'Data qoq'!$A:$AU,MATCH($Z$1,'Data qoq'!$A$1:$AU$1,),))/100+1)^4)-1</f>
        <v/>
      </c>
      <c r="AA31" s="32">
        <f>(((VLOOKUP(B31,'Data qoq'!$A:$AU,MATCH($AA$1,'Data qoq'!$A$1:$AU$1,),))/100+1)^4)-1</f>
        <v/>
      </c>
      <c r="AC31" s="26">
        <f>B31</f>
        <v/>
      </c>
      <c r="AD31" s="31">
        <f>(VLOOKUP(AC31,B:Y,MATCH($AE$6,$B$1:$Y$1,),))-(VLOOKUP(AC31,B:Y,MATCH($AE$7,$B$1:$Y$1,),))</f>
        <v/>
      </c>
      <c r="AE31" s="27" t="n"/>
    </row>
    <row r="32" hidden="1" s="68">
      <c r="A32" s="30" t="n">
        <v>38504</v>
      </c>
      <c r="B32" s="24" t="inlineStr">
        <is>
          <t>2005-Q2</t>
        </is>
      </c>
      <c r="C32" s="32">
        <f>(((VLOOKUP(B32,'Data qoq'!$A:$AT,MATCH($C$1,'Data qoq'!$A$1:$AT$1,),))/100+1)^4)-1</f>
        <v/>
      </c>
      <c r="D32" s="32">
        <f>(((VLOOKUP(B32,'Data qoq'!$A:$AT,MATCH($D$1,'Data qoq'!$A$1:$AT$1,),))/100+1)^4)-1</f>
        <v/>
      </c>
      <c r="E32" s="32">
        <f>(((VLOOKUP(B32,'Data qoq'!$A:$AT,MATCH($E$1,'Data qoq'!$A$1:$AT$1,),))/100+1)^4)-1</f>
        <v/>
      </c>
      <c r="F32" s="32">
        <f>(((VLOOKUP(B32,'Data qoq'!$A:$AT,MATCH($F$1,'Data qoq'!$A$1:$AT$1,),))/100+1)^4)-1</f>
        <v/>
      </c>
      <c r="G32" s="32">
        <f>(((VLOOKUP(B32,'Data qoq'!$A:$AT,MATCH($G$1,'Data qoq'!$A$1:$AT$1,),))/100+1)^4)-1</f>
        <v/>
      </c>
      <c r="H32" s="32">
        <f>(((VLOOKUP(B32,'Data qoq'!$A:$AT,MATCH($H$1,'Data qoq'!$A$1:$AT$1,),))/100+1)^4)-1</f>
        <v/>
      </c>
      <c r="I32" s="32">
        <f>(((VLOOKUP(B32,'Data qoq'!$A:$AT,MATCH($I$1,'Data qoq'!$A$1:$AT$1,),))/100+1)^4)-1</f>
        <v/>
      </c>
      <c r="J32" s="32">
        <f>(((VLOOKUP(B32,'Data qoq'!$A:$AT,MATCH($J$1,'Data qoq'!$A$1:$AT$1,),))/100+1)^4)-1</f>
        <v/>
      </c>
      <c r="K32" s="32">
        <f>(((VLOOKUP(B32,'Data qoq'!$A:$AT,MATCH($K$1,'Data qoq'!$A$1:$AT$1,),))/100+1)^4)-1</f>
        <v/>
      </c>
      <c r="L32" s="32">
        <f>(((VLOOKUP(B32,'Data qoq'!$A:$AT,MATCH($L$1,'Data qoq'!$A$1:$AT$1,),))/100+1)^4)-1</f>
        <v/>
      </c>
      <c r="M32" s="32">
        <f>(((VLOOKUP(B32,'Data qoq'!$A:$AT,MATCH($M$1,'Data qoq'!$A$1:$AT$1,),))/100+1)^4)-1</f>
        <v/>
      </c>
      <c r="N32" s="32">
        <f>(((VLOOKUP(B32,'Data qoq'!$A:$AT,MATCH($N$1,'Data qoq'!$A$1:$AT$1,),))/100+1)^4)-1</f>
        <v/>
      </c>
      <c r="O32" s="32">
        <f>(((VLOOKUP(B32,'Data qoq'!$A:$AT,MATCH($O$1,'Data qoq'!$A$1:$AT$1,),))/100+1)^4)-1</f>
        <v/>
      </c>
      <c r="P32" s="32">
        <f>(((VLOOKUP(B32,'Data qoq'!$A:$AT,MATCH($P$1,'Data qoq'!$A$1:$AT$1,),))/100+1)^4)-1</f>
        <v/>
      </c>
      <c r="Q32" s="32">
        <f>(((VLOOKUP(B32,'Data qoq'!$A:$AT,MATCH($Q$1,'Data qoq'!$A$1:$AT$1,),))/100+1)^4)-1</f>
        <v/>
      </c>
      <c r="R32" s="32">
        <f>(((VLOOKUP(B32,'Data qoq'!$A:$AT,MATCH($R$1,'Data qoq'!$A$1:$AT$1,),))/100+1)^4)-1</f>
        <v/>
      </c>
      <c r="S32" s="32">
        <f>(((VLOOKUP(B32,'Data qoq'!$A:$AT,MATCH($S$1,'Data qoq'!$A$1:$AT$1,),))/100+1)^4)-1</f>
        <v/>
      </c>
      <c r="T32" s="32">
        <f>(((VLOOKUP(B32,'Data qoq'!$A:$AT,MATCH($T$1,'Data qoq'!$A$1:$AT$1,),))/100+1)^4)-1</f>
        <v/>
      </c>
      <c r="U32" s="32">
        <f>(((VLOOKUP(B32,'Data qoq'!$A:$AT,MATCH($U$1,'Data qoq'!$A$1:$AT$1,),))/100+1)^4)-1</f>
        <v/>
      </c>
      <c r="V32" s="32">
        <f>(((VLOOKUP(B32,'Data qoq'!$A:$AT,MATCH($V$1,'Data qoq'!$A$1:$AT$1,),))/100+1)^4)-1</f>
        <v/>
      </c>
      <c r="W32" s="32">
        <f>(((VLOOKUP(B32,'Data qoq'!$A:$AT,MATCH($W$1,'Data qoq'!$A$1:$AT$1,),))/100+1)^4)-1</f>
        <v/>
      </c>
      <c r="X32" s="32">
        <f>(((VLOOKUP(B32,'Data qoq'!$A:$AT,MATCH($X$1,'Data qoq'!$A$1:$AT$1,),))/100+1)^4)-1</f>
        <v/>
      </c>
      <c r="Y32" s="32">
        <f>(((VLOOKUP(B32,'Data qoq'!$A:$AT,MATCH($Y$1,'Data qoq'!$A$1:$AT$1,),))/100+1)^4)-1</f>
        <v/>
      </c>
      <c r="Z32" s="32">
        <f>(((VLOOKUP(B32,'Data qoq'!$A:$AU,MATCH($Z$1,'Data qoq'!$A$1:$AU$1,),))/100+1)^4)-1</f>
        <v/>
      </c>
      <c r="AA32" s="32">
        <f>(((VLOOKUP(B32,'Data qoq'!$A:$AU,MATCH($AA$1,'Data qoq'!$A$1:$AU$1,),))/100+1)^4)-1</f>
        <v/>
      </c>
      <c r="AC32" s="26">
        <f>B32</f>
        <v/>
      </c>
      <c r="AD32" s="31">
        <f>(VLOOKUP(AC32,B:Y,MATCH($AE$6,$B$1:$Y$1,),))-(VLOOKUP(AC32,B:Y,MATCH($AE$7,$B$1:$Y$1,),))</f>
        <v/>
      </c>
      <c r="AE32" s="27" t="n"/>
    </row>
    <row r="33" hidden="1" s="68">
      <c r="A33" s="30" t="n">
        <v>38596</v>
      </c>
      <c r="B33" s="24" t="inlineStr">
        <is>
          <t>2005-Q3</t>
        </is>
      </c>
      <c r="C33" s="32">
        <f>(((VLOOKUP(B33,'Data qoq'!$A:$AT,MATCH($C$1,'Data qoq'!$A$1:$AT$1,),))/100+1)^4)-1</f>
        <v/>
      </c>
      <c r="D33" s="32">
        <f>(((VLOOKUP(B33,'Data qoq'!$A:$AT,MATCH($D$1,'Data qoq'!$A$1:$AT$1,),))/100+1)^4)-1</f>
        <v/>
      </c>
      <c r="E33" s="32">
        <f>(((VLOOKUP(B33,'Data qoq'!$A:$AT,MATCH($E$1,'Data qoq'!$A$1:$AT$1,),))/100+1)^4)-1</f>
        <v/>
      </c>
      <c r="F33" s="32">
        <f>(((VLOOKUP(B33,'Data qoq'!$A:$AT,MATCH($F$1,'Data qoq'!$A$1:$AT$1,),))/100+1)^4)-1</f>
        <v/>
      </c>
      <c r="G33" s="32">
        <f>(((VLOOKUP(B33,'Data qoq'!$A:$AT,MATCH($G$1,'Data qoq'!$A$1:$AT$1,),))/100+1)^4)-1</f>
        <v/>
      </c>
      <c r="H33" s="32">
        <f>(((VLOOKUP(B33,'Data qoq'!$A:$AT,MATCH($H$1,'Data qoq'!$A$1:$AT$1,),))/100+1)^4)-1</f>
        <v/>
      </c>
      <c r="I33" s="32">
        <f>(((VLOOKUP(B33,'Data qoq'!$A:$AT,MATCH($I$1,'Data qoq'!$A$1:$AT$1,),))/100+1)^4)-1</f>
        <v/>
      </c>
      <c r="J33" s="32">
        <f>(((VLOOKUP(B33,'Data qoq'!$A:$AT,MATCH($J$1,'Data qoq'!$A$1:$AT$1,),))/100+1)^4)-1</f>
        <v/>
      </c>
      <c r="K33" s="32">
        <f>(((VLOOKUP(B33,'Data qoq'!$A:$AT,MATCH($K$1,'Data qoq'!$A$1:$AT$1,),))/100+1)^4)-1</f>
        <v/>
      </c>
      <c r="L33" s="32">
        <f>(((VLOOKUP(B33,'Data qoq'!$A:$AT,MATCH($L$1,'Data qoq'!$A$1:$AT$1,),))/100+1)^4)-1</f>
        <v/>
      </c>
      <c r="M33" s="32">
        <f>(((VLOOKUP(B33,'Data qoq'!$A:$AT,MATCH($M$1,'Data qoq'!$A$1:$AT$1,),))/100+1)^4)-1</f>
        <v/>
      </c>
      <c r="N33" s="32">
        <f>(((VLOOKUP(B33,'Data qoq'!$A:$AT,MATCH($N$1,'Data qoq'!$A$1:$AT$1,),))/100+1)^4)-1</f>
        <v/>
      </c>
      <c r="O33" s="32">
        <f>(((VLOOKUP(B33,'Data qoq'!$A:$AT,MATCH($O$1,'Data qoq'!$A$1:$AT$1,),))/100+1)^4)-1</f>
        <v/>
      </c>
      <c r="P33" s="32">
        <f>(((VLOOKUP(B33,'Data qoq'!$A:$AT,MATCH($P$1,'Data qoq'!$A$1:$AT$1,),))/100+1)^4)-1</f>
        <v/>
      </c>
      <c r="Q33" s="32">
        <f>(((VLOOKUP(B33,'Data qoq'!$A:$AT,MATCH($Q$1,'Data qoq'!$A$1:$AT$1,),))/100+1)^4)-1</f>
        <v/>
      </c>
      <c r="R33" s="32">
        <f>(((VLOOKUP(B33,'Data qoq'!$A:$AT,MATCH($R$1,'Data qoq'!$A$1:$AT$1,),))/100+1)^4)-1</f>
        <v/>
      </c>
      <c r="S33" s="32">
        <f>(((VLOOKUP(B33,'Data qoq'!$A:$AT,MATCH($S$1,'Data qoq'!$A$1:$AT$1,),))/100+1)^4)-1</f>
        <v/>
      </c>
      <c r="T33" s="32">
        <f>(((VLOOKUP(B33,'Data qoq'!$A:$AT,MATCH($T$1,'Data qoq'!$A$1:$AT$1,),))/100+1)^4)-1</f>
        <v/>
      </c>
      <c r="U33" s="32">
        <f>(((VLOOKUP(B33,'Data qoq'!$A:$AT,MATCH($U$1,'Data qoq'!$A$1:$AT$1,),))/100+1)^4)-1</f>
        <v/>
      </c>
      <c r="V33" s="32">
        <f>(((VLOOKUP(B33,'Data qoq'!$A:$AT,MATCH($V$1,'Data qoq'!$A$1:$AT$1,),))/100+1)^4)-1</f>
        <v/>
      </c>
      <c r="W33" s="32">
        <f>(((VLOOKUP(B33,'Data qoq'!$A:$AT,MATCH($W$1,'Data qoq'!$A$1:$AT$1,),))/100+1)^4)-1</f>
        <v/>
      </c>
      <c r="X33" s="32">
        <f>(((VLOOKUP(B33,'Data qoq'!$A:$AT,MATCH($X$1,'Data qoq'!$A$1:$AT$1,),))/100+1)^4)-1</f>
        <v/>
      </c>
      <c r="Y33" s="32">
        <f>(((VLOOKUP(B33,'Data qoq'!$A:$AT,MATCH($Y$1,'Data qoq'!$A$1:$AT$1,),))/100+1)^4)-1</f>
        <v/>
      </c>
      <c r="Z33" s="32">
        <f>(((VLOOKUP(B33,'Data qoq'!$A:$AU,MATCH($Z$1,'Data qoq'!$A$1:$AU$1,),))/100+1)^4)-1</f>
        <v/>
      </c>
      <c r="AA33" s="32">
        <f>(((VLOOKUP(B33,'Data qoq'!$A:$AU,MATCH($AA$1,'Data qoq'!$A$1:$AU$1,),))/100+1)^4)-1</f>
        <v/>
      </c>
      <c r="AC33" s="26">
        <f>B33</f>
        <v/>
      </c>
      <c r="AD33" s="31">
        <f>(VLOOKUP(AC33,B:Y,MATCH($AE$6,$B$1:$Y$1,),))-(VLOOKUP(AC33,B:Y,MATCH($AE$7,$B$1:$Y$1,),))</f>
        <v/>
      </c>
      <c r="AE33" s="27" t="n"/>
    </row>
    <row r="34" hidden="1" s="68">
      <c r="A34" s="30" t="n">
        <v>38687</v>
      </c>
      <c r="B34" s="24" t="inlineStr">
        <is>
          <t>2005-Q4</t>
        </is>
      </c>
      <c r="C34" s="32">
        <f>(((VLOOKUP(B34,'Data qoq'!$A:$AT,MATCH($C$1,'Data qoq'!$A$1:$AT$1,),))/100+1)^4)-1</f>
        <v/>
      </c>
      <c r="D34" s="32">
        <f>(((VLOOKUP(B34,'Data qoq'!$A:$AT,MATCH($D$1,'Data qoq'!$A$1:$AT$1,),))/100+1)^4)-1</f>
        <v/>
      </c>
      <c r="E34" s="32">
        <f>(((VLOOKUP(B34,'Data qoq'!$A:$AT,MATCH($E$1,'Data qoq'!$A$1:$AT$1,),))/100+1)^4)-1</f>
        <v/>
      </c>
      <c r="F34" s="32">
        <f>(((VLOOKUP(B34,'Data qoq'!$A:$AT,MATCH($F$1,'Data qoq'!$A$1:$AT$1,),))/100+1)^4)-1</f>
        <v/>
      </c>
      <c r="G34" s="32">
        <f>(((VLOOKUP(B34,'Data qoq'!$A:$AT,MATCH($G$1,'Data qoq'!$A$1:$AT$1,),))/100+1)^4)-1</f>
        <v/>
      </c>
      <c r="H34" s="32">
        <f>(((VLOOKUP(B34,'Data qoq'!$A:$AT,MATCH($H$1,'Data qoq'!$A$1:$AT$1,),))/100+1)^4)-1</f>
        <v/>
      </c>
      <c r="I34" s="32">
        <f>(((VLOOKUP(B34,'Data qoq'!$A:$AT,MATCH($I$1,'Data qoq'!$A$1:$AT$1,),))/100+1)^4)-1</f>
        <v/>
      </c>
      <c r="J34" s="32">
        <f>(((VLOOKUP(B34,'Data qoq'!$A:$AT,MATCH($J$1,'Data qoq'!$A$1:$AT$1,),))/100+1)^4)-1</f>
        <v/>
      </c>
      <c r="K34" s="32">
        <f>(((VLOOKUP(B34,'Data qoq'!$A:$AT,MATCH($K$1,'Data qoq'!$A$1:$AT$1,),))/100+1)^4)-1</f>
        <v/>
      </c>
      <c r="L34" s="32">
        <f>(((VLOOKUP(B34,'Data qoq'!$A:$AT,MATCH($L$1,'Data qoq'!$A$1:$AT$1,),))/100+1)^4)-1</f>
        <v/>
      </c>
      <c r="M34" s="32">
        <f>(((VLOOKUP(B34,'Data qoq'!$A:$AT,MATCH($M$1,'Data qoq'!$A$1:$AT$1,),))/100+1)^4)-1</f>
        <v/>
      </c>
      <c r="N34" s="32">
        <f>(((VLOOKUP(B34,'Data qoq'!$A:$AT,MATCH($N$1,'Data qoq'!$A$1:$AT$1,),))/100+1)^4)-1</f>
        <v/>
      </c>
      <c r="O34" s="32">
        <f>(((VLOOKUP(B34,'Data qoq'!$A:$AT,MATCH($O$1,'Data qoq'!$A$1:$AT$1,),))/100+1)^4)-1</f>
        <v/>
      </c>
      <c r="P34" s="32">
        <f>(((VLOOKUP(B34,'Data qoq'!$A:$AT,MATCH($P$1,'Data qoq'!$A$1:$AT$1,),))/100+1)^4)-1</f>
        <v/>
      </c>
      <c r="Q34" s="32">
        <f>(((VLOOKUP(B34,'Data qoq'!$A:$AT,MATCH($Q$1,'Data qoq'!$A$1:$AT$1,),))/100+1)^4)-1</f>
        <v/>
      </c>
      <c r="R34" s="32">
        <f>(((VLOOKUP(B34,'Data qoq'!$A:$AT,MATCH($R$1,'Data qoq'!$A$1:$AT$1,),))/100+1)^4)-1</f>
        <v/>
      </c>
      <c r="S34" s="32">
        <f>(((VLOOKUP(B34,'Data qoq'!$A:$AT,MATCH($S$1,'Data qoq'!$A$1:$AT$1,),))/100+1)^4)-1</f>
        <v/>
      </c>
      <c r="T34" s="32">
        <f>(((VLOOKUP(B34,'Data qoq'!$A:$AT,MATCH($T$1,'Data qoq'!$A$1:$AT$1,),))/100+1)^4)-1</f>
        <v/>
      </c>
      <c r="U34" s="32">
        <f>(((VLOOKUP(B34,'Data qoq'!$A:$AT,MATCH($U$1,'Data qoq'!$A$1:$AT$1,),))/100+1)^4)-1</f>
        <v/>
      </c>
      <c r="V34" s="32">
        <f>(((VLOOKUP(B34,'Data qoq'!$A:$AT,MATCH($V$1,'Data qoq'!$A$1:$AT$1,),))/100+1)^4)-1</f>
        <v/>
      </c>
      <c r="W34" s="32">
        <f>(((VLOOKUP(B34,'Data qoq'!$A:$AT,MATCH($W$1,'Data qoq'!$A$1:$AT$1,),))/100+1)^4)-1</f>
        <v/>
      </c>
      <c r="X34" s="32">
        <f>(((VLOOKUP(B34,'Data qoq'!$A:$AT,MATCH($X$1,'Data qoq'!$A$1:$AT$1,),))/100+1)^4)-1</f>
        <v/>
      </c>
      <c r="Y34" s="32">
        <f>(((VLOOKUP(B34,'Data qoq'!$A:$AT,MATCH($Y$1,'Data qoq'!$A$1:$AT$1,),))/100+1)^4)-1</f>
        <v/>
      </c>
      <c r="Z34" s="32">
        <f>(((VLOOKUP(B34,'Data qoq'!$A:$AU,MATCH($Z$1,'Data qoq'!$A$1:$AU$1,),))/100+1)^4)-1</f>
        <v/>
      </c>
      <c r="AA34" s="32">
        <f>(((VLOOKUP(B34,'Data qoq'!$A:$AU,MATCH($AA$1,'Data qoq'!$A$1:$AU$1,),))/100+1)^4)-1</f>
        <v/>
      </c>
      <c r="AC34" s="26">
        <f>B34</f>
        <v/>
      </c>
      <c r="AD34" s="31">
        <f>(VLOOKUP(AC34,B:Y,MATCH($AE$6,$B$1:$Y$1,),))-(VLOOKUP(AC34,B:Y,MATCH($AE$7,$B$1:$Y$1,),))</f>
        <v/>
      </c>
      <c r="AE34" s="27" t="n"/>
    </row>
    <row r="35" hidden="1" s="68">
      <c r="A35" s="30" t="n">
        <v>38777</v>
      </c>
      <c r="B35" s="24" t="inlineStr">
        <is>
          <t>2006-Q1</t>
        </is>
      </c>
      <c r="C35" s="32">
        <f>(((VLOOKUP(B35,'Data qoq'!$A:$AT,MATCH($C$1,'Data qoq'!$A$1:$AT$1,),))/100+1)^4)-1</f>
        <v/>
      </c>
      <c r="D35" s="32">
        <f>(((VLOOKUP(B35,'Data qoq'!$A:$AT,MATCH($D$1,'Data qoq'!$A$1:$AT$1,),))/100+1)^4)-1</f>
        <v/>
      </c>
      <c r="E35" s="32">
        <f>(((VLOOKUP(B35,'Data qoq'!$A:$AT,MATCH($E$1,'Data qoq'!$A$1:$AT$1,),))/100+1)^4)-1</f>
        <v/>
      </c>
      <c r="F35" s="32">
        <f>(((VLOOKUP(B35,'Data qoq'!$A:$AT,MATCH($F$1,'Data qoq'!$A$1:$AT$1,),))/100+1)^4)-1</f>
        <v/>
      </c>
      <c r="G35" s="32">
        <f>(((VLOOKUP(B35,'Data qoq'!$A:$AT,MATCH($G$1,'Data qoq'!$A$1:$AT$1,),))/100+1)^4)-1</f>
        <v/>
      </c>
      <c r="H35" s="32">
        <f>(((VLOOKUP(B35,'Data qoq'!$A:$AT,MATCH($H$1,'Data qoq'!$A$1:$AT$1,),))/100+1)^4)-1</f>
        <v/>
      </c>
      <c r="I35" s="32">
        <f>(((VLOOKUP(B35,'Data qoq'!$A:$AT,MATCH($I$1,'Data qoq'!$A$1:$AT$1,),))/100+1)^4)-1</f>
        <v/>
      </c>
      <c r="J35" s="32">
        <f>(((VLOOKUP(B35,'Data qoq'!$A:$AT,MATCH($J$1,'Data qoq'!$A$1:$AT$1,),))/100+1)^4)-1</f>
        <v/>
      </c>
      <c r="K35" s="32">
        <f>(((VLOOKUP(B35,'Data qoq'!$A:$AT,MATCH($K$1,'Data qoq'!$A$1:$AT$1,),))/100+1)^4)-1</f>
        <v/>
      </c>
      <c r="L35" s="32">
        <f>(((VLOOKUP(B35,'Data qoq'!$A:$AT,MATCH($L$1,'Data qoq'!$A$1:$AT$1,),))/100+1)^4)-1</f>
        <v/>
      </c>
      <c r="M35" s="32">
        <f>(((VLOOKUP(B35,'Data qoq'!$A:$AT,MATCH($M$1,'Data qoq'!$A$1:$AT$1,),))/100+1)^4)-1</f>
        <v/>
      </c>
      <c r="N35" s="32">
        <f>(((VLOOKUP(B35,'Data qoq'!$A:$AT,MATCH($N$1,'Data qoq'!$A$1:$AT$1,),))/100+1)^4)-1</f>
        <v/>
      </c>
      <c r="O35" s="32">
        <f>(((VLOOKUP(B35,'Data qoq'!$A:$AT,MATCH($O$1,'Data qoq'!$A$1:$AT$1,),))/100+1)^4)-1</f>
        <v/>
      </c>
      <c r="P35" s="32">
        <f>(((VLOOKUP(B35,'Data qoq'!$A:$AT,MATCH($P$1,'Data qoq'!$A$1:$AT$1,),))/100+1)^4)-1</f>
        <v/>
      </c>
      <c r="Q35" s="32">
        <f>(((VLOOKUP(B35,'Data qoq'!$A:$AT,MATCH($Q$1,'Data qoq'!$A$1:$AT$1,),))/100+1)^4)-1</f>
        <v/>
      </c>
      <c r="R35" s="32">
        <f>(((VLOOKUP(B35,'Data qoq'!$A:$AT,MATCH($R$1,'Data qoq'!$A$1:$AT$1,),))/100+1)^4)-1</f>
        <v/>
      </c>
      <c r="S35" s="32">
        <f>(((VLOOKUP(B35,'Data qoq'!$A:$AT,MATCH($S$1,'Data qoq'!$A$1:$AT$1,),))/100+1)^4)-1</f>
        <v/>
      </c>
      <c r="T35" s="32">
        <f>(((VLOOKUP(B35,'Data qoq'!$A:$AT,MATCH($T$1,'Data qoq'!$A$1:$AT$1,),))/100+1)^4)-1</f>
        <v/>
      </c>
      <c r="U35" s="32">
        <f>(((VLOOKUP(B35,'Data qoq'!$A:$AT,MATCH($U$1,'Data qoq'!$A$1:$AT$1,),))/100+1)^4)-1</f>
        <v/>
      </c>
      <c r="V35" s="32">
        <f>(((VLOOKUP(B35,'Data qoq'!$A:$AT,MATCH($V$1,'Data qoq'!$A$1:$AT$1,),))/100+1)^4)-1</f>
        <v/>
      </c>
      <c r="W35" s="32">
        <f>(((VLOOKUP(B35,'Data qoq'!$A:$AT,MATCH($W$1,'Data qoq'!$A$1:$AT$1,),))/100+1)^4)-1</f>
        <v/>
      </c>
      <c r="X35" s="32">
        <f>(((VLOOKUP(B35,'Data qoq'!$A:$AT,MATCH($X$1,'Data qoq'!$A$1:$AT$1,),))/100+1)^4)-1</f>
        <v/>
      </c>
      <c r="Y35" s="32">
        <f>(((VLOOKUP(B35,'Data qoq'!$A:$AT,MATCH($Y$1,'Data qoq'!$A$1:$AT$1,),))/100+1)^4)-1</f>
        <v/>
      </c>
      <c r="Z35" s="32">
        <f>(((VLOOKUP(B35,'Data qoq'!$A:$AU,MATCH($Z$1,'Data qoq'!$A$1:$AU$1,),))/100+1)^4)-1</f>
        <v/>
      </c>
      <c r="AA35" s="32">
        <f>(((VLOOKUP(B35,'Data qoq'!$A:$AU,MATCH($AA$1,'Data qoq'!$A$1:$AU$1,),))/100+1)^4)-1</f>
        <v/>
      </c>
      <c r="AC35" s="26">
        <f>B35</f>
        <v/>
      </c>
      <c r="AD35" s="31">
        <f>(VLOOKUP(AC35,B:Y,MATCH($AE$6,$B$1:$Y$1,),))-(VLOOKUP(AC35,B:Y,MATCH($AE$7,$B$1:$Y$1,),))</f>
        <v/>
      </c>
      <c r="AE35" s="27" t="n"/>
    </row>
    <row r="36" hidden="1" s="68">
      <c r="A36" s="30" t="n">
        <v>38869</v>
      </c>
      <c r="B36" s="24" t="inlineStr">
        <is>
          <t>2006-Q2</t>
        </is>
      </c>
      <c r="C36" s="32">
        <f>(((VLOOKUP(B36,'Data qoq'!$A:$AT,MATCH($C$1,'Data qoq'!$A$1:$AT$1,),))/100+1)^4)-1</f>
        <v/>
      </c>
      <c r="D36" s="32">
        <f>(((VLOOKUP(B36,'Data qoq'!$A:$AT,MATCH($D$1,'Data qoq'!$A$1:$AT$1,),))/100+1)^4)-1</f>
        <v/>
      </c>
      <c r="E36" s="32">
        <f>(((VLOOKUP(B36,'Data qoq'!$A:$AT,MATCH($E$1,'Data qoq'!$A$1:$AT$1,),))/100+1)^4)-1</f>
        <v/>
      </c>
      <c r="F36" s="32">
        <f>(((VLOOKUP(B36,'Data qoq'!$A:$AT,MATCH($F$1,'Data qoq'!$A$1:$AT$1,),))/100+1)^4)-1</f>
        <v/>
      </c>
      <c r="G36" s="32">
        <f>(((VLOOKUP(B36,'Data qoq'!$A:$AT,MATCH($G$1,'Data qoq'!$A$1:$AT$1,),))/100+1)^4)-1</f>
        <v/>
      </c>
      <c r="H36" s="32">
        <f>(((VLOOKUP(B36,'Data qoq'!$A:$AT,MATCH($H$1,'Data qoq'!$A$1:$AT$1,),))/100+1)^4)-1</f>
        <v/>
      </c>
      <c r="I36" s="32">
        <f>(((VLOOKUP(B36,'Data qoq'!$A:$AT,MATCH($I$1,'Data qoq'!$A$1:$AT$1,),))/100+1)^4)-1</f>
        <v/>
      </c>
      <c r="J36" s="32">
        <f>(((VLOOKUP(B36,'Data qoq'!$A:$AT,MATCH($J$1,'Data qoq'!$A$1:$AT$1,),))/100+1)^4)-1</f>
        <v/>
      </c>
      <c r="K36" s="32">
        <f>(((VLOOKUP(B36,'Data qoq'!$A:$AT,MATCH($K$1,'Data qoq'!$A$1:$AT$1,),))/100+1)^4)-1</f>
        <v/>
      </c>
      <c r="L36" s="32">
        <f>(((VLOOKUP(B36,'Data qoq'!$A:$AT,MATCH($L$1,'Data qoq'!$A$1:$AT$1,),))/100+1)^4)-1</f>
        <v/>
      </c>
      <c r="M36" s="32">
        <f>(((VLOOKUP(B36,'Data qoq'!$A:$AT,MATCH($M$1,'Data qoq'!$A$1:$AT$1,),))/100+1)^4)-1</f>
        <v/>
      </c>
      <c r="N36" s="32">
        <f>(((VLOOKUP(B36,'Data qoq'!$A:$AT,MATCH($N$1,'Data qoq'!$A$1:$AT$1,),))/100+1)^4)-1</f>
        <v/>
      </c>
      <c r="O36" s="32">
        <f>(((VLOOKUP(B36,'Data qoq'!$A:$AT,MATCH($O$1,'Data qoq'!$A$1:$AT$1,),))/100+1)^4)-1</f>
        <v/>
      </c>
      <c r="P36" s="32">
        <f>(((VLOOKUP(B36,'Data qoq'!$A:$AT,MATCH($P$1,'Data qoq'!$A$1:$AT$1,),))/100+1)^4)-1</f>
        <v/>
      </c>
      <c r="Q36" s="32">
        <f>(((VLOOKUP(B36,'Data qoq'!$A:$AT,MATCH($Q$1,'Data qoq'!$A$1:$AT$1,),))/100+1)^4)-1</f>
        <v/>
      </c>
      <c r="R36" s="32">
        <f>(((VLOOKUP(B36,'Data qoq'!$A:$AT,MATCH($R$1,'Data qoq'!$A$1:$AT$1,),))/100+1)^4)-1</f>
        <v/>
      </c>
      <c r="S36" s="32">
        <f>(((VLOOKUP(B36,'Data qoq'!$A:$AT,MATCH($S$1,'Data qoq'!$A$1:$AT$1,),))/100+1)^4)-1</f>
        <v/>
      </c>
      <c r="T36" s="32">
        <f>(((VLOOKUP(B36,'Data qoq'!$A:$AT,MATCH($T$1,'Data qoq'!$A$1:$AT$1,),))/100+1)^4)-1</f>
        <v/>
      </c>
      <c r="U36" s="32">
        <f>(((VLOOKUP(B36,'Data qoq'!$A:$AT,MATCH($U$1,'Data qoq'!$A$1:$AT$1,),))/100+1)^4)-1</f>
        <v/>
      </c>
      <c r="V36" s="32">
        <f>(((VLOOKUP(B36,'Data qoq'!$A:$AT,MATCH($V$1,'Data qoq'!$A$1:$AT$1,),))/100+1)^4)-1</f>
        <v/>
      </c>
      <c r="W36" s="32">
        <f>(((VLOOKUP(B36,'Data qoq'!$A:$AT,MATCH($W$1,'Data qoq'!$A$1:$AT$1,),))/100+1)^4)-1</f>
        <v/>
      </c>
      <c r="X36" s="32">
        <f>(((VLOOKUP(B36,'Data qoq'!$A:$AT,MATCH($X$1,'Data qoq'!$A$1:$AT$1,),))/100+1)^4)-1</f>
        <v/>
      </c>
      <c r="Y36" s="32">
        <f>(((VLOOKUP(B36,'Data qoq'!$A:$AT,MATCH($Y$1,'Data qoq'!$A$1:$AT$1,),))/100+1)^4)-1</f>
        <v/>
      </c>
      <c r="Z36" s="32">
        <f>(((VLOOKUP(B36,'Data qoq'!$A:$AU,MATCH($Z$1,'Data qoq'!$A$1:$AU$1,),))/100+1)^4)-1</f>
        <v/>
      </c>
      <c r="AA36" s="32">
        <f>(((VLOOKUP(B36,'Data qoq'!$A:$AU,MATCH($AA$1,'Data qoq'!$A$1:$AU$1,),))/100+1)^4)-1</f>
        <v/>
      </c>
      <c r="AC36" s="26">
        <f>B36</f>
        <v/>
      </c>
      <c r="AD36" s="31">
        <f>(VLOOKUP(AC36,B:Y,MATCH($AE$6,$B$1:$Y$1,),))-(VLOOKUP(AC36,B:Y,MATCH($AE$7,$B$1:$Y$1,),))</f>
        <v/>
      </c>
      <c r="AE36" s="27" t="n"/>
    </row>
    <row r="37" hidden="1" s="68">
      <c r="A37" s="30" t="n">
        <v>38961</v>
      </c>
      <c r="B37" s="24" t="inlineStr">
        <is>
          <t>2006-Q3</t>
        </is>
      </c>
      <c r="C37" s="32">
        <f>(((VLOOKUP(B37,'Data qoq'!$A:$AT,MATCH($C$1,'Data qoq'!$A$1:$AT$1,),))/100+1)^4)-1</f>
        <v/>
      </c>
      <c r="D37" s="32">
        <f>(((VLOOKUP(B37,'Data qoq'!$A:$AT,MATCH($D$1,'Data qoq'!$A$1:$AT$1,),))/100+1)^4)-1</f>
        <v/>
      </c>
      <c r="E37" s="32">
        <f>(((VLOOKUP(B37,'Data qoq'!$A:$AT,MATCH($E$1,'Data qoq'!$A$1:$AT$1,),))/100+1)^4)-1</f>
        <v/>
      </c>
      <c r="F37" s="32">
        <f>(((VLOOKUP(B37,'Data qoq'!$A:$AT,MATCH($F$1,'Data qoq'!$A$1:$AT$1,),))/100+1)^4)-1</f>
        <v/>
      </c>
      <c r="G37" s="32">
        <f>(((VLOOKUP(B37,'Data qoq'!$A:$AT,MATCH($G$1,'Data qoq'!$A$1:$AT$1,),))/100+1)^4)-1</f>
        <v/>
      </c>
      <c r="H37" s="32">
        <f>(((VLOOKUP(B37,'Data qoq'!$A:$AT,MATCH($H$1,'Data qoq'!$A$1:$AT$1,),))/100+1)^4)-1</f>
        <v/>
      </c>
      <c r="I37" s="32">
        <f>(((VLOOKUP(B37,'Data qoq'!$A:$AT,MATCH($I$1,'Data qoq'!$A$1:$AT$1,),))/100+1)^4)-1</f>
        <v/>
      </c>
      <c r="J37" s="32">
        <f>(((VLOOKUP(B37,'Data qoq'!$A:$AT,MATCH($J$1,'Data qoq'!$A$1:$AT$1,),))/100+1)^4)-1</f>
        <v/>
      </c>
      <c r="K37" s="32">
        <f>(((VLOOKUP(B37,'Data qoq'!$A:$AT,MATCH($K$1,'Data qoq'!$A$1:$AT$1,),))/100+1)^4)-1</f>
        <v/>
      </c>
      <c r="L37" s="32">
        <f>(((VLOOKUP(B37,'Data qoq'!$A:$AT,MATCH($L$1,'Data qoq'!$A$1:$AT$1,),))/100+1)^4)-1</f>
        <v/>
      </c>
      <c r="M37" s="32">
        <f>(((VLOOKUP(B37,'Data qoq'!$A:$AT,MATCH($M$1,'Data qoq'!$A$1:$AT$1,),))/100+1)^4)-1</f>
        <v/>
      </c>
      <c r="N37" s="32">
        <f>(((VLOOKUP(B37,'Data qoq'!$A:$AT,MATCH($N$1,'Data qoq'!$A$1:$AT$1,),))/100+1)^4)-1</f>
        <v/>
      </c>
      <c r="O37" s="32">
        <f>(((VLOOKUP(B37,'Data qoq'!$A:$AT,MATCH($O$1,'Data qoq'!$A$1:$AT$1,),))/100+1)^4)-1</f>
        <v/>
      </c>
      <c r="P37" s="32">
        <f>(((VLOOKUP(B37,'Data qoq'!$A:$AT,MATCH($P$1,'Data qoq'!$A$1:$AT$1,),))/100+1)^4)-1</f>
        <v/>
      </c>
      <c r="Q37" s="32">
        <f>(((VLOOKUP(B37,'Data qoq'!$A:$AT,MATCH($Q$1,'Data qoq'!$A$1:$AT$1,),))/100+1)^4)-1</f>
        <v/>
      </c>
      <c r="R37" s="32">
        <f>(((VLOOKUP(B37,'Data qoq'!$A:$AT,MATCH($R$1,'Data qoq'!$A$1:$AT$1,),))/100+1)^4)-1</f>
        <v/>
      </c>
      <c r="S37" s="32">
        <f>(((VLOOKUP(B37,'Data qoq'!$A:$AT,MATCH($S$1,'Data qoq'!$A$1:$AT$1,),))/100+1)^4)-1</f>
        <v/>
      </c>
      <c r="T37" s="32">
        <f>(((VLOOKUP(B37,'Data qoq'!$A:$AT,MATCH($T$1,'Data qoq'!$A$1:$AT$1,),))/100+1)^4)-1</f>
        <v/>
      </c>
      <c r="U37" s="32">
        <f>(((VLOOKUP(B37,'Data qoq'!$A:$AT,MATCH($U$1,'Data qoq'!$A$1:$AT$1,),))/100+1)^4)-1</f>
        <v/>
      </c>
      <c r="V37" s="32">
        <f>(((VLOOKUP(B37,'Data qoq'!$A:$AT,MATCH($V$1,'Data qoq'!$A$1:$AT$1,),))/100+1)^4)-1</f>
        <v/>
      </c>
      <c r="W37" s="32">
        <f>(((VLOOKUP(B37,'Data qoq'!$A:$AT,MATCH($W$1,'Data qoq'!$A$1:$AT$1,),))/100+1)^4)-1</f>
        <v/>
      </c>
      <c r="X37" s="32">
        <f>(((VLOOKUP(B37,'Data qoq'!$A:$AT,MATCH($X$1,'Data qoq'!$A$1:$AT$1,),))/100+1)^4)-1</f>
        <v/>
      </c>
      <c r="Y37" s="32">
        <f>(((VLOOKUP(B37,'Data qoq'!$A:$AT,MATCH($Y$1,'Data qoq'!$A$1:$AT$1,),))/100+1)^4)-1</f>
        <v/>
      </c>
      <c r="Z37" s="32">
        <f>(((VLOOKUP(B37,'Data qoq'!$A:$AU,MATCH($Z$1,'Data qoq'!$A$1:$AU$1,),))/100+1)^4)-1</f>
        <v/>
      </c>
      <c r="AA37" s="32">
        <f>(((VLOOKUP(B37,'Data qoq'!$A:$AU,MATCH($AA$1,'Data qoq'!$A$1:$AU$1,),))/100+1)^4)-1</f>
        <v/>
      </c>
      <c r="AC37" s="26">
        <f>B37</f>
        <v/>
      </c>
      <c r="AD37" s="31">
        <f>(VLOOKUP(AC37,B:Y,MATCH($AE$6,$B$1:$Y$1,),))-(VLOOKUP(AC37,B:Y,MATCH($AE$7,$B$1:$Y$1,),))</f>
        <v/>
      </c>
      <c r="AE37" s="27" t="n"/>
    </row>
    <row r="38" hidden="1" s="68">
      <c r="A38" s="30" t="n">
        <v>39052</v>
      </c>
      <c r="B38" s="24" t="inlineStr">
        <is>
          <t>2006-Q4</t>
        </is>
      </c>
      <c r="C38" s="32">
        <f>(((VLOOKUP(B38,'Data qoq'!$A:$AT,MATCH($C$1,'Data qoq'!$A$1:$AT$1,),))/100+1)^4)-1</f>
        <v/>
      </c>
      <c r="D38" s="32">
        <f>(((VLOOKUP(B38,'Data qoq'!$A:$AT,MATCH($D$1,'Data qoq'!$A$1:$AT$1,),))/100+1)^4)-1</f>
        <v/>
      </c>
      <c r="E38" s="32">
        <f>(((VLOOKUP(B38,'Data qoq'!$A:$AT,MATCH($E$1,'Data qoq'!$A$1:$AT$1,),))/100+1)^4)-1</f>
        <v/>
      </c>
      <c r="F38" s="32">
        <f>(((VLOOKUP(B38,'Data qoq'!$A:$AT,MATCH($F$1,'Data qoq'!$A$1:$AT$1,),))/100+1)^4)-1</f>
        <v/>
      </c>
      <c r="G38" s="32">
        <f>(((VLOOKUP(B38,'Data qoq'!$A:$AT,MATCH($G$1,'Data qoq'!$A$1:$AT$1,),))/100+1)^4)-1</f>
        <v/>
      </c>
      <c r="H38" s="32">
        <f>(((VLOOKUP(B38,'Data qoq'!$A:$AT,MATCH($H$1,'Data qoq'!$A$1:$AT$1,),))/100+1)^4)-1</f>
        <v/>
      </c>
      <c r="I38" s="32">
        <f>(((VLOOKUP(B38,'Data qoq'!$A:$AT,MATCH($I$1,'Data qoq'!$A$1:$AT$1,),))/100+1)^4)-1</f>
        <v/>
      </c>
      <c r="J38" s="32">
        <f>(((VLOOKUP(B38,'Data qoq'!$A:$AT,MATCH($J$1,'Data qoq'!$A$1:$AT$1,),))/100+1)^4)-1</f>
        <v/>
      </c>
      <c r="K38" s="32">
        <f>(((VLOOKUP(B38,'Data qoq'!$A:$AT,MATCH($K$1,'Data qoq'!$A$1:$AT$1,),))/100+1)^4)-1</f>
        <v/>
      </c>
      <c r="L38" s="32">
        <f>(((VLOOKUP(B38,'Data qoq'!$A:$AT,MATCH($L$1,'Data qoq'!$A$1:$AT$1,),))/100+1)^4)-1</f>
        <v/>
      </c>
      <c r="M38" s="32">
        <f>(((VLOOKUP(B38,'Data qoq'!$A:$AT,MATCH($M$1,'Data qoq'!$A$1:$AT$1,),))/100+1)^4)-1</f>
        <v/>
      </c>
      <c r="N38" s="32">
        <f>(((VLOOKUP(B38,'Data qoq'!$A:$AT,MATCH($N$1,'Data qoq'!$A$1:$AT$1,),))/100+1)^4)-1</f>
        <v/>
      </c>
      <c r="O38" s="32">
        <f>(((VLOOKUP(B38,'Data qoq'!$A:$AT,MATCH($O$1,'Data qoq'!$A$1:$AT$1,),))/100+1)^4)-1</f>
        <v/>
      </c>
      <c r="P38" s="32">
        <f>(((VLOOKUP(B38,'Data qoq'!$A:$AT,MATCH($P$1,'Data qoq'!$A$1:$AT$1,),))/100+1)^4)-1</f>
        <v/>
      </c>
      <c r="Q38" s="32">
        <f>(((VLOOKUP(B38,'Data qoq'!$A:$AT,MATCH($Q$1,'Data qoq'!$A$1:$AT$1,),))/100+1)^4)-1</f>
        <v/>
      </c>
      <c r="R38" s="32">
        <f>(((VLOOKUP(B38,'Data qoq'!$A:$AT,MATCH($R$1,'Data qoq'!$A$1:$AT$1,),))/100+1)^4)-1</f>
        <v/>
      </c>
      <c r="S38" s="32">
        <f>(((VLOOKUP(B38,'Data qoq'!$A:$AT,MATCH($S$1,'Data qoq'!$A$1:$AT$1,),))/100+1)^4)-1</f>
        <v/>
      </c>
      <c r="T38" s="32">
        <f>(((VLOOKUP(B38,'Data qoq'!$A:$AT,MATCH($T$1,'Data qoq'!$A$1:$AT$1,),))/100+1)^4)-1</f>
        <v/>
      </c>
      <c r="U38" s="32">
        <f>(((VLOOKUP(B38,'Data qoq'!$A:$AT,MATCH($U$1,'Data qoq'!$A$1:$AT$1,),))/100+1)^4)-1</f>
        <v/>
      </c>
      <c r="V38" s="32">
        <f>(((VLOOKUP(B38,'Data qoq'!$A:$AT,MATCH($V$1,'Data qoq'!$A$1:$AT$1,),))/100+1)^4)-1</f>
        <v/>
      </c>
      <c r="W38" s="32">
        <f>(((VLOOKUP(B38,'Data qoq'!$A:$AT,MATCH($W$1,'Data qoq'!$A$1:$AT$1,),))/100+1)^4)-1</f>
        <v/>
      </c>
      <c r="X38" s="32">
        <f>(((VLOOKUP(B38,'Data qoq'!$A:$AT,MATCH($X$1,'Data qoq'!$A$1:$AT$1,),))/100+1)^4)-1</f>
        <v/>
      </c>
      <c r="Y38" s="32">
        <f>(((VLOOKUP(B38,'Data qoq'!$A:$AT,MATCH($Y$1,'Data qoq'!$A$1:$AT$1,),))/100+1)^4)-1</f>
        <v/>
      </c>
      <c r="Z38" s="32">
        <f>(((VLOOKUP(B38,'Data qoq'!$A:$AU,MATCH($Z$1,'Data qoq'!$A$1:$AU$1,),))/100+1)^4)-1</f>
        <v/>
      </c>
      <c r="AA38" s="32">
        <f>(((VLOOKUP(B38,'Data qoq'!$A:$AU,MATCH($AA$1,'Data qoq'!$A$1:$AU$1,),))/100+1)^4)-1</f>
        <v/>
      </c>
      <c r="AC38" s="26">
        <f>B38</f>
        <v/>
      </c>
      <c r="AD38" s="31">
        <f>(VLOOKUP(AC38,B:Y,MATCH($AE$6,$B$1:$Y$1,),))-(VLOOKUP(AC38,B:Y,MATCH($AE$7,$B$1:$Y$1,),))</f>
        <v/>
      </c>
      <c r="AE38" s="27" t="n"/>
    </row>
    <row r="39" hidden="1" s="68">
      <c r="A39" s="30" t="n">
        <v>39142</v>
      </c>
      <c r="B39" s="24" t="inlineStr">
        <is>
          <t>2007-Q1</t>
        </is>
      </c>
      <c r="C39" s="32">
        <f>(((VLOOKUP(B39,'Data qoq'!$A:$AT,MATCH($C$1,'Data qoq'!$A$1:$AT$1,),))/100+1)^4)-1</f>
        <v/>
      </c>
      <c r="D39" s="32">
        <f>(((VLOOKUP(B39,'Data qoq'!$A:$AT,MATCH($D$1,'Data qoq'!$A$1:$AT$1,),))/100+1)^4)-1</f>
        <v/>
      </c>
      <c r="E39" s="32">
        <f>(((VLOOKUP(B39,'Data qoq'!$A:$AT,MATCH($E$1,'Data qoq'!$A$1:$AT$1,),))/100+1)^4)-1</f>
        <v/>
      </c>
      <c r="F39" s="32">
        <f>(((VLOOKUP(B39,'Data qoq'!$A:$AT,MATCH($F$1,'Data qoq'!$A$1:$AT$1,),))/100+1)^4)-1</f>
        <v/>
      </c>
      <c r="G39" s="32">
        <f>(((VLOOKUP(B39,'Data qoq'!$A:$AT,MATCH($G$1,'Data qoq'!$A$1:$AT$1,),))/100+1)^4)-1</f>
        <v/>
      </c>
      <c r="H39" s="32">
        <f>(((VLOOKUP(B39,'Data qoq'!$A:$AT,MATCH($H$1,'Data qoq'!$A$1:$AT$1,),))/100+1)^4)-1</f>
        <v/>
      </c>
      <c r="I39" s="32">
        <f>(((VLOOKUP(B39,'Data qoq'!$A:$AT,MATCH($I$1,'Data qoq'!$A$1:$AT$1,),))/100+1)^4)-1</f>
        <v/>
      </c>
      <c r="J39" s="32">
        <f>(((VLOOKUP(B39,'Data qoq'!$A:$AT,MATCH($J$1,'Data qoq'!$A$1:$AT$1,),))/100+1)^4)-1</f>
        <v/>
      </c>
      <c r="K39" s="32">
        <f>(((VLOOKUP(B39,'Data qoq'!$A:$AT,MATCH($K$1,'Data qoq'!$A$1:$AT$1,),))/100+1)^4)-1</f>
        <v/>
      </c>
      <c r="L39" s="32">
        <f>(((VLOOKUP(B39,'Data qoq'!$A:$AT,MATCH($L$1,'Data qoq'!$A$1:$AT$1,),))/100+1)^4)-1</f>
        <v/>
      </c>
      <c r="M39" s="32">
        <f>(((VLOOKUP(B39,'Data qoq'!$A:$AT,MATCH($M$1,'Data qoq'!$A$1:$AT$1,),))/100+1)^4)-1</f>
        <v/>
      </c>
      <c r="N39" s="32">
        <f>(((VLOOKUP(B39,'Data qoq'!$A:$AT,MATCH($N$1,'Data qoq'!$A$1:$AT$1,),))/100+1)^4)-1</f>
        <v/>
      </c>
      <c r="O39" s="32">
        <f>(((VLOOKUP(B39,'Data qoq'!$A:$AT,MATCH($O$1,'Data qoq'!$A$1:$AT$1,),))/100+1)^4)-1</f>
        <v/>
      </c>
      <c r="P39" s="32">
        <f>(((VLOOKUP(B39,'Data qoq'!$A:$AT,MATCH($P$1,'Data qoq'!$A$1:$AT$1,),))/100+1)^4)-1</f>
        <v/>
      </c>
      <c r="Q39" s="32">
        <f>(((VLOOKUP(B39,'Data qoq'!$A:$AT,MATCH($Q$1,'Data qoq'!$A$1:$AT$1,),))/100+1)^4)-1</f>
        <v/>
      </c>
      <c r="R39" s="32">
        <f>(((VLOOKUP(B39,'Data qoq'!$A:$AT,MATCH($R$1,'Data qoq'!$A$1:$AT$1,),))/100+1)^4)-1</f>
        <v/>
      </c>
      <c r="S39" s="32">
        <f>(((VLOOKUP(B39,'Data qoq'!$A:$AT,MATCH($S$1,'Data qoq'!$A$1:$AT$1,),))/100+1)^4)-1</f>
        <v/>
      </c>
      <c r="T39" s="32">
        <f>(((VLOOKUP(B39,'Data qoq'!$A:$AT,MATCH($T$1,'Data qoq'!$A$1:$AT$1,),))/100+1)^4)-1</f>
        <v/>
      </c>
      <c r="U39" s="32">
        <f>(((VLOOKUP(B39,'Data qoq'!$A:$AT,MATCH($U$1,'Data qoq'!$A$1:$AT$1,),))/100+1)^4)-1</f>
        <v/>
      </c>
      <c r="V39" s="32">
        <f>(((VLOOKUP(B39,'Data qoq'!$A:$AT,MATCH($V$1,'Data qoq'!$A$1:$AT$1,),))/100+1)^4)-1</f>
        <v/>
      </c>
      <c r="W39" s="32">
        <f>(((VLOOKUP(B39,'Data qoq'!$A:$AT,MATCH($W$1,'Data qoq'!$A$1:$AT$1,),))/100+1)^4)-1</f>
        <v/>
      </c>
      <c r="X39" s="32">
        <f>(((VLOOKUP(B39,'Data qoq'!$A:$AT,MATCH($X$1,'Data qoq'!$A$1:$AT$1,),))/100+1)^4)-1</f>
        <v/>
      </c>
      <c r="Y39" s="32">
        <f>(((VLOOKUP(B39,'Data qoq'!$A:$AT,MATCH($Y$1,'Data qoq'!$A$1:$AT$1,),))/100+1)^4)-1</f>
        <v/>
      </c>
      <c r="Z39" s="32">
        <f>(((VLOOKUP(B39,'Data qoq'!$A:$AU,MATCH($Z$1,'Data qoq'!$A$1:$AU$1,),))/100+1)^4)-1</f>
        <v/>
      </c>
      <c r="AA39" s="32">
        <f>(((VLOOKUP(B39,'Data qoq'!$A:$AU,MATCH($AA$1,'Data qoq'!$A$1:$AU$1,),))/100+1)^4)-1</f>
        <v/>
      </c>
      <c r="AC39" s="26">
        <f>B39</f>
        <v/>
      </c>
      <c r="AD39" s="31">
        <f>(VLOOKUP(AC39,B:Y,MATCH($AE$6,$B$1:$Y$1,),))-(VLOOKUP(AC39,B:Y,MATCH($AE$7,$B$1:$Y$1,),))</f>
        <v/>
      </c>
      <c r="AE39" s="27" t="n"/>
    </row>
    <row r="40" hidden="1" s="68">
      <c r="A40" s="30" t="n">
        <v>39234</v>
      </c>
      <c r="B40" s="24" t="inlineStr">
        <is>
          <t>2007-Q2</t>
        </is>
      </c>
      <c r="C40" s="32">
        <f>(((VLOOKUP(B40,'Data qoq'!$A:$AT,MATCH($C$1,'Data qoq'!$A$1:$AT$1,),))/100+1)^4)-1</f>
        <v/>
      </c>
      <c r="D40" s="32">
        <f>(((VLOOKUP(B40,'Data qoq'!$A:$AT,MATCH($D$1,'Data qoq'!$A$1:$AT$1,),))/100+1)^4)-1</f>
        <v/>
      </c>
      <c r="E40" s="32">
        <f>(((VLOOKUP(B40,'Data qoq'!$A:$AT,MATCH($E$1,'Data qoq'!$A$1:$AT$1,),))/100+1)^4)-1</f>
        <v/>
      </c>
      <c r="F40" s="32">
        <f>(((VLOOKUP(B40,'Data qoq'!$A:$AT,MATCH($F$1,'Data qoq'!$A$1:$AT$1,),))/100+1)^4)-1</f>
        <v/>
      </c>
      <c r="G40" s="32">
        <f>(((VLOOKUP(B40,'Data qoq'!$A:$AT,MATCH($G$1,'Data qoq'!$A$1:$AT$1,),))/100+1)^4)-1</f>
        <v/>
      </c>
      <c r="H40" s="32">
        <f>(((VLOOKUP(B40,'Data qoq'!$A:$AT,MATCH($H$1,'Data qoq'!$A$1:$AT$1,),))/100+1)^4)-1</f>
        <v/>
      </c>
      <c r="I40" s="32">
        <f>(((VLOOKUP(B40,'Data qoq'!$A:$AT,MATCH($I$1,'Data qoq'!$A$1:$AT$1,),))/100+1)^4)-1</f>
        <v/>
      </c>
      <c r="J40" s="32">
        <f>(((VLOOKUP(B40,'Data qoq'!$A:$AT,MATCH($J$1,'Data qoq'!$A$1:$AT$1,),))/100+1)^4)-1</f>
        <v/>
      </c>
      <c r="K40" s="32">
        <f>(((VLOOKUP(B40,'Data qoq'!$A:$AT,MATCH($K$1,'Data qoq'!$A$1:$AT$1,),))/100+1)^4)-1</f>
        <v/>
      </c>
      <c r="L40" s="32">
        <f>(((VLOOKUP(B40,'Data qoq'!$A:$AT,MATCH($L$1,'Data qoq'!$A$1:$AT$1,),))/100+1)^4)-1</f>
        <v/>
      </c>
      <c r="M40" s="32">
        <f>(((VLOOKUP(B40,'Data qoq'!$A:$AT,MATCH($M$1,'Data qoq'!$A$1:$AT$1,),))/100+1)^4)-1</f>
        <v/>
      </c>
      <c r="N40" s="32">
        <f>(((VLOOKUP(B40,'Data qoq'!$A:$AT,MATCH($N$1,'Data qoq'!$A$1:$AT$1,),))/100+1)^4)-1</f>
        <v/>
      </c>
      <c r="O40" s="32">
        <f>(((VLOOKUP(B40,'Data qoq'!$A:$AT,MATCH($O$1,'Data qoq'!$A$1:$AT$1,),))/100+1)^4)-1</f>
        <v/>
      </c>
      <c r="P40" s="32">
        <f>(((VLOOKUP(B40,'Data qoq'!$A:$AT,MATCH($P$1,'Data qoq'!$A$1:$AT$1,),))/100+1)^4)-1</f>
        <v/>
      </c>
      <c r="Q40" s="32">
        <f>(((VLOOKUP(B40,'Data qoq'!$A:$AT,MATCH($Q$1,'Data qoq'!$A$1:$AT$1,),))/100+1)^4)-1</f>
        <v/>
      </c>
      <c r="R40" s="32">
        <f>(((VLOOKUP(B40,'Data qoq'!$A:$AT,MATCH($R$1,'Data qoq'!$A$1:$AT$1,),))/100+1)^4)-1</f>
        <v/>
      </c>
      <c r="S40" s="32">
        <f>(((VLOOKUP(B40,'Data qoq'!$A:$AT,MATCH($S$1,'Data qoq'!$A$1:$AT$1,),))/100+1)^4)-1</f>
        <v/>
      </c>
      <c r="T40" s="32">
        <f>(((VLOOKUP(B40,'Data qoq'!$A:$AT,MATCH($T$1,'Data qoq'!$A$1:$AT$1,),))/100+1)^4)-1</f>
        <v/>
      </c>
      <c r="U40" s="32">
        <f>(((VLOOKUP(B40,'Data qoq'!$A:$AT,MATCH($U$1,'Data qoq'!$A$1:$AT$1,),))/100+1)^4)-1</f>
        <v/>
      </c>
      <c r="V40" s="32">
        <f>(((VLOOKUP(B40,'Data qoq'!$A:$AT,MATCH($V$1,'Data qoq'!$A$1:$AT$1,),))/100+1)^4)-1</f>
        <v/>
      </c>
      <c r="W40" s="32">
        <f>(((VLOOKUP(B40,'Data qoq'!$A:$AT,MATCH($W$1,'Data qoq'!$A$1:$AT$1,),))/100+1)^4)-1</f>
        <v/>
      </c>
      <c r="X40" s="32">
        <f>(((VLOOKUP(B40,'Data qoq'!$A:$AT,MATCH($X$1,'Data qoq'!$A$1:$AT$1,),))/100+1)^4)-1</f>
        <v/>
      </c>
      <c r="Y40" s="32">
        <f>(((VLOOKUP(B40,'Data qoq'!$A:$AT,MATCH($Y$1,'Data qoq'!$A$1:$AT$1,),))/100+1)^4)-1</f>
        <v/>
      </c>
      <c r="Z40" s="32">
        <f>(((VLOOKUP(B40,'Data qoq'!$A:$AU,MATCH($Z$1,'Data qoq'!$A$1:$AU$1,),))/100+1)^4)-1</f>
        <v/>
      </c>
      <c r="AA40" s="32">
        <f>(((VLOOKUP(B40,'Data qoq'!$A:$AU,MATCH($AA$1,'Data qoq'!$A$1:$AU$1,),))/100+1)^4)-1</f>
        <v/>
      </c>
      <c r="AC40" s="26">
        <f>B40</f>
        <v/>
      </c>
      <c r="AD40" s="31">
        <f>(VLOOKUP(AC40,B:Y,MATCH($AE$6,$B$1:$Y$1,),))-(VLOOKUP(AC40,B:Y,MATCH($AE$7,$B$1:$Y$1,),))</f>
        <v/>
      </c>
      <c r="AE40" s="27" t="n"/>
    </row>
    <row r="41" hidden="1" s="68">
      <c r="A41" s="30" t="n">
        <v>39326</v>
      </c>
      <c r="B41" s="24" t="inlineStr">
        <is>
          <t>2007-Q3</t>
        </is>
      </c>
      <c r="C41" s="32">
        <f>(((VLOOKUP(B41,'Data qoq'!$A:$AT,MATCH($C$1,'Data qoq'!$A$1:$AT$1,),))/100+1)^4)-1</f>
        <v/>
      </c>
      <c r="D41" s="32">
        <f>(((VLOOKUP(B41,'Data qoq'!$A:$AT,MATCH($D$1,'Data qoq'!$A$1:$AT$1,),))/100+1)^4)-1</f>
        <v/>
      </c>
      <c r="E41" s="32">
        <f>(((VLOOKUP(B41,'Data qoq'!$A:$AT,MATCH($E$1,'Data qoq'!$A$1:$AT$1,),))/100+1)^4)-1</f>
        <v/>
      </c>
      <c r="F41" s="32">
        <f>(((VLOOKUP(B41,'Data qoq'!$A:$AT,MATCH($F$1,'Data qoq'!$A$1:$AT$1,),))/100+1)^4)-1</f>
        <v/>
      </c>
      <c r="G41" s="32">
        <f>(((VLOOKUP(B41,'Data qoq'!$A:$AT,MATCH($G$1,'Data qoq'!$A$1:$AT$1,),))/100+1)^4)-1</f>
        <v/>
      </c>
      <c r="H41" s="32">
        <f>(((VLOOKUP(B41,'Data qoq'!$A:$AT,MATCH($H$1,'Data qoq'!$A$1:$AT$1,),))/100+1)^4)-1</f>
        <v/>
      </c>
      <c r="I41" s="32">
        <f>(((VLOOKUP(B41,'Data qoq'!$A:$AT,MATCH($I$1,'Data qoq'!$A$1:$AT$1,),))/100+1)^4)-1</f>
        <v/>
      </c>
      <c r="J41" s="32">
        <f>(((VLOOKUP(B41,'Data qoq'!$A:$AT,MATCH($J$1,'Data qoq'!$A$1:$AT$1,),))/100+1)^4)-1</f>
        <v/>
      </c>
      <c r="K41" s="32">
        <f>(((VLOOKUP(B41,'Data qoq'!$A:$AT,MATCH($K$1,'Data qoq'!$A$1:$AT$1,),))/100+1)^4)-1</f>
        <v/>
      </c>
      <c r="L41" s="32">
        <f>(((VLOOKUP(B41,'Data qoq'!$A:$AT,MATCH($L$1,'Data qoq'!$A$1:$AT$1,),))/100+1)^4)-1</f>
        <v/>
      </c>
      <c r="M41" s="32">
        <f>(((VLOOKUP(B41,'Data qoq'!$A:$AT,MATCH($M$1,'Data qoq'!$A$1:$AT$1,),))/100+1)^4)-1</f>
        <v/>
      </c>
      <c r="N41" s="32">
        <f>(((VLOOKUP(B41,'Data qoq'!$A:$AT,MATCH($N$1,'Data qoq'!$A$1:$AT$1,),))/100+1)^4)-1</f>
        <v/>
      </c>
      <c r="O41" s="32">
        <f>(((VLOOKUP(B41,'Data qoq'!$A:$AT,MATCH($O$1,'Data qoq'!$A$1:$AT$1,),))/100+1)^4)-1</f>
        <v/>
      </c>
      <c r="P41" s="32">
        <f>(((VLOOKUP(B41,'Data qoq'!$A:$AT,MATCH($P$1,'Data qoq'!$A$1:$AT$1,),))/100+1)^4)-1</f>
        <v/>
      </c>
      <c r="Q41" s="32">
        <f>(((VLOOKUP(B41,'Data qoq'!$A:$AT,MATCH($Q$1,'Data qoq'!$A$1:$AT$1,),))/100+1)^4)-1</f>
        <v/>
      </c>
      <c r="R41" s="32">
        <f>(((VLOOKUP(B41,'Data qoq'!$A:$AT,MATCH($R$1,'Data qoq'!$A$1:$AT$1,),))/100+1)^4)-1</f>
        <v/>
      </c>
      <c r="S41" s="32">
        <f>(((VLOOKUP(B41,'Data qoq'!$A:$AT,MATCH($S$1,'Data qoq'!$A$1:$AT$1,),))/100+1)^4)-1</f>
        <v/>
      </c>
      <c r="T41" s="32">
        <f>(((VLOOKUP(B41,'Data qoq'!$A:$AT,MATCH($T$1,'Data qoq'!$A$1:$AT$1,),))/100+1)^4)-1</f>
        <v/>
      </c>
      <c r="U41" s="32">
        <f>(((VLOOKUP(B41,'Data qoq'!$A:$AT,MATCH($U$1,'Data qoq'!$A$1:$AT$1,),))/100+1)^4)-1</f>
        <v/>
      </c>
      <c r="V41" s="32">
        <f>(((VLOOKUP(B41,'Data qoq'!$A:$AT,MATCH($V$1,'Data qoq'!$A$1:$AT$1,),))/100+1)^4)-1</f>
        <v/>
      </c>
      <c r="W41" s="32">
        <f>(((VLOOKUP(B41,'Data qoq'!$A:$AT,MATCH($W$1,'Data qoq'!$A$1:$AT$1,),))/100+1)^4)-1</f>
        <v/>
      </c>
      <c r="X41" s="32">
        <f>(((VLOOKUP(B41,'Data qoq'!$A:$AT,MATCH($X$1,'Data qoq'!$A$1:$AT$1,),))/100+1)^4)-1</f>
        <v/>
      </c>
      <c r="Y41" s="32">
        <f>(((VLOOKUP(B41,'Data qoq'!$A:$AT,MATCH($Y$1,'Data qoq'!$A$1:$AT$1,),))/100+1)^4)-1</f>
        <v/>
      </c>
      <c r="Z41" s="32">
        <f>(((VLOOKUP(B41,'Data qoq'!$A:$AU,MATCH($Z$1,'Data qoq'!$A$1:$AU$1,),))/100+1)^4)-1</f>
        <v/>
      </c>
      <c r="AA41" s="32">
        <f>(((VLOOKUP(B41,'Data qoq'!$A:$AU,MATCH($AA$1,'Data qoq'!$A$1:$AU$1,),))/100+1)^4)-1</f>
        <v/>
      </c>
      <c r="AC41" s="26">
        <f>B41</f>
        <v/>
      </c>
      <c r="AD41" s="31">
        <f>(VLOOKUP(AC41,B:Y,MATCH($AE$6,$B$1:$Y$1,),))-(VLOOKUP(AC41,B:Y,MATCH($AE$7,$B$1:$Y$1,),))</f>
        <v/>
      </c>
      <c r="AE41" s="27" t="n"/>
    </row>
    <row r="42" hidden="1" s="68">
      <c r="A42" s="30" t="n">
        <v>39417</v>
      </c>
      <c r="B42" s="24" t="inlineStr">
        <is>
          <t>2007-Q4</t>
        </is>
      </c>
      <c r="C42" s="32">
        <f>(((VLOOKUP(B42,'Data qoq'!$A:$AT,MATCH($C$1,'Data qoq'!$A$1:$AT$1,),))/100+1)^4)-1</f>
        <v/>
      </c>
      <c r="D42" s="32">
        <f>(((VLOOKUP(B42,'Data qoq'!$A:$AT,MATCH($D$1,'Data qoq'!$A$1:$AT$1,),))/100+1)^4)-1</f>
        <v/>
      </c>
      <c r="E42" s="32">
        <f>(((VLOOKUP(B42,'Data qoq'!$A:$AT,MATCH($E$1,'Data qoq'!$A$1:$AT$1,),))/100+1)^4)-1</f>
        <v/>
      </c>
      <c r="F42" s="32">
        <f>(((VLOOKUP(B42,'Data qoq'!$A:$AT,MATCH($F$1,'Data qoq'!$A$1:$AT$1,),))/100+1)^4)-1</f>
        <v/>
      </c>
      <c r="G42" s="32">
        <f>(((VLOOKUP(B42,'Data qoq'!$A:$AT,MATCH($G$1,'Data qoq'!$A$1:$AT$1,),))/100+1)^4)-1</f>
        <v/>
      </c>
      <c r="H42" s="32">
        <f>(((VLOOKUP(B42,'Data qoq'!$A:$AT,MATCH($H$1,'Data qoq'!$A$1:$AT$1,),))/100+1)^4)-1</f>
        <v/>
      </c>
      <c r="I42" s="32">
        <f>(((VLOOKUP(B42,'Data qoq'!$A:$AT,MATCH($I$1,'Data qoq'!$A$1:$AT$1,),))/100+1)^4)-1</f>
        <v/>
      </c>
      <c r="J42" s="32">
        <f>(((VLOOKUP(B42,'Data qoq'!$A:$AT,MATCH($J$1,'Data qoq'!$A$1:$AT$1,),))/100+1)^4)-1</f>
        <v/>
      </c>
      <c r="K42" s="32">
        <f>(((VLOOKUP(B42,'Data qoq'!$A:$AT,MATCH($K$1,'Data qoq'!$A$1:$AT$1,),))/100+1)^4)-1</f>
        <v/>
      </c>
      <c r="L42" s="32">
        <f>(((VLOOKUP(B42,'Data qoq'!$A:$AT,MATCH($L$1,'Data qoq'!$A$1:$AT$1,),))/100+1)^4)-1</f>
        <v/>
      </c>
      <c r="M42" s="32">
        <f>(((VLOOKUP(B42,'Data qoq'!$A:$AT,MATCH($M$1,'Data qoq'!$A$1:$AT$1,),))/100+1)^4)-1</f>
        <v/>
      </c>
      <c r="N42" s="32">
        <f>(((VLOOKUP(B42,'Data qoq'!$A:$AT,MATCH($N$1,'Data qoq'!$A$1:$AT$1,),))/100+1)^4)-1</f>
        <v/>
      </c>
      <c r="O42" s="32">
        <f>(((VLOOKUP(B42,'Data qoq'!$A:$AT,MATCH($O$1,'Data qoq'!$A$1:$AT$1,),))/100+1)^4)-1</f>
        <v/>
      </c>
      <c r="P42" s="32">
        <f>(((VLOOKUP(B42,'Data qoq'!$A:$AT,MATCH($P$1,'Data qoq'!$A$1:$AT$1,),))/100+1)^4)-1</f>
        <v/>
      </c>
      <c r="Q42" s="32">
        <f>(((VLOOKUP(B42,'Data qoq'!$A:$AT,MATCH($Q$1,'Data qoq'!$A$1:$AT$1,),))/100+1)^4)-1</f>
        <v/>
      </c>
      <c r="R42" s="32">
        <f>(((VLOOKUP(B42,'Data qoq'!$A:$AT,MATCH($R$1,'Data qoq'!$A$1:$AT$1,),))/100+1)^4)-1</f>
        <v/>
      </c>
      <c r="S42" s="32">
        <f>(((VLOOKUP(B42,'Data qoq'!$A:$AT,MATCH($S$1,'Data qoq'!$A$1:$AT$1,),))/100+1)^4)-1</f>
        <v/>
      </c>
      <c r="T42" s="32">
        <f>(((VLOOKUP(B42,'Data qoq'!$A:$AT,MATCH($T$1,'Data qoq'!$A$1:$AT$1,),))/100+1)^4)-1</f>
        <v/>
      </c>
      <c r="U42" s="32">
        <f>(((VLOOKUP(B42,'Data qoq'!$A:$AT,MATCH($U$1,'Data qoq'!$A$1:$AT$1,),))/100+1)^4)-1</f>
        <v/>
      </c>
      <c r="V42" s="32">
        <f>(((VLOOKUP(B42,'Data qoq'!$A:$AT,MATCH($V$1,'Data qoq'!$A$1:$AT$1,),))/100+1)^4)-1</f>
        <v/>
      </c>
      <c r="W42" s="32">
        <f>(((VLOOKUP(B42,'Data qoq'!$A:$AT,MATCH($W$1,'Data qoq'!$A$1:$AT$1,),))/100+1)^4)-1</f>
        <v/>
      </c>
      <c r="X42" s="32">
        <f>(((VLOOKUP(B42,'Data qoq'!$A:$AT,MATCH($X$1,'Data qoq'!$A$1:$AT$1,),))/100+1)^4)-1</f>
        <v/>
      </c>
      <c r="Y42" s="32">
        <f>(((VLOOKUP(B42,'Data qoq'!$A:$AT,MATCH($Y$1,'Data qoq'!$A$1:$AT$1,),))/100+1)^4)-1</f>
        <v/>
      </c>
      <c r="Z42" s="32">
        <f>(((VLOOKUP(B42,'Data qoq'!$A:$AU,MATCH($Z$1,'Data qoq'!$A$1:$AU$1,),))/100+1)^4)-1</f>
        <v/>
      </c>
      <c r="AA42" s="32">
        <f>(((VLOOKUP(B42,'Data qoq'!$A:$AU,MATCH($AA$1,'Data qoq'!$A$1:$AU$1,),))/100+1)^4)-1</f>
        <v/>
      </c>
      <c r="AC42" s="26">
        <f>B42</f>
        <v/>
      </c>
      <c r="AD42" s="31">
        <f>(VLOOKUP(AC42,B:Y,MATCH($AE$6,$B$1:$Y$1,),))-(VLOOKUP(AC42,B:Y,MATCH($AE$7,$B$1:$Y$1,),))</f>
        <v/>
      </c>
      <c r="AE42" s="27" t="n"/>
    </row>
    <row r="43" hidden="1" s="68">
      <c r="A43" s="30" t="n">
        <v>39508</v>
      </c>
      <c r="B43" s="24" t="inlineStr">
        <is>
          <t>2008-Q1</t>
        </is>
      </c>
      <c r="C43" s="32">
        <f>(((VLOOKUP(B43,'Data qoq'!$A:$AT,MATCH($C$1,'Data qoq'!$A$1:$AT$1,),))/100+1)^4)-1</f>
        <v/>
      </c>
      <c r="D43" s="32">
        <f>(((VLOOKUP(B43,'Data qoq'!$A:$AT,MATCH($D$1,'Data qoq'!$A$1:$AT$1,),))/100+1)^4)-1</f>
        <v/>
      </c>
      <c r="E43" s="32">
        <f>(((VLOOKUP(B43,'Data qoq'!$A:$AT,MATCH($E$1,'Data qoq'!$A$1:$AT$1,),))/100+1)^4)-1</f>
        <v/>
      </c>
      <c r="F43" s="32">
        <f>(((VLOOKUP(B43,'Data qoq'!$A:$AT,MATCH($F$1,'Data qoq'!$A$1:$AT$1,),))/100+1)^4)-1</f>
        <v/>
      </c>
      <c r="G43" s="32">
        <f>(((VLOOKUP(B43,'Data qoq'!$A:$AT,MATCH($G$1,'Data qoq'!$A$1:$AT$1,),))/100+1)^4)-1</f>
        <v/>
      </c>
      <c r="H43" s="32">
        <f>(((VLOOKUP(B43,'Data qoq'!$A:$AT,MATCH($H$1,'Data qoq'!$A$1:$AT$1,),))/100+1)^4)-1</f>
        <v/>
      </c>
      <c r="I43" s="32">
        <f>(((VLOOKUP(B43,'Data qoq'!$A:$AT,MATCH($I$1,'Data qoq'!$A$1:$AT$1,),))/100+1)^4)-1</f>
        <v/>
      </c>
      <c r="J43" s="32">
        <f>(((VLOOKUP(B43,'Data qoq'!$A:$AT,MATCH($J$1,'Data qoq'!$A$1:$AT$1,),))/100+1)^4)-1</f>
        <v/>
      </c>
      <c r="K43" s="32">
        <f>(((VLOOKUP(B43,'Data qoq'!$A:$AT,MATCH($K$1,'Data qoq'!$A$1:$AT$1,),))/100+1)^4)-1</f>
        <v/>
      </c>
      <c r="L43" s="32">
        <f>(((VLOOKUP(B43,'Data qoq'!$A:$AT,MATCH($L$1,'Data qoq'!$A$1:$AT$1,),))/100+1)^4)-1</f>
        <v/>
      </c>
      <c r="M43" s="32">
        <f>(((VLOOKUP(B43,'Data qoq'!$A:$AT,MATCH($M$1,'Data qoq'!$A$1:$AT$1,),))/100+1)^4)-1</f>
        <v/>
      </c>
      <c r="N43" s="32">
        <f>(((VLOOKUP(B43,'Data qoq'!$A:$AT,MATCH($N$1,'Data qoq'!$A$1:$AT$1,),))/100+1)^4)-1</f>
        <v/>
      </c>
      <c r="O43" s="32">
        <f>(((VLOOKUP(B43,'Data qoq'!$A:$AT,MATCH($O$1,'Data qoq'!$A$1:$AT$1,),))/100+1)^4)-1</f>
        <v/>
      </c>
      <c r="P43" s="32">
        <f>(((VLOOKUP(B43,'Data qoq'!$A:$AT,MATCH($P$1,'Data qoq'!$A$1:$AT$1,),))/100+1)^4)-1</f>
        <v/>
      </c>
      <c r="Q43" s="32">
        <f>(((VLOOKUP(B43,'Data qoq'!$A:$AT,MATCH($Q$1,'Data qoq'!$A$1:$AT$1,),))/100+1)^4)-1</f>
        <v/>
      </c>
      <c r="R43" s="32">
        <f>(((VLOOKUP(B43,'Data qoq'!$A:$AT,MATCH($R$1,'Data qoq'!$A$1:$AT$1,),))/100+1)^4)-1</f>
        <v/>
      </c>
      <c r="S43" s="32">
        <f>(((VLOOKUP(B43,'Data qoq'!$A:$AT,MATCH($S$1,'Data qoq'!$A$1:$AT$1,),))/100+1)^4)-1</f>
        <v/>
      </c>
      <c r="T43" s="32">
        <f>(((VLOOKUP(B43,'Data qoq'!$A:$AT,MATCH($T$1,'Data qoq'!$A$1:$AT$1,),))/100+1)^4)-1</f>
        <v/>
      </c>
      <c r="U43" s="32">
        <f>(((VLOOKUP(B43,'Data qoq'!$A:$AT,MATCH($U$1,'Data qoq'!$A$1:$AT$1,),))/100+1)^4)-1</f>
        <v/>
      </c>
      <c r="V43" s="32">
        <f>(((VLOOKUP(B43,'Data qoq'!$A:$AT,MATCH($V$1,'Data qoq'!$A$1:$AT$1,),))/100+1)^4)-1</f>
        <v/>
      </c>
      <c r="W43" s="32">
        <f>(((VLOOKUP(B43,'Data qoq'!$A:$AT,MATCH($W$1,'Data qoq'!$A$1:$AT$1,),))/100+1)^4)-1</f>
        <v/>
      </c>
      <c r="X43" s="32">
        <f>(((VLOOKUP(B43,'Data qoq'!$A:$AT,MATCH($X$1,'Data qoq'!$A$1:$AT$1,),))/100+1)^4)-1</f>
        <v/>
      </c>
      <c r="Y43" s="32">
        <f>(((VLOOKUP(B43,'Data qoq'!$A:$AT,MATCH($Y$1,'Data qoq'!$A$1:$AT$1,),))/100+1)^4)-1</f>
        <v/>
      </c>
      <c r="Z43" s="32">
        <f>(((VLOOKUP(B43,'Data qoq'!$A:$AU,MATCH($Z$1,'Data qoq'!$A$1:$AU$1,),))/100+1)^4)-1</f>
        <v/>
      </c>
      <c r="AA43" s="32">
        <f>(((VLOOKUP(B43,'Data qoq'!$A:$AU,MATCH($AA$1,'Data qoq'!$A$1:$AU$1,),))/100+1)^4)-1</f>
        <v/>
      </c>
      <c r="AC43" s="26">
        <f>B43</f>
        <v/>
      </c>
      <c r="AD43" s="31">
        <f>(VLOOKUP(AC43,B:Y,MATCH($AE$6,$B$1:$Y$1,),))-(VLOOKUP(AC43,B:Y,MATCH($AE$7,$B$1:$Y$1,),))</f>
        <v/>
      </c>
      <c r="AE43" s="27" t="n"/>
    </row>
    <row r="44" hidden="1" s="68">
      <c r="A44" s="30" t="n">
        <v>39600</v>
      </c>
      <c r="B44" s="24" t="inlineStr">
        <is>
          <t>2008-Q2</t>
        </is>
      </c>
      <c r="C44" s="32">
        <f>(((VLOOKUP(B44,'Data qoq'!$A:$AT,MATCH($C$1,'Data qoq'!$A$1:$AT$1,),))/100+1)^4)-1</f>
        <v/>
      </c>
      <c r="D44" s="32">
        <f>(((VLOOKUP(B44,'Data qoq'!$A:$AT,MATCH($D$1,'Data qoq'!$A$1:$AT$1,),))/100+1)^4)-1</f>
        <v/>
      </c>
      <c r="E44" s="32">
        <f>(((VLOOKUP(B44,'Data qoq'!$A:$AT,MATCH($E$1,'Data qoq'!$A$1:$AT$1,),))/100+1)^4)-1</f>
        <v/>
      </c>
      <c r="F44" s="32">
        <f>(((VLOOKUP(B44,'Data qoq'!$A:$AT,MATCH($F$1,'Data qoq'!$A$1:$AT$1,),))/100+1)^4)-1</f>
        <v/>
      </c>
      <c r="G44" s="32">
        <f>(((VLOOKUP(B44,'Data qoq'!$A:$AT,MATCH($G$1,'Data qoq'!$A$1:$AT$1,),))/100+1)^4)-1</f>
        <v/>
      </c>
      <c r="H44" s="32">
        <f>(((VLOOKUP(B44,'Data qoq'!$A:$AT,MATCH($H$1,'Data qoq'!$A$1:$AT$1,),))/100+1)^4)-1</f>
        <v/>
      </c>
      <c r="I44" s="32">
        <f>(((VLOOKUP(B44,'Data qoq'!$A:$AT,MATCH($I$1,'Data qoq'!$A$1:$AT$1,),))/100+1)^4)-1</f>
        <v/>
      </c>
      <c r="J44" s="32">
        <f>(((VLOOKUP(B44,'Data qoq'!$A:$AT,MATCH($J$1,'Data qoq'!$A$1:$AT$1,),))/100+1)^4)-1</f>
        <v/>
      </c>
      <c r="K44" s="32">
        <f>(((VLOOKUP(B44,'Data qoq'!$A:$AT,MATCH($K$1,'Data qoq'!$A$1:$AT$1,),))/100+1)^4)-1</f>
        <v/>
      </c>
      <c r="L44" s="32">
        <f>(((VLOOKUP(B44,'Data qoq'!$A:$AT,MATCH($L$1,'Data qoq'!$A$1:$AT$1,),))/100+1)^4)-1</f>
        <v/>
      </c>
      <c r="M44" s="32">
        <f>(((VLOOKUP(B44,'Data qoq'!$A:$AT,MATCH($M$1,'Data qoq'!$A$1:$AT$1,),))/100+1)^4)-1</f>
        <v/>
      </c>
      <c r="N44" s="32">
        <f>(((VLOOKUP(B44,'Data qoq'!$A:$AT,MATCH($N$1,'Data qoq'!$A$1:$AT$1,),))/100+1)^4)-1</f>
        <v/>
      </c>
      <c r="O44" s="32">
        <f>(((VLOOKUP(B44,'Data qoq'!$A:$AT,MATCH($O$1,'Data qoq'!$A$1:$AT$1,),))/100+1)^4)-1</f>
        <v/>
      </c>
      <c r="P44" s="32">
        <f>(((VLOOKUP(B44,'Data qoq'!$A:$AT,MATCH($P$1,'Data qoq'!$A$1:$AT$1,),))/100+1)^4)-1</f>
        <v/>
      </c>
      <c r="Q44" s="32">
        <f>(((VLOOKUP(B44,'Data qoq'!$A:$AT,MATCH($Q$1,'Data qoq'!$A$1:$AT$1,),))/100+1)^4)-1</f>
        <v/>
      </c>
      <c r="R44" s="32">
        <f>(((VLOOKUP(B44,'Data qoq'!$A:$AT,MATCH($R$1,'Data qoq'!$A$1:$AT$1,),))/100+1)^4)-1</f>
        <v/>
      </c>
      <c r="S44" s="32">
        <f>(((VLOOKUP(B44,'Data qoq'!$A:$AT,MATCH($S$1,'Data qoq'!$A$1:$AT$1,),))/100+1)^4)-1</f>
        <v/>
      </c>
      <c r="T44" s="32">
        <f>(((VLOOKUP(B44,'Data qoq'!$A:$AT,MATCH($T$1,'Data qoq'!$A$1:$AT$1,),))/100+1)^4)-1</f>
        <v/>
      </c>
      <c r="U44" s="32">
        <f>(((VLOOKUP(B44,'Data qoq'!$A:$AT,MATCH($U$1,'Data qoq'!$A$1:$AT$1,),))/100+1)^4)-1</f>
        <v/>
      </c>
      <c r="V44" s="32">
        <f>(((VLOOKUP(B44,'Data qoq'!$A:$AT,MATCH($V$1,'Data qoq'!$A$1:$AT$1,),))/100+1)^4)-1</f>
        <v/>
      </c>
      <c r="W44" s="32">
        <f>(((VLOOKUP(B44,'Data qoq'!$A:$AT,MATCH($W$1,'Data qoq'!$A$1:$AT$1,),))/100+1)^4)-1</f>
        <v/>
      </c>
      <c r="X44" s="32">
        <f>(((VLOOKUP(B44,'Data qoq'!$A:$AT,MATCH($X$1,'Data qoq'!$A$1:$AT$1,),))/100+1)^4)-1</f>
        <v/>
      </c>
      <c r="Y44" s="32">
        <f>(((VLOOKUP(B44,'Data qoq'!$A:$AT,MATCH($Y$1,'Data qoq'!$A$1:$AT$1,),))/100+1)^4)-1</f>
        <v/>
      </c>
      <c r="Z44" s="32">
        <f>(((VLOOKUP(B44,'Data qoq'!$A:$AU,MATCH($Z$1,'Data qoq'!$A$1:$AU$1,),))/100+1)^4)-1</f>
        <v/>
      </c>
      <c r="AA44" s="32">
        <f>(((VLOOKUP(B44,'Data qoq'!$A:$AU,MATCH($AA$1,'Data qoq'!$A$1:$AU$1,),))/100+1)^4)-1</f>
        <v/>
      </c>
      <c r="AC44" s="26">
        <f>B44</f>
        <v/>
      </c>
      <c r="AD44" s="31">
        <f>(VLOOKUP(AC44,B:Y,MATCH($AE$6,$B$1:$Y$1,),))-(VLOOKUP(AC44,B:Y,MATCH($AE$7,$B$1:$Y$1,),))</f>
        <v/>
      </c>
      <c r="AE44" s="27" t="n"/>
    </row>
    <row r="45" hidden="1" s="68">
      <c r="A45" s="30" t="n">
        <v>39692</v>
      </c>
      <c r="B45" s="24" t="inlineStr">
        <is>
          <t>2008-Q3</t>
        </is>
      </c>
      <c r="C45" s="32">
        <f>(((VLOOKUP(B45,'Data qoq'!$A:$AT,MATCH($C$1,'Data qoq'!$A$1:$AT$1,),))/100+1)^4)-1</f>
        <v/>
      </c>
      <c r="D45" s="32">
        <f>(((VLOOKUP(B45,'Data qoq'!$A:$AT,MATCH($D$1,'Data qoq'!$A$1:$AT$1,),))/100+1)^4)-1</f>
        <v/>
      </c>
      <c r="E45" s="32">
        <f>(((VLOOKUP(B45,'Data qoq'!$A:$AT,MATCH($E$1,'Data qoq'!$A$1:$AT$1,),))/100+1)^4)-1</f>
        <v/>
      </c>
      <c r="F45" s="32">
        <f>(((VLOOKUP(B45,'Data qoq'!$A:$AT,MATCH($F$1,'Data qoq'!$A$1:$AT$1,),))/100+1)^4)-1</f>
        <v/>
      </c>
      <c r="G45" s="32">
        <f>(((VLOOKUP(B45,'Data qoq'!$A:$AT,MATCH($G$1,'Data qoq'!$A$1:$AT$1,),))/100+1)^4)-1</f>
        <v/>
      </c>
      <c r="H45" s="32">
        <f>(((VLOOKUP(B45,'Data qoq'!$A:$AT,MATCH($H$1,'Data qoq'!$A$1:$AT$1,),))/100+1)^4)-1</f>
        <v/>
      </c>
      <c r="I45" s="32">
        <f>(((VLOOKUP(B45,'Data qoq'!$A:$AT,MATCH($I$1,'Data qoq'!$A$1:$AT$1,),))/100+1)^4)-1</f>
        <v/>
      </c>
      <c r="J45" s="32">
        <f>(((VLOOKUP(B45,'Data qoq'!$A:$AT,MATCH($J$1,'Data qoq'!$A$1:$AT$1,),))/100+1)^4)-1</f>
        <v/>
      </c>
      <c r="K45" s="32">
        <f>(((VLOOKUP(B45,'Data qoq'!$A:$AT,MATCH($K$1,'Data qoq'!$A$1:$AT$1,),))/100+1)^4)-1</f>
        <v/>
      </c>
      <c r="L45" s="32">
        <f>(((VLOOKUP(B45,'Data qoq'!$A:$AT,MATCH($L$1,'Data qoq'!$A$1:$AT$1,),))/100+1)^4)-1</f>
        <v/>
      </c>
      <c r="M45" s="32">
        <f>(((VLOOKUP(B45,'Data qoq'!$A:$AT,MATCH($M$1,'Data qoq'!$A$1:$AT$1,),))/100+1)^4)-1</f>
        <v/>
      </c>
      <c r="N45" s="32">
        <f>(((VLOOKUP(B45,'Data qoq'!$A:$AT,MATCH($N$1,'Data qoq'!$A$1:$AT$1,),))/100+1)^4)-1</f>
        <v/>
      </c>
      <c r="O45" s="32">
        <f>(((VLOOKUP(B45,'Data qoq'!$A:$AT,MATCH($O$1,'Data qoq'!$A$1:$AT$1,),))/100+1)^4)-1</f>
        <v/>
      </c>
      <c r="P45" s="32">
        <f>(((VLOOKUP(B45,'Data qoq'!$A:$AT,MATCH($P$1,'Data qoq'!$A$1:$AT$1,),))/100+1)^4)-1</f>
        <v/>
      </c>
      <c r="Q45" s="32">
        <f>(((VLOOKUP(B45,'Data qoq'!$A:$AT,MATCH($Q$1,'Data qoq'!$A$1:$AT$1,),))/100+1)^4)-1</f>
        <v/>
      </c>
      <c r="R45" s="32">
        <f>(((VLOOKUP(B45,'Data qoq'!$A:$AT,MATCH($R$1,'Data qoq'!$A$1:$AT$1,),))/100+1)^4)-1</f>
        <v/>
      </c>
      <c r="S45" s="32">
        <f>(((VLOOKUP(B45,'Data qoq'!$A:$AT,MATCH($S$1,'Data qoq'!$A$1:$AT$1,),))/100+1)^4)-1</f>
        <v/>
      </c>
      <c r="T45" s="32">
        <f>(((VLOOKUP(B45,'Data qoq'!$A:$AT,MATCH($T$1,'Data qoq'!$A$1:$AT$1,),))/100+1)^4)-1</f>
        <v/>
      </c>
      <c r="U45" s="32">
        <f>(((VLOOKUP(B45,'Data qoq'!$A:$AT,MATCH($U$1,'Data qoq'!$A$1:$AT$1,),))/100+1)^4)-1</f>
        <v/>
      </c>
      <c r="V45" s="32">
        <f>(((VLOOKUP(B45,'Data qoq'!$A:$AT,MATCH($V$1,'Data qoq'!$A$1:$AT$1,),))/100+1)^4)-1</f>
        <v/>
      </c>
      <c r="W45" s="32">
        <f>(((VLOOKUP(B45,'Data qoq'!$A:$AT,MATCH($W$1,'Data qoq'!$A$1:$AT$1,),))/100+1)^4)-1</f>
        <v/>
      </c>
      <c r="X45" s="32">
        <f>(((VLOOKUP(B45,'Data qoq'!$A:$AT,MATCH($X$1,'Data qoq'!$A$1:$AT$1,),))/100+1)^4)-1</f>
        <v/>
      </c>
      <c r="Y45" s="32">
        <f>(((VLOOKUP(B45,'Data qoq'!$A:$AT,MATCH($Y$1,'Data qoq'!$A$1:$AT$1,),))/100+1)^4)-1</f>
        <v/>
      </c>
      <c r="Z45" s="32">
        <f>(((VLOOKUP(B45,'Data qoq'!$A:$AU,MATCH($Z$1,'Data qoq'!$A$1:$AU$1,),))/100+1)^4)-1</f>
        <v/>
      </c>
      <c r="AA45" s="32">
        <f>(((VLOOKUP(B45,'Data qoq'!$A:$AU,MATCH($AA$1,'Data qoq'!$A$1:$AU$1,),))/100+1)^4)-1</f>
        <v/>
      </c>
      <c r="AC45" s="26">
        <f>B45</f>
        <v/>
      </c>
      <c r="AD45" s="31">
        <f>(VLOOKUP(AC45,B:Y,MATCH($AE$6,$B$1:$Y$1,),))-(VLOOKUP(AC45,B:Y,MATCH($AE$7,$B$1:$Y$1,),))</f>
        <v/>
      </c>
      <c r="AE45" s="27" t="n"/>
    </row>
    <row r="46" hidden="1" s="68">
      <c r="A46" s="30" t="n">
        <v>39783</v>
      </c>
      <c r="B46" s="24" t="inlineStr">
        <is>
          <t>2008-Q4</t>
        </is>
      </c>
      <c r="C46" s="32">
        <f>(((VLOOKUP(B46,'Data qoq'!$A:$AT,MATCH($C$1,'Data qoq'!$A$1:$AT$1,),))/100+1)^4)-1</f>
        <v/>
      </c>
      <c r="D46" s="32">
        <f>(((VLOOKUP(B46,'Data qoq'!$A:$AT,MATCH($D$1,'Data qoq'!$A$1:$AT$1,),))/100+1)^4)-1</f>
        <v/>
      </c>
      <c r="E46" s="32">
        <f>(((VLOOKUP(B46,'Data qoq'!$A:$AT,MATCH($E$1,'Data qoq'!$A$1:$AT$1,),))/100+1)^4)-1</f>
        <v/>
      </c>
      <c r="F46" s="32">
        <f>(((VLOOKUP(B46,'Data qoq'!$A:$AT,MATCH($F$1,'Data qoq'!$A$1:$AT$1,),))/100+1)^4)-1</f>
        <v/>
      </c>
      <c r="G46" s="32">
        <f>(((VLOOKUP(B46,'Data qoq'!$A:$AT,MATCH($G$1,'Data qoq'!$A$1:$AT$1,),))/100+1)^4)-1</f>
        <v/>
      </c>
      <c r="H46" s="32">
        <f>(((VLOOKUP(B46,'Data qoq'!$A:$AT,MATCH($H$1,'Data qoq'!$A$1:$AT$1,),))/100+1)^4)-1</f>
        <v/>
      </c>
      <c r="I46" s="32">
        <f>(((VLOOKUP(B46,'Data qoq'!$A:$AT,MATCH($I$1,'Data qoq'!$A$1:$AT$1,),))/100+1)^4)-1</f>
        <v/>
      </c>
      <c r="J46" s="32">
        <f>(((VLOOKUP(B46,'Data qoq'!$A:$AT,MATCH($J$1,'Data qoq'!$A$1:$AT$1,),))/100+1)^4)-1</f>
        <v/>
      </c>
      <c r="K46" s="32">
        <f>(((VLOOKUP(B46,'Data qoq'!$A:$AT,MATCH($K$1,'Data qoq'!$A$1:$AT$1,),))/100+1)^4)-1</f>
        <v/>
      </c>
      <c r="L46" s="32">
        <f>(((VLOOKUP(B46,'Data qoq'!$A:$AT,MATCH($L$1,'Data qoq'!$A$1:$AT$1,),))/100+1)^4)-1</f>
        <v/>
      </c>
      <c r="M46" s="32">
        <f>(((VLOOKUP(B46,'Data qoq'!$A:$AT,MATCH($M$1,'Data qoq'!$A$1:$AT$1,),))/100+1)^4)-1</f>
        <v/>
      </c>
      <c r="N46" s="32">
        <f>(((VLOOKUP(B46,'Data qoq'!$A:$AT,MATCH($N$1,'Data qoq'!$A$1:$AT$1,),))/100+1)^4)-1</f>
        <v/>
      </c>
      <c r="O46" s="32">
        <f>(((VLOOKUP(B46,'Data qoq'!$A:$AT,MATCH($O$1,'Data qoq'!$A$1:$AT$1,),))/100+1)^4)-1</f>
        <v/>
      </c>
      <c r="P46" s="32">
        <f>(((VLOOKUP(B46,'Data qoq'!$A:$AT,MATCH($P$1,'Data qoq'!$A$1:$AT$1,),))/100+1)^4)-1</f>
        <v/>
      </c>
      <c r="Q46" s="32">
        <f>(((VLOOKUP(B46,'Data qoq'!$A:$AT,MATCH($Q$1,'Data qoq'!$A$1:$AT$1,),))/100+1)^4)-1</f>
        <v/>
      </c>
      <c r="R46" s="32">
        <f>(((VLOOKUP(B46,'Data qoq'!$A:$AT,MATCH($R$1,'Data qoq'!$A$1:$AT$1,),))/100+1)^4)-1</f>
        <v/>
      </c>
      <c r="S46" s="32">
        <f>(((VLOOKUP(B46,'Data qoq'!$A:$AT,MATCH($S$1,'Data qoq'!$A$1:$AT$1,),))/100+1)^4)-1</f>
        <v/>
      </c>
      <c r="T46" s="32">
        <f>(((VLOOKUP(B46,'Data qoq'!$A:$AT,MATCH($T$1,'Data qoq'!$A$1:$AT$1,),))/100+1)^4)-1</f>
        <v/>
      </c>
      <c r="U46" s="32">
        <f>(((VLOOKUP(B46,'Data qoq'!$A:$AT,MATCH($U$1,'Data qoq'!$A$1:$AT$1,),))/100+1)^4)-1</f>
        <v/>
      </c>
      <c r="V46" s="32">
        <f>(((VLOOKUP(B46,'Data qoq'!$A:$AT,MATCH($V$1,'Data qoq'!$A$1:$AT$1,),))/100+1)^4)-1</f>
        <v/>
      </c>
      <c r="W46" s="32">
        <f>(((VLOOKUP(B46,'Data qoq'!$A:$AT,MATCH($W$1,'Data qoq'!$A$1:$AT$1,),))/100+1)^4)-1</f>
        <v/>
      </c>
      <c r="X46" s="32">
        <f>(((VLOOKUP(B46,'Data qoq'!$A:$AT,MATCH($X$1,'Data qoq'!$A$1:$AT$1,),))/100+1)^4)-1</f>
        <v/>
      </c>
      <c r="Y46" s="32">
        <f>(((VLOOKUP(B46,'Data qoq'!$A:$AT,MATCH($Y$1,'Data qoq'!$A$1:$AT$1,),))/100+1)^4)-1</f>
        <v/>
      </c>
      <c r="Z46" s="32">
        <f>(((VLOOKUP(B46,'Data qoq'!$A:$AU,MATCH($Z$1,'Data qoq'!$A$1:$AU$1,),))/100+1)^4)-1</f>
        <v/>
      </c>
      <c r="AA46" s="32">
        <f>(((VLOOKUP(B46,'Data qoq'!$A:$AU,MATCH($AA$1,'Data qoq'!$A$1:$AU$1,),))/100+1)^4)-1</f>
        <v/>
      </c>
      <c r="AC46" s="26">
        <f>B46</f>
        <v/>
      </c>
      <c r="AD46" s="31">
        <f>(VLOOKUP(AC46,B:Y,MATCH($AE$6,$B$1:$Y$1,),))-(VLOOKUP(AC46,B:Y,MATCH($AE$7,$B$1:$Y$1,),))</f>
        <v/>
      </c>
      <c r="AE46" s="27" t="n"/>
    </row>
    <row r="47" hidden="1" s="68">
      <c r="A47" s="30" t="n">
        <v>39873</v>
      </c>
      <c r="B47" s="24" t="inlineStr">
        <is>
          <t>2009-Q1</t>
        </is>
      </c>
      <c r="C47" s="32">
        <f>(((VLOOKUP(B47,'Data qoq'!$A:$AT,MATCH($C$1,'Data qoq'!$A$1:$AT$1,),))/100+1)^4)-1</f>
        <v/>
      </c>
      <c r="D47" s="32">
        <f>(((VLOOKUP(B47,'Data qoq'!$A:$AT,MATCH($D$1,'Data qoq'!$A$1:$AT$1,),))/100+1)^4)-1</f>
        <v/>
      </c>
      <c r="E47" s="32">
        <f>(((VLOOKUP(B47,'Data qoq'!$A:$AT,MATCH($E$1,'Data qoq'!$A$1:$AT$1,),))/100+1)^4)-1</f>
        <v/>
      </c>
      <c r="F47" s="32">
        <f>(((VLOOKUP(B47,'Data qoq'!$A:$AT,MATCH($F$1,'Data qoq'!$A$1:$AT$1,),))/100+1)^4)-1</f>
        <v/>
      </c>
      <c r="G47" s="32">
        <f>(((VLOOKUP(B47,'Data qoq'!$A:$AT,MATCH($G$1,'Data qoq'!$A$1:$AT$1,),))/100+1)^4)-1</f>
        <v/>
      </c>
      <c r="H47" s="32">
        <f>(((VLOOKUP(B47,'Data qoq'!$A:$AT,MATCH($H$1,'Data qoq'!$A$1:$AT$1,),))/100+1)^4)-1</f>
        <v/>
      </c>
      <c r="I47" s="32">
        <f>(((VLOOKUP(B47,'Data qoq'!$A:$AT,MATCH($I$1,'Data qoq'!$A$1:$AT$1,),))/100+1)^4)-1</f>
        <v/>
      </c>
      <c r="J47" s="32">
        <f>(((VLOOKUP(B47,'Data qoq'!$A:$AT,MATCH($J$1,'Data qoq'!$A$1:$AT$1,),))/100+1)^4)-1</f>
        <v/>
      </c>
      <c r="K47" s="32">
        <f>(((VLOOKUP(B47,'Data qoq'!$A:$AT,MATCH($K$1,'Data qoq'!$A$1:$AT$1,),))/100+1)^4)-1</f>
        <v/>
      </c>
      <c r="L47" s="32">
        <f>(((VLOOKUP(B47,'Data qoq'!$A:$AT,MATCH($L$1,'Data qoq'!$A$1:$AT$1,),))/100+1)^4)-1</f>
        <v/>
      </c>
      <c r="M47" s="32">
        <f>(((VLOOKUP(B47,'Data qoq'!$A:$AT,MATCH($M$1,'Data qoq'!$A$1:$AT$1,),))/100+1)^4)-1</f>
        <v/>
      </c>
      <c r="N47" s="32">
        <f>(((VLOOKUP(B47,'Data qoq'!$A:$AT,MATCH($N$1,'Data qoq'!$A$1:$AT$1,),))/100+1)^4)-1</f>
        <v/>
      </c>
      <c r="O47" s="32">
        <f>(((VLOOKUP(B47,'Data qoq'!$A:$AT,MATCH($O$1,'Data qoq'!$A$1:$AT$1,),))/100+1)^4)-1</f>
        <v/>
      </c>
      <c r="P47" s="32">
        <f>(((VLOOKUP(B47,'Data qoq'!$A:$AT,MATCH($P$1,'Data qoq'!$A$1:$AT$1,),))/100+1)^4)-1</f>
        <v/>
      </c>
      <c r="Q47" s="32">
        <f>(((VLOOKUP(B47,'Data qoq'!$A:$AT,MATCH($Q$1,'Data qoq'!$A$1:$AT$1,),))/100+1)^4)-1</f>
        <v/>
      </c>
      <c r="R47" s="32">
        <f>(((VLOOKUP(B47,'Data qoq'!$A:$AT,MATCH($R$1,'Data qoq'!$A$1:$AT$1,),))/100+1)^4)-1</f>
        <v/>
      </c>
      <c r="S47" s="32">
        <f>(((VLOOKUP(B47,'Data qoq'!$A:$AT,MATCH($S$1,'Data qoq'!$A$1:$AT$1,),))/100+1)^4)-1</f>
        <v/>
      </c>
      <c r="T47" s="32">
        <f>(((VLOOKUP(B47,'Data qoq'!$A:$AT,MATCH($T$1,'Data qoq'!$A$1:$AT$1,),))/100+1)^4)-1</f>
        <v/>
      </c>
      <c r="U47" s="32">
        <f>(((VLOOKUP(B47,'Data qoq'!$A:$AT,MATCH($U$1,'Data qoq'!$A$1:$AT$1,),))/100+1)^4)-1</f>
        <v/>
      </c>
      <c r="V47" s="32">
        <f>(((VLOOKUP(B47,'Data qoq'!$A:$AT,MATCH($V$1,'Data qoq'!$A$1:$AT$1,),))/100+1)^4)-1</f>
        <v/>
      </c>
      <c r="W47" s="32">
        <f>(((VLOOKUP(B47,'Data qoq'!$A:$AT,MATCH($W$1,'Data qoq'!$A$1:$AT$1,),))/100+1)^4)-1</f>
        <v/>
      </c>
      <c r="X47" s="32">
        <f>(((VLOOKUP(B47,'Data qoq'!$A:$AT,MATCH($X$1,'Data qoq'!$A$1:$AT$1,),))/100+1)^4)-1</f>
        <v/>
      </c>
      <c r="Y47" s="32">
        <f>(((VLOOKUP(B47,'Data qoq'!$A:$AT,MATCH($Y$1,'Data qoq'!$A$1:$AT$1,),))/100+1)^4)-1</f>
        <v/>
      </c>
      <c r="Z47" s="32">
        <f>(((VLOOKUP(B47,'Data qoq'!$A:$AU,MATCH($Z$1,'Data qoq'!$A$1:$AU$1,),))/100+1)^4)-1</f>
        <v/>
      </c>
      <c r="AA47" s="32">
        <f>(((VLOOKUP(B47,'Data qoq'!$A:$AU,MATCH($AA$1,'Data qoq'!$A$1:$AU$1,),))/100+1)^4)-1</f>
        <v/>
      </c>
      <c r="AC47" s="26">
        <f>B47</f>
        <v/>
      </c>
      <c r="AD47" s="31">
        <f>(VLOOKUP(AC47,B:Y,MATCH($AE$6,$B$1:$Y$1,),))-(VLOOKUP(AC47,B:Y,MATCH($AE$7,$B$1:$Y$1,),))</f>
        <v/>
      </c>
      <c r="AE47" s="27" t="n"/>
    </row>
    <row r="48" hidden="1" s="68">
      <c r="A48" s="30" t="n">
        <v>39965</v>
      </c>
      <c r="B48" s="24" t="inlineStr">
        <is>
          <t>2009-Q2</t>
        </is>
      </c>
      <c r="C48" s="32">
        <f>(((VLOOKUP(B48,'Data qoq'!$A:$AT,MATCH($C$1,'Data qoq'!$A$1:$AT$1,),))/100+1)^4)-1</f>
        <v/>
      </c>
      <c r="D48" s="32">
        <f>(((VLOOKUP(B48,'Data qoq'!$A:$AT,MATCH($D$1,'Data qoq'!$A$1:$AT$1,),))/100+1)^4)-1</f>
        <v/>
      </c>
      <c r="E48" s="32">
        <f>(((VLOOKUP(B48,'Data qoq'!$A:$AT,MATCH($E$1,'Data qoq'!$A$1:$AT$1,),))/100+1)^4)-1</f>
        <v/>
      </c>
      <c r="F48" s="32">
        <f>(((VLOOKUP(B48,'Data qoq'!$A:$AT,MATCH($F$1,'Data qoq'!$A$1:$AT$1,),))/100+1)^4)-1</f>
        <v/>
      </c>
      <c r="G48" s="32">
        <f>(((VLOOKUP(B48,'Data qoq'!$A:$AT,MATCH($G$1,'Data qoq'!$A$1:$AT$1,),))/100+1)^4)-1</f>
        <v/>
      </c>
      <c r="H48" s="32">
        <f>(((VLOOKUP(B48,'Data qoq'!$A:$AT,MATCH($H$1,'Data qoq'!$A$1:$AT$1,),))/100+1)^4)-1</f>
        <v/>
      </c>
      <c r="I48" s="32">
        <f>(((VLOOKUP(B48,'Data qoq'!$A:$AT,MATCH($I$1,'Data qoq'!$A$1:$AT$1,),))/100+1)^4)-1</f>
        <v/>
      </c>
      <c r="J48" s="32">
        <f>(((VLOOKUP(B48,'Data qoq'!$A:$AT,MATCH($J$1,'Data qoq'!$A$1:$AT$1,),))/100+1)^4)-1</f>
        <v/>
      </c>
      <c r="K48" s="32">
        <f>(((VLOOKUP(B48,'Data qoq'!$A:$AT,MATCH($K$1,'Data qoq'!$A$1:$AT$1,),))/100+1)^4)-1</f>
        <v/>
      </c>
      <c r="L48" s="32">
        <f>(((VLOOKUP(B48,'Data qoq'!$A:$AT,MATCH($L$1,'Data qoq'!$A$1:$AT$1,),))/100+1)^4)-1</f>
        <v/>
      </c>
      <c r="M48" s="32">
        <f>(((VLOOKUP(B48,'Data qoq'!$A:$AT,MATCH($M$1,'Data qoq'!$A$1:$AT$1,),))/100+1)^4)-1</f>
        <v/>
      </c>
      <c r="N48" s="32">
        <f>(((VLOOKUP(B48,'Data qoq'!$A:$AT,MATCH($N$1,'Data qoq'!$A$1:$AT$1,),))/100+1)^4)-1</f>
        <v/>
      </c>
      <c r="O48" s="32">
        <f>(((VLOOKUP(B48,'Data qoq'!$A:$AT,MATCH($O$1,'Data qoq'!$A$1:$AT$1,),))/100+1)^4)-1</f>
        <v/>
      </c>
      <c r="P48" s="32">
        <f>(((VLOOKUP(B48,'Data qoq'!$A:$AT,MATCH($P$1,'Data qoq'!$A$1:$AT$1,),))/100+1)^4)-1</f>
        <v/>
      </c>
      <c r="Q48" s="32">
        <f>(((VLOOKUP(B48,'Data qoq'!$A:$AT,MATCH($Q$1,'Data qoq'!$A$1:$AT$1,),))/100+1)^4)-1</f>
        <v/>
      </c>
      <c r="R48" s="32">
        <f>(((VLOOKUP(B48,'Data qoq'!$A:$AT,MATCH($R$1,'Data qoq'!$A$1:$AT$1,),))/100+1)^4)-1</f>
        <v/>
      </c>
      <c r="S48" s="32">
        <f>(((VLOOKUP(B48,'Data qoq'!$A:$AT,MATCH($S$1,'Data qoq'!$A$1:$AT$1,),))/100+1)^4)-1</f>
        <v/>
      </c>
      <c r="T48" s="32">
        <f>(((VLOOKUP(B48,'Data qoq'!$A:$AT,MATCH($T$1,'Data qoq'!$A$1:$AT$1,),))/100+1)^4)-1</f>
        <v/>
      </c>
      <c r="U48" s="32">
        <f>(((VLOOKUP(B48,'Data qoq'!$A:$AT,MATCH($U$1,'Data qoq'!$A$1:$AT$1,),))/100+1)^4)-1</f>
        <v/>
      </c>
      <c r="V48" s="32">
        <f>(((VLOOKUP(B48,'Data qoq'!$A:$AT,MATCH($V$1,'Data qoq'!$A$1:$AT$1,),))/100+1)^4)-1</f>
        <v/>
      </c>
      <c r="W48" s="32">
        <f>(((VLOOKUP(B48,'Data qoq'!$A:$AT,MATCH($W$1,'Data qoq'!$A$1:$AT$1,),))/100+1)^4)-1</f>
        <v/>
      </c>
      <c r="X48" s="32">
        <f>(((VLOOKUP(B48,'Data qoq'!$A:$AT,MATCH($X$1,'Data qoq'!$A$1:$AT$1,),))/100+1)^4)-1</f>
        <v/>
      </c>
      <c r="Y48" s="32">
        <f>(((VLOOKUP(B48,'Data qoq'!$A:$AT,MATCH($Y$1,'Data qoq'!$A$1:$AT$1,),))/100+1)^4)-1</f>
        <v/>
      </c>
      <c r="Z48" s="32">
        <f>(((VLOOKUP(B48,'Data qoq'!$A:$AU,MATCH($Z$1,'Data qoq'!$A$1:$AU$1,),))/100+1)^4)-1</f>
        <v/>
      </c>
      <c r="AA48" s="32">
        <f>(((VLOOKUP(B48,'Data qoq'!$A:$AU,MATCH($AA$1,'Data qoq'!$A$1:$AU$1,),))/100+1)^4)-1</f>
        <v/>
      </c>
      <c r="AC48" s="26">
        <f>B48</f>
        <v/>
      </c>
      <c r="AD48" s="31">
        <f>(VLOOKUP(AC48,B:Y,MATCH($AE$6,$B$1:$Y$1,),))-(VLOOKUP(AC48,B:Y,MATCH($AE$7,$B$1:$Y$1,),))</f>
        <v/>
      </c>
      <c r="AE48" s="27" t="n"/>
    </row>
    <row r="49" hidden="1" s="68">
      <c r="A49" s="30" t="n">
        <v>40057</v>
      </c>
      <c r="B49" s="24" t="inlineStr">
        <is>
          <t>2009-Q3</t>
        </is>
      </c>
      <c r="C49" s="32">
        <f>(((VLOOKUP(B49,'Data qoq'!$A:$AT,MATCH($C$1,'Data qoq'!$A$1:$AT$1,),))/100+1)^4)-1</f>
        <v/>
      </c>
      <c r="D49" s="32">
        <f>(((VLOOKUP(B49,'Data qoq'!$A:$AT,MATCH($D$1,'Data qoq'!$A$1:$AT$1,),))/100+1)^4)-1</f>
        <v/>
      </c>
      <c r="E49" s="32">
        <f>(((VLOOKUP(B49,'Data qoq'!$A:$AT,MATCH($E$1,'Data qoq'!$A$1:$AT$1,),))/100+1)^4)-1</f>
        <v/>
      </c>
      <c r="F49" s="32">
        <f>(((VLOOKUP(B49,'Data qoq'!$A:$AT,MATCH($F$1,'Data qoq'!$A$1:$AT$1,),))/100+1)^4)-1</f>
        <v/>
      </c>
      <c r="G49" s="32">
        <f>(((VLOOKUP(B49,'Data qoq'!$A:$AT,MATCH($G$1,'Data qoq'!$A$1:$AT$1,),))/100+1)^4)-1</f>
        <v/>
      </c>
      <c r="H49" s="32">
        <f>(((VLOOKUP(B49,'Data qoq'!$A:$AT,MATCH($H$1,'Data qoq'!$A$1:$AT$1,),))/100+1)^4)-1</f>
        <v/>
      </c>
      <c r="I49" s="32">
        <f>(((VLOOKUP(B49,'Data qoq'!$A:$AT,MATCH($I$1,'Data qoq'!$A$1:$AT$1,),))/100+1)^4)-1</f>
        <v/>
      </c>
      <c r="J49" s="32">
        <f>(((VLOOKUP(B49,'Data qoq'!$A:$AT,MATCH($J$1,'Data qoq'!$A$1:$AT$1,),))/100+1)^4)-1</f>
        <v/>
      </c>
      <c r="K49" s="32">
        <f>(((VLOOKUP(B49,'Data qoq'!$A:$AT,MATCH($K$1,'Data qoq'!$A$1:$AT$1,),))/100+1)^4)-1</f>
        <v/>
      </c>
      <c r="L49" s="32">
        <f>(((VLOOKUP(B49,'Data qoq'!$A:$AT,MATCH($L$1,'Data qoq'!$A$1:$AT$1,),))/100+1)^4)-1</f>
        <v/>
      </c>
      <c r="M49" s="32">
        <f>(((VLOOKUP(B49,'Data qoq'!$A:$AT,MATCH($M$1,'Data qoq'!$A$1:$AT$1,),))/100+1)^4)-1</f>
        <v/>
      </c>
      <c r="N49" s="32">
        <f>(((VLOOKUP(B49,'Data qoq'!$A:$AT,MATCH($N$1,'Data qoq'!$A$1:$AT$1,),))/100+1)^4)-1</f>
        <v/>
      </c>
      <c r="O49" s="32">
        <f>(((VLOOKUP(B49,'Data qoq'!$A:$AT,MATCH($O$1,'Data qoq'!$A$1:$AT$1,),))/100+1)^4)-1</f>
        <v/>
      </c>
      <c r="P49" s="32">
        <f>(((VLOOKUP(B49,'Data qoq'!$A:$AT,MATCH($P$1,'Data qoq'!$A$1:$AT$1,),))/100+1)^4)-1</f>
        <v/>
      </c>
      <c r="Q49" s="32">
        <f>(((VLOOKUP(B49,'Data qoq'!$A:$AT,MATCH($Q$1,'Data qoq'!$A$1:$AT$1,),))/100+1)^4)-1</f>
        <v/>
      </c>
      <c r="R49" s="32">
        <f>(((VLOOKUP(B49,'Data qoq'!$A:$AT,MATCH($R$1,'Data qoq'!$A$1:$AT$1,),))/100+1)^4)-1</f>
        <v/>
      </c>
      <c r="S49" s="32">
        <f>(((VLOOKUP(B49,'Data qoq'!$A:$AT,MATCH($S$1,'Data qoq'!$A$1:$AT$1,),))/100+1)^4)-1</f>
        <v/>
      </c>
      <c r="T49" s="32">
        <f>(((VLOOKUP(B49,'Data qoq'!$A:$AT,MATCH($T$1,'Data qoq'!$A$1:$AT$1,),))/100+1)^4)-1</f>
        <v/>
      </c>
      <c r="U49" s="32">
        <f>(((VLOOKUP(B49,'Data qoq'!$A:$AT,MATCH($U$1,'Data qoq'!$A$1:$AT$1,),))/100+1)^4)-1</f>
        <v/>
      </c>
      <c r="V49" s="32">
        <f>(((VLOOKUP(B49,'Data qoq'!$A:$AT,MATCH($V$1,'Data qoq'!$A$1:$AT$1,),))/100+1)^4)-1</f>
        <v/>
      </c>
      <c r="W49" s="32">
        <f>(((VLOOKUP(B49,'Data qoq'!$A:$AT,MATCH($W$1,'Data qoq'!$A$1:$AT$1,),))/100+1)^4)-1</f>
        <v/>
      </c>
      <c r="X49" s="32">
        <f>(((VLOOKUP(B49,'Data qoq'!$A:$AT,MATCH($X$1,'Data qoq'!$A$1:$AT$1,),))/100+1)^4)-1</f>
        <v/>
      </c>
      <c r="Y49" s="32">
        <f>(((VLOOKUP(B49,'Data qoq'!$A:$AT,MATCH($Y$1,'Data qoq'!$A$1:$AT$1,),))/100+1)^4)-1</f>
        <v/>
      </c>
      <c r="Z49" s="32">
        <f>(((VLOOKUP(B49,'Data qoq'!$A:$AU,MATCH($Z$1,'Data qoq'!$A$1:$AU$1,),))/100+1)^4)-1</f>
        <v/>
      </c>
      <c r="AA49" s="32">
        <f>(((VLOOKUP(B49,'Data qoq'!$A:$AU,MATCH($AA$1,'Data qoq'!$A$1:$AU$1,),))/100+1)^4)-1</f>
        <v/>
      </c>
      <c r="AC49" s="26">
        <f>B49</f>
        <v/>
      </c>
      <c r="AD49" s="31">
        <f>(VLOOKUP(AC49,B:Y,MATCH($AE$6,$B$1:$Y$1,),))-(VLOOKUP(AC49,B:Y,MATCH($AE$7,$B$1:$Y$1,),))</f>
        <v/>
      </c>
      <c r="AE49" s="27" t="n"/>
    </row>
    <row r="50" hidden="1" s="68">
      <c r="A50" s="30" t="n">
        <v>40148</v>
      </c>
      <c r="B50" s="24" t="inlineStr">
        <is>
          <t>2009-Q4</t>
        </is>
      </c>
      <c r="C50" s="32">
        <f>(((VLOOKUP(B50,'Data qoq'!$A:$AT,MATCH($C$1,'Data qoq'!$A$1:$AT$1,),))/100+1)^4)-1</f>
        <v/>
      </c>
      <c r="D50" s="32">
        <f>(((VLOOKUP(B50,'Data qoq'!$A:$AT,MATCH($D$1,'Data qoq'!$A$1:$AT$1,),))/100+1)^4)-1</f>
        <v/>
      </c>
      <c r="E50" s="32">
        <f>(((VLOOKUP(B50,'Data qoq'!$A:$AT,MATCH($E$1,'Data qoq'!$A$1:$AT$1,),))/100+1)^4)-1</f>
        <v/>
      </c>
      <c r="F50" s="32">
        <f>(((VLOOKUP(B50,'Data qoq'!$A:$AT,MATCH($F$1,'Data qoq'!$A$1:$AT$1,),))/100+1)^4)-1</f>
        <v/>
      </c>
      <c r="G50" s="32">
        <f>(((VLOOKUP(B50,'Data qoq'!$A:$AT,MATCH($G$1,'Data qoq'!$A$1:$AT$1,),))/100+1)^4)-1</f>
        <v/>
      </c>
      <c r="H50" s="32">
        <f>(((VLOOKUP(B50,'Data qoq'!$A:$AT,MATCH($H$1,'Data qoq'!$A$1:$AT$1,),))/100+1)^4)-1</f>
        <v/>
      </c>
      <c r="I50" s="32">
        <f>(((VLOOKUP(B50,'Data qoq'!$A:$AT,MATCH($I$1,'Data qoq'!$A$1:$AT$1,),))/100+1)^4)-1</f>
        <v/>
      </c>
      <c r="J50" s="32">
        <f>(((VLOOKUP(B50,'Data qoq'!$A:$AT,MATCH($J$1,'Data qoq'!$A$1:$AT$1,),))/100+1)^4)-1</f>
        <v/>
      </c>
      <c r="K50" s="32">
        <f>(((VLOOKUP(B50,'Data qoq'!$A:$AT,MATCH($K$1,'Data qoq'!$A$1:$AT$1,),))/100+1)^4)-1</f>
        <v/>
      </c>
      <c r="L50" s="32">
        <f>(((VLOOKUP(B50,'Data qoq'!$A:$AT,MATCH($L$1,'Data qoq'!$A$1:$AT$1,),))/100+1)^4)-1</f>
        <v/>
      </c>
      <c r="M50" s="32">
        <f>(((VLOOKUP(B50,'Data qoq'!$A:$AT,MATCH($M$1,'Data qoq'!$A$1:$AT$1,),))/100+1)^4)-1</f>
        <v/>
      </c>
      <c r="N50" s="32">
        <f>(((VLOOKUP(B50,'Data qoq'!$A:$AT,MATCH($N$1,'Data qoq'!$A$1:$AT$1,),))/100+1)^4)-1</f>
        <v/>
      </c>
      <c r="O50" s="32">
        <f>(((VLOOKUP(B50,'Data qoq'!$A:$AT,MATCH($O$1,'Data qoq'!$A$1:$AT$1,),))/100+1)^4)-1</f>
        <v/>
      </c>
      <c r="P50" s="32">
        <f>(((VLOOKUP(B50,'Data qoq'!$A:$AT,MATCH($P$1,'Data qoq'!$A$1:$AT$1,),))/100+1)^4)-1</f>
        <v/>
      </c>
      <c r="Q50" s="32">
        <f>(((VLOOKUP(B50,'Data qoq'!$A:$AT,MATCH($Q$1,'Data qoq'!$A$1:$AT$1,),))/100+1)^4)-1</f>
        <v/>
      </c>
      <c r="R50" s="32">
        <f>(((VLOOKUP(B50,'Data qoq'!$A:$AT,MATCH($R$1,'Data qoq'!$A$1:$AT$1,),))/100+1)^4)-1</f>
        <v/>
      </c>
      <c r="S50" s="32">
        <f>(((VLOOKUP(B50,'Data qoq'!$A:$AT,MATCH($S$1,'Data qoq'!$A$1:$AT$1,),))/100+1)^4)-1</f>
        <v/>
      </c>
      <c r="T50" s="32">
        <f>(((VLOOKUP(B50,'Data qoq'!$A:$AT,MATCH($T$1,'Data qoq'!$A$1:$AT$1,),))/100+1)^4)-1</f>
        <v/>
      </c>
      <c r="U50" s="32">
        <f>(((VLOOKUP(B50,'Data qoq'!$A:$AT,MATCH($U$1,'Data qoq'!$A$1:$AT$1,),))/100+1)^4)-1</f>
        <v/>
      </c>
      <c r="V50" s="32">
        <f>(((VLOOKUP(B50,'Data qoq'!$A:$AT,MATCH($V$1,'Data qoq'!$A$1:$AT$1,),))/100+1)^4)-1</f>
        <v/>
      </c>
      <c r="W50" s="32">
        <f>(((VLOOKUP(B50,'Data qoq'!$A:$AT,MATCH($W$1,'Data qoq'!$A$1:$AT$1,),))/100+1)^4)-1</f>
        <v/>
      </c>
      <c r="X50" s="32">
        <f>(((VLOOKUP(B50,'Data qoq'!$A:$AT,MATCH($X$1,'Data qoq'!$A$1:$AT$1,),))/100+1)^4)-1</f>
        <v/>
      </c>
      <c r="Y50" s="32">
        <f>(((VLOOKUP(B50,'Data qoq'!$A:$AT,MATCH($Y$1,'Data qoq'!$A$1:$AT$1,),))/100+1)^4)-1</f>
        <v/>
      </c>
      <c r="Z50" s="32">
        <f>(((VLOOKUP(B50,'Data qoq'!$A:$AU,MATCH($Z$1,'Data qoq'!$A$1:$AU$1,),))/100+1)^4)-1</f>
        <v/>
      </c>
      <c r="AA50" s="32">
        <f>(((VLOOKUP(B50,'Data qoq'!$A:$AU,MATCH($AA$1,'Data qoq'!$A$1:$AU$1,),))/100+1)^4)-1</f>
        <v/>
      </c>
      <c r="AC50" s="26">
        <f>B50</f>
        <v/>
      </c>
      <c r="AD50" s="31">
        <f>(VLOOKUP(AC50,B:Y,MATCH($AE$6,$B$1:$Y$1,),))-(VLOOKUP(AC50,B:Y,MATCH($AE$7,$B$1:$Y$1,),))</f>
        <v/>
      </c>
      <c r="AE50" s="27" t="n"/>
    </row>
    <row r="51" hidden="1" s="68">
      <c r="A51" s="30" t="n">
        <v>40238</v>
      </c>
      <c r="B51" s="24" t="inlineStr">
        <is>
          <t>2010-Q1</t>
        </is>
      </c>
      <c r="C51" s="32">
        <f>(((VLOOKUP(B51,'Data qoq'!$A:$AT,MATCH($C$1,'Data qoq'!$A$1:$AT$1,),))/100+1)^4)-1</f>
        <v/>
      </c>
      <c r="D51" s="32">
        <f>(((VLOOKUP(B51,'Data qoq'!$A:$AT,MATCH($D$1,'Data qoq'!$A$1:$AT$1,),))/100+1)^4)-1</f>
        <v/>
      </c>
      <c r="E51" s="32">
        <f>(((VLOOKUP(B51,'Data qoq'!$A:$AT,MATCH($E$1,'Data qoq'!$A$1:$AT$1,),))/100+1)^4)-1</f>
        <v/>
      </c>
      <c r="F51" s="32">
        <f>(((VLOOKUP(B51,'Data qoq'!$A:$AT,MATCH($F$1,'Data qoq'!$A$1:$AT$1,),))/100+1)^4)-1</f>
        <v/>
      </c>
      <c r="G51" s="32">
        <f>(((VLOOKUP(B51,'Data qoq'!$A:$AT,MATCH($G$1,'Data qoq'!$A$1:$AT$1,),))/100+1)^4)-1</f>
        <v/>
      </c>
      <c r="H51" s="32">
        <f>(((VLOOKUP(B51,'Data qoq'!$A:$AT,MATCH($H$1,'Data qoq'!$A$1:$AT$1,),))/100+1)^4)-1</f>
        <v/>
      </c>
      <c r="I51" s="32">
        <f>(((VLOOKUP(B51,'Data qoq'!$A:$AT,MATCH($I$1,'Data qoq'!$A$1:$AT$1,),))/100+1)^4)-1</f>
        <v/>
      </c>
      <c r="J51" s="32">
        <f>(((VLOOKUP(B51,'Data qoq'!$A:$AT,MATCH($J$1,'Data qoq'!$A$1:$AT$1,),))/100+1)^4)-1</f>
        <v/>
      </c>
      <c r="K51" s="32">
        <f>(((VLOOKUP(B51,'Data qoq'!$A:$AT,MATCH($K$1,'Data qoq'!$A$1:$AT$1,),))/100+1)^4)-1</f>
        <v/>
      </c>
      <c r="L51" s="32">
        <f>(((VLOOKUP(B51,'Data qoq'!$A:$AT,MATCH($L$1,'Data qoq'!$A$1:$AT$1,),))/100+1)^4)-1</f>
        <v/>
      </c>
      <c r="M51" s="32">
        <f>(((VLOOKUP(B51,'Data qoq'!$A:$AT,MATCH($M$1,'Data qoq'!$A$1:$AT$1,),))/100+1)^4)-1</f>
        <v/>
      </c>
      <c r="N51" s="32">
        <f>(((VLOOKUP(B51,'Data qoq'!$A:$AT,MATCH($N$1,'Data qoq'!$A$1:$AT$1,),))/100+1)^4)-1</f>
        <v/>
      </c>
      <c r="O51" s="32">
        <f>(((VLOOKUP(B51,'Data qoq'!$A:$AT,MATCH($O$1,'Data qoq'!$A$1:$AT$1,),))/100+1)^4)-1</f>
        <v/>
      </c>
      <c r="P51" s="32">
        <f>(((VLOOKUP(B51,'Data qoq'!$A:$AT,MATCH($P$1,'Data qoq'!$A$1:$AT$1,),))/100+1)^4)-1</f>
        <v/>
      </c>
      <c r="Q51" s="32">
        <f>(((VLOOKUP(B51,'Data qoq'!$A:$AT,MATCH($Q$1,'Data qoq'!$A$1:$AT$1,),))/100+1)^4)-1</f>
        <v/>
      </c>
      <c r="R51" s="32">
        <f>(((VLOOKUP(B51,'Data qoq'!$A:$AT,MATCH($R$1,'Data qoq'!$A$1:$AT$1,),))/100+1)^4)-1</f>
        <v/>
      </c>
      <c r="S51" s="32">
        <f>(((VLOOKUP(B51,'Data qoq'!$A:$AT,MATCH($S$1,'Data qoq'!$A$1:$AT$1,),))/100+1)^4)-1</f>
        <v/>
      </c>
      <c r="T51" s="32">
        <f>(((VLOOKUP(B51,'Data qoq'!$A:$AT,MATCH($T$1,'Data qoq'!$A$1:$AT$1,),))/100+1)^4)-1</f>
        <v/>
      </c>
      <c r="U51" s="32">
        <f>(((VLOOKUP(B51,'Data qoq'!$A:$AT,MATCH($U$1,'Data qoq'!$A$1:$AT$1,),))/100+1)^4)-1</f>
        <v/>
      </c>
      <c r="V51" s="32">
        <f>(((VLOOKUP(B51,'Data qoq'!$A:$AT,MATCH($V$1,'Data qoq'!$A$1:$AT$1,),))/100+1)^4)-1</f>
        <v/>
      </c>
      <c r="W51" s="32">
        <f>(((VLOOKUP(B51,'Data qoq'!$A:$AT,MATCH($W$1,'Data qoq'!$A$1:$AT$1,),))/100+1)^4)-1</f>
        <v/>
      </c>
      <c r="X51" s="32">
        <f>(((VLOOKUP(B51,'Data qoq'!$A:$AT,MATCH($X$1,'Data qoq'!$A$1:$AT$1,),))/100+1)^4)-1</f>
        <v/>
      </c>
      <c r="Y51" s="32">
        <f>(((VLOOKUP(B51,'Data qoq'!$A:$AT,MATCH($Y$1,'Data qoq'!$A$1:$AT$1,),))/100+1)^4)-1</f>
        <v/>
      </c>
      <c r="Z51" s="32">
        <f>(((VLOOKUP(B51,'Data qoq'!$A:$AU,MATCH($Z$1,'Data qoq'!$A$1:$AU$1,),))/100+1)^4)-1</f>
        <v/>
      </c>
      <c r="AA51" s="32">
        <f>(((VLOOKUP(B51,'Data qoq'!$A:$AU,MATCH($AA$1,'Data qoq'!$A$1:$AU$1,),))/100+1)^4)-1</f>
        <v/>
      </c>
      <c r="AC51" s="26">
        <f>B51</f>
        <v/>
      </c>
      <c r="AD51" s="31">
        <f>(VLOOKUP(AC51,B:Y,MATCH($AE$6,$B$1:$Y$1,),))-(VLOOKUP(AC51,B:Y,MATCH($AE$7,$B$1:$Y$1,),))</f>
        <v/>
      </c>
      <c r="AE51" s="27" t="n"/>
    </row>
    <row r="52" hidden="1" s="68">
      <c r="A52" s="30" t="n">
        <v>40330</v>
      </c>
      <c r="B52" s="24" t="inlineStr">
        <is>
          <t>2010-Q2</t>
        </is>
      </c>
      <c r="C52" s="32">
        <f>(((VLOOKUP(B52,'Data qoq'!$A:$AT,MATCH($C$1,'Data qoq'!$A$1:$AT$1,),))/100+1)^4)-1</f>
        <v/>
      </c>
      <c r="D52" s="32">
        <f>(((VLOOKUP(B52,'Data qoq'!$A:$AT,MATCH($D$1,'Data qoq'!$A$1:$AT$1,),))/100+1)^4)-1</f>
        <v/>
      </c>
      <c r="E52" s="32">
        <f>(((VLOOKUP(B52,'Data qoq'!$A:$AT,MATCH($E$1,'Data qoq'!$A$1:$AT$1,),))/100+1)^4)-1</f>
        <v/>
      </c>
      <c r="F52" s="32">
        <f>(((VLOOKUP(B52,'Data qoq'!$A:$AT,MATCH($F$1,'Data qoq'!$A$1:$AT$1,),))/100+1)^4)-1</f>
        <v/>
      </c>
      <c r="G52" s="32">
        <f>(((VLOOKUP(B52,'Data qoq'!$A:$AT,MATCH($G$1,'Data qoq'!$A$1:$AT$1,),))/100+1)^4)-1</f>
        <v/>
      </c>
      <c r="H52" s="32">
        <f>(((VLOOKUP(B52,'Data qoq'!$A:$AT,MATCH($H$1,'Data qoq'!$A$1:$AT$1,),))/100+1)^4)-1</f>
        <v/>
      </c>
      <c r="I52" s="32">
        <f>(((VLOOKUP(B52,'Data qoq'!$A:$AT,MATCH($I$1,'Data qoq'!$A$1:$AT$1,),))/100+1)^4)-1</f>
        <v/>
      </c>
      <c r="J52" s="32">
        <f>(((VLOOKUP(B52,'Data qoq'!$A:$AT,MATCH($J$1,'Data qoq'!$A$1:$AT$1,),))/100+1)^4)-1</f>
        <v/>
      </c>
      <c r="K52" s="32">
        <f>(((VLOOKUP(B52,'Data qoq'!$A:$AT,MATCH($K$1,'Data qoq'!$A$1:$AT$1,),))/100+1)^4)-1</f>
        <v/>
      </c>
      <c r="L52" s="32">
        <f>(((VLOOKUP(B52,'Data qoq'!$A:$AT,MATCH($L$1,'Data qoq'!$A$1:$AT$1,),))/100+1)^4)-1</f>
        <v/>
      </c>
      <c r="M52" s="32">
        <f>(((VLOOKUP(B52,'Data qoq'!$A:$AT,MATCH($M$1,'Data qoq'!$A$1:$AT$1,),))/100+1)^4)-1</f>
        <v/>
      </c>
      <c r="N52" s="32">
        <f>(((VLOOKUP(B52,'Data qoq'!$A:$AT,MATCH($N$1,'Data qoq'!$A$1:$AT$1,),))/100+1)^4)-1</f>
        <v/>
      </c>
      <c r="O52" s="32">
        <f>(((VLOOKUP(B52,'Data qoq'!$A:$AT,MATCH($O$1,'Data qoq'!$A$1:$AT$1,),))/100+1)^4)-1</f>
        <v/>
      </c>
      <c r="P52" s="32">
        <f>(((VLOOKUP(B52,'Data qoq'!$A:$AT,MATCH($P$1,'Data qoq'!$A$1:$AT$1,),))/100+1)^4)-1</f>
        <v/>
      </c>
      <c r="Q52" s="32">
        <f>(((VLOOKUP(B52,'Data qoq'!$A:$AT,MATCH($Q$1,'Data qoq'!$A$1:$AT$1,),))/100+1)^4)-1</f>
        <v/>
      </c>
      <c r="R52" s="32">
        <f>(((VLOOKUP(B52,'Data qoq'!$A:$AT,MATCH($R$1,'Data qoq'!$A$1:$AT$1,),))/100+1)^4)-1</f>
        <v/>
      </c>
      <c r="S52" s="32">
        <f>(((VLOOKUP(B52,'Data qoq'!$A:$AT,MATCH($S$1,'Data qoq'!$A$1:$AT$1,),))/100+1)^4)-1</f>
        <v/>
      </c>
      <c r="T52" s="32">
        <f>(((VLOOKUP(B52,'Data qoq'!$A:$AT,MATCH($T$1,'Data qoq'!$A$1:$AT$1,),))/100+1)^4)-1</f>
        <v/>
      </c>
      <c r="U52" s="32">
        <f>(((VLOOKUP(B52,'Data qoq'!$A:$AT,MATCH($U$1,'Data qoq'!$A$1:$AT$1,),))/100+1)^4)-1</f>
        <v/>
      </c>
      <c r="V52" s="32">
        <f>(((VLOOKUP(B52,'Data qoq'!$A:$AT,MATCH($V$1,'Data qoq'!$A$1:$AT$1,),))/100+1)^4)-1</f>
        <v/>
      </c>
      <c r="W52" s="32">
        <f>(((VLOOKUP(B52,'Data qoq'!$A:$AT,MATCH($W$1,'Data qoq'!$A$1:$AT$1,),))/100+1)^4)-1</f>
        <v/>
      </c>
      <c r="X52" s="32">
        <f>(((VLOOKUP(B52,'Data qoq'!$A:$AT,MATCH($X$1,'Data qoq'!$A$1:$AT$1,),))/100+1)^4)-1</f>
        <v/>
      </c>
      <c r="Y52" s="32">
        <f>(((VLOOKUP(B52,'Data qoq'!$A:$AT,MATCH($Y$1,'Data qoq'!$A$1:$AT$1,),))/100+1)^4)-1</f>
        <v/>
      </c>
      <c r="Z52" s="32">
        <f>(((VLOOKUP(B52,'Data qoq'!$A:$AU,MATCH($Z$1,'Data qoq'!$A$1:$AU$1,),))/100+1)^4)-1</f>
        <v/>
      </c>
      <c r="AA52" s="32">
        <f>(((VLOOKUP(B52,'Data qoq'!$A:$AU,MATCH($AA$1,'Data qoq'!$A$1:$AU$1,),))/100+1)^4)-1</f>
        <v/>
      </c>
      <c r="AC52" s="26">
        <f>B52</f>
        <v/>
      </c>
      <c r="AD52" s="31">
        <f>(VLOOKUP(AC52,B:Y,MATCH($AE$6,$B$1:$Y$1,),))-(VLOOKUP(AC52,B:Y,MATCH($AE$7,$B$1:$Y$1,),))</f>
        <v/>
      </c>
      <c r="AE52" s="27" t="n"/>
    </row>
    <row r="53" hidden="1" s="68">
      <c r="A53" s="30" t="n">
        <v>40422</v>
      </c>
      <c r="B53" s="24" t="inlineStr">
        <is>
          <t>2010-Q3</t>
        </is>
      </c>
      <c r="C53" s="32">
        <f>(((VLOOKUP(B53,'Data qoq'!$A:$AT,MATCH($C$1,'Data qoq'!$A$1:$AT$1,),))/100+1)^4)-1</f>
        <v/>
      </c>
      <c r="D53" s="32">
        <f>(((VLOOKUP(B53,'Data qoq'!$A:$AT,MATCH($D$1,'Data qoq'!$A$1:$AT$1,),))/100+1)^4)-1</f>
        <v/>
      </c>
      <c r="E53" s="32">
        <f>(((VLOOKUP(B53,'Data qoq'!$A:$AT,MATCH($E$1,'Data qoq'!$A$1:$AT$1,),))/100+1)^4)-1</f>
        <v/>
      </c>
      <c r="F53" s="32">
        <f>(((VLOOKUP(B53,'Data qoq'!$A:$AT,MATCH($F$1,'Data qoq'!$A$1:$AT$1,),))/100+1)^4)-1</f>
        <v/>
      </c>
      <c r="G53" s="32">
        <f>(((VLOOKUP(B53,'Data qoq'!$A:$AT,MATCH($G$1,'Data qoq'!$A$1:$AT$1,),))/100+1)^4)-1</f>
        <v/>
      </c>
      <c r="H53" s="32">
        <f>(((VLOOKUP(B53,'Data qoq'!$A:$AT,MATCH($H$1,'Data qoq'!$A$1:$AT$1,),))/100+1)^4)-1</f>
        <v/>
      </c>
      <c r="I53" s="32">
        <f>(((VLOOKUP(B53,'Data qoq'!$A:$AT,MATCH($I$1,'Data qoq'!$A$1:$AT$1,),))/100+1)^4)-1</f>
        <v/>
      </c>
      <c r="J53" s="32">
        <f>(((VLOOKUP(B53,'Data qoq'!$A:$AT,MATCH($J$1,'Data qoq'!$A$1:$AT$1,),))/100+1)^4)-1</f>
        <v/>
      </c>
      <c r="K53" s="32">
        <f>(((VLOOKUP(B53,'Data qoq'!$A:$AT,MATCH($K$1,'Data qoq'!$A$1:$AT$1,),))/100+1)^4)-1</f>
        <v/>
      </c>
      <c r="L53" s="32">
        <f>(((VLOOKUP(B53,'Data qoq'!$A:$AT,MATCH($L$1,'Data qoq'!$A$1:$AT$1,),))/100+1)^4)-1</f>
        <v/>
      </c>
      <c r="M53" s="32">
        <f>(((VLOOKUP(B53,'Data qoq'!$A:$AT,MATCH($M$1,'Data qoq'!$A$1:$AT$1,),))/100+1)^4)-1</f>
        <v/>
      </c>
      <c r="N53" s="32">
        <f>(((VLOOKUP(B53,'Data qoq'!$A:$AT,MATCH($N$1,'Data qoq'!$A$1:$AT$1,),))/100+1)^4)-1</f>
        <v/>
      </c>
      <c r="O53" s="32">
        <f>(((VLOOKUP(B53,'Data qoq'!$A:$AT,MATCH($O$1,'Data qoq'!$A$1:$AT$1,),))/100+1)^4)-1</f>
        <v/>
      </c>
      <c r="P53" s="32">
        <f>(((VLOOKUP(B53,'Data qoq'!$A:$AT,MATCH($P$1,'Data qoq'!$A$1:$AT$1,),))/100+1)^4)-1</f>
        <v/>
      </c>
      <c r="Q53" s="32">
        <f>(((VLOOKUP(B53,'Data qoq'!$A:$AT,MATCH($Q$1,'Data qoq'!$A$1:$AT$1,),))/100+1)^4)-1</f>
        <v/>
      </c>
      <c r="R53" s="32">
        <f>(((VLOOKUP(B53,'Data qoq'!$A:$AT,MATCH($R$1,'Data qoq'!$A$1:$AT$1,),))/100+1)^4)-1</f>
        <v/>
      </c>
      <c r="S53" s="32">
        <f>(((VLOOKUP(B53,'Data qoq'!$A:$AT,MATCH($S$1,'Data qoq'!$A$1:$AT$1,),))/100+1)^4)-1</f>
        <v/>
      </c>
      <c r="T53" s="32">
        <f>(((VLOOKUP(B53,'Data qoq'!$A:$AT,MATCH($T$1,'Data qoq'!$A$1:$AT$1,),))/100+1)^4)-1</f>
        <v/>
      </c>
      <c r="U53" s="32">
        <f>(((VLOOKUP(B53,'Data qoq'!$A:$AT,MATCH($U$1,'Data qoq'!$A$1:$AT$1,),))/100+1)^4)-1</f>
        <v/>
      </c>
      <c r="V53" s="32">
        <f>(((VLOOKUP(B53,'Data qoq'!$A:$AT,MATCH($V$1,'Data qoq'!$A$1:$AT$1,),))/100+1)^4)-1</f>
        <v/>
      </c>
      <c r="W53" s="32">
        <f>(((VLOOKUP(B53,'Data qoq'!$A:$AT,MATCH($W$1,'Data qoq'!$A$1:$AT$1,),))/100+1)^4)-1</f>
        <v/>
      </c>
      <c r="X53" s="32">
        <f>(((VLOOKUP(B53,'Data qoq'!$A:$AT,MATCH($X$1,'Data qoq'!$A$1:$AT$1,),))/100+1)^4)-1</f>
        <v/>
      </c>
      <c r="Y53" s="32">
        <f>(((VLOOKUP(B53,'Data qoq'!$A:$AT,MATCH($Y$1,'Data qoq'!$A$1:$AT$1,),))/100+1)^4)-1</f>
        <v/>
      </c>
      <c r="Z53" s="32">
        <f>(((VLOOKUP(B53,'Data qoq'!$A:$AU,MATCH($Z$1,'Data qoq'!$A$1:$AU$1,),))/100+1)^4)-1</f>
        <v/>
      </c>
      <c r="AA53" s="32">
        <f>(((VLOOKUP(B53,'Data qoq'!$A:$AU,MATCH($AA$1,'Data qoq'!$A$1:$AU$1,),))/100+1)^4)-1</f>
        <v/>
      </c>
      <c r="AC53" s="26">
        <f>B53</f>
        <v/>
      </c>
      <c r="AD53" s="31">
        <f>(VLOOKUP(AC53,B:Y,MATCH($AE$6,$B$1:$Y$1,),))-(VLOOKUP(AC53,B:Y,MATCH($AE$7,$B$1:$Y$1,),))</f>
        <v/>
      </c>
      <c r="AE53" s="27" t="n"/>
    </row>
    <row r="54" hidden="1" s="68">
      <c r="A54" s="30" t="n">
        <v>40513</v>
      </c>
      <c r="B54" s="24" t="inlineStr">
        <is>
          <t>2010-Q4</t>
        </is>
      </c>
      <c r="C54" s="32">
        <f>(((VLOOKUP(B54,'Data qoq'!$A:$AT,MATCH($C$1,'Data qoq'!$A$1:$AT$1,),))/100+1)^4)-1</f>
        <v/>
      </c>
      <c r="D54" s="32">
        <f>(((VLOOKUP(B54,'Data qoq'!$A:$AT,MATCH($D$1,'Data qoq'!$A$1:$AT$1,),))/100+1)^4)-1</f>
        <v/>
      </c>
      <c r="E54" s="32">
        <f>(((VLOOKUP(B54,'Data qoq'!$A:$AT,MATCH($E$1,'Data qoq'!$A$1:$AT$1,),))/100+1)^4)-1</f>
        <v/>
      </c>
      <c r="F54" s="32">
        <f>(((VLOOKUP(B54,'Data qoq'!$A:$AT,MATCH($F$1,'Data qoq'!$A$1:$AT$1,),))/100+1)^4)-1</f>
        <v/>
      </c>
      <c r="G54" s="32">
        <f>(((VLOOKUP(B54,'Data qoq'!$A:$AT,MATCH($G$1,'Data qoq'!$A$1:$AT$1,),))/100+1)^4)-1</f>
        <v/>
      </c>
      <c r="H54" s="32">
        <f>(((VLOOKUP(B54,'Data qoq'!$A:$AT,MATCH($H$1,'Data qoq'!$A$1:$AT$1,),))/100+1)^4)-1</f>
        <v/>
      </c>
      <c r="I54" s="32">
        <f>(((VLOOKUP(B54,'Data qoq'!$A:$AT,MATCH($I$1,'Data qoq'!$A$1:$AT$1,),))/100+1)^4)-1</f>
        <v/>
      </c>
      <c r="J54" s="32">
        <f>(((VLOOKUP(B54,'Data qoq'!$A:$AT,MATCH($J$1,'Data qoq'!$A$1:$AT$1,),))/100+1)^4)-1</f>
        <v/>
      </c>
      <c r="K54" s="32">
        <f>(((VLOOKUP(B54,'Data qoq'!$A:$AT,MATCH($K$1,'Data qoq'!$A$1:$AT$1,),))/100+1)^4)-1</f>
        <v/>
      </c>
      <c r="L54" s="32">
        <f>(((VLOOKUP(B54,'Data qoq'!$A:$AT,MATCH($L$1,'Data qoq'!$A$1:$AT$1,),))/100+1)^4)-1</f>
        <v/>
      </c>
      <c r="M54" s="32">
        <f>(((VLOOKUP(B54,'Data qoq'!$A:$AT,MATCH($M$1,'Data qoq'!$A$1:$AT$1,),))/100+1)^4)-1</f>
        <v/>
      </c>
      <c r="N54" s="32">
        <f>(((VLOOKUP(B54,'Data qoq'!$A:$AT,MATCH($N$1,'Data qoq'!$A$1:$AT$1,),))/100+1)^4)-1</f>
        <v/>
      </c>
      <c r="O54" s="32">
        <f>(((VLOOKUP(B54,'Data qoq'!$A:$AT,MATCH($O$1,'Data qoq'!$A$1:$AT$1,),))/100+1)^4)-1</f>
        <v/>
      </c>
      <c r="P54" s="32">
        <f>(((VLOOKUP(B54,'Data qoq'!$A:$AT,MATCH($P$1,'Data qoq'!$A$1:$AT$1,),))/100+1)^4)-1</f>
        <v/>
      </c>
      <c r="Q54" s="32">
        <f>(((VLOOKUP(B54,'Data qoq'!$A:$AT,MATCH($Q$1,'Data qoq'!$A$1:$AT$1,),))/100+1)^4)-1</f>
        <v/>
      </c>
      <c r="R54" s="32">
        <f>(((VLOOKUP(B54,'Data qoq'!$A:$AT,MATCH($R$1,'Data qoq'!$A$1:$AT$1,),))/100+1)^4)-1</f>
        <v/>
      </c>
      <c r="S54" s="32">
        <f>(((VLOOKUP(B54,'Data qoq'!$A:$AT,MATCH($S$1,'Data qoq'!$A$1:$AT$1,),))/100+1)^4)-1</f>
        <v/>
      </c>
      <c r="T54" s="32">
        <f>(((VLOOKUP(B54,'Data qoq'!$A:$AT,MATCH($T$1,'Data qoq'!$A$1:$AT$1,),))/100+1)^4)-1</f>
        <v/>
      </c>
      <c r="U54" s="32">
        <f>(((VLOOKUP(B54,'Data qoq'!$A:$AT,MATCH($U$1,'Data qoq'!$A$1:$AT$1,),))/100+1)^4)-1</f>
        <v/>
      </c>
      <c r="V54" s="32">
        <f>(((VLOOKUP(B54,'Data qoq'!$A:$AT,MATCH($V$1,'Data qoq'!$A$1:$AT$1,),))/100+1)^4)-1</f>
        <v/>
      </c>
      <c r="W54" s="32">
        <f>(((VLOOKUP(B54,'Data qoq'!$A:$AT,MATCH($W$1,'Data qoq'!$A$1:$AT$1,),))/100+1)^4)-1</f>
        <v/>
      </c>
      <c r="X54" s="32">
        <f>(((VLOOKUP(B54,'Data qoq'!$A:$AT,MATCH($X$1,'Data qoq'!$A$1:$AT$1,),))/100+1)^4)-1</f>
        <v/>
      </c>
      <c r="Y54" s="32">
        <f>(((VLOOKUP(B54,'Data qoq'!$A:$AT,MATCH($Y$1,'Data qoq'!$A$1:$AT$1,),))/100+1)^4)-1</f>
        <v/>
      </c>
      <c r="Z54" s="32">
        <f>(((VLOOKUP(B54,'Data qoq'!$A:$AU,MATCH($Z$1,'Data qoq'!$A$1:$AU$1,),))/100+1)^4)-1</f>
        <v/>
      </c>
      <c r="AA54" s="32">
        <f>(((VLOOKUP(B54,'Data qoq'!$A:$AU,MATCH($AA$1,'Data qoq'!$A$1:$AU$1,),))/100+1)^4)-1</f>
        <v/>
      </c>
      <c r="AC54" s="26">
        <f>B54</f>
        <v/>
      </c>
      <c r="AD54" s="31">
        <f>(VLOOKUP(AC54,B:Y,MATCH($AE$6,$B$1:$Y$1,),))-(VLOOKUP(AC54,B:Y,MATCH($AE$7,$B$1:$Y$1,),))</f>
        <v/>
      </c>
      <c r="AE54" s="27" t="n"/>
    </row>
    <row r="55" hidden="1" s="68">
      <c r="A55" s="30" t="n">
        <v>40603</v>
      </c>
      <c r="B55" s="24" t="inlineStr">
        <is>
          <t>2011-Q1</t>
        </is>
      </c>
      <c r="C55" s="32">
        <f>(((VLOOKUP(B55,'Data qoq'!$A:$AT,MATCH($C$1,'Data qoq'!$A$1:$AT$1,),))/100+1)^4)-1</f>
        <v/>
      </c>
      <c r="D55" s="32">
        <f>(((VLOOKUP(B55,'Data qoq'!$A:$AT,MATCH($D$1,'Data qoq'!$A$1:$AT$1,),))/100+1)^4)-1</f>
        <v/>
      </c>
      <c r="E55" s="32">
        <f>(((VLOOKUP(B55,'Data qoq'!$A:$AT,MATCH($E$1,'Data qoq'!$A$1:$AT$1,),))/100+1)^4)-1</f>
        <v/>
      </c>
      <c r="F55" s="32">
        <f>(((VLOOKUP(B55,'Data qoq'!$A:$AT,MATCH($F$1,'Data qoq'!$A$1:$AT$1,),))/100+1)^4)-1</f>
        <v/>
      </c>
      <c r="G55" s="32">
        <f>(((VLOOKUP(B55,'Data qoq'!$A:$AT,MATCH($G$1,'Data qoq'!$A$1:$AT$1,),))/100+1)^4)-1</f>
        <v/>
      </c>
      <c r="H55" s="32">
        <f>(((VLOOKUP(B55,'Data qoq'!$A:$AT,MATCH($H$1,'Data qoq'!$A$1:$AT$1,),))/100+1)^4)-1</f>
        <v/>
      </c>
      <c r="I55" s="32">
        <f>(((VLOOKUP(B55,'Data qoq'!$A:$AT,MATCH($I$1,'Data qoq'!$A$1:$AT$1,),))/100+1)^4)-1</f>
        <v/>
      </c>
      <c r="J55" s="32">
        <f>(((VLOOKUP(B55,'Data qoq'!$A:$AT,MATCH($J$1,'Data qoq'!$A$1:$AT$1,),))/100+1)^4)-1</f>
        <v/>
      </c>
      <c r="K55" s="32">
        <f>(((VLOOKUP(B55,'Data qoq'!$A:$AT,MATCH($K$1,'Data qoq'!$A$1:$AT$1,),))/100+1)^4)-1</f>
        <v/>
      </c>
      <c r="L55" s="32">
        <f>(((VLOOKUP(B55,'Data qoq'!$A:$AT,MATCH($L$1,'Data qoq'!$A$1:$AT$1,),))/100+1)^4)-1</f>
        <v/>
      </c>
      <c r="M55" s="32">
        <f>(((VLOOKUP(B55,'Data qoq'!$A:$AT,MATCH($M$1,'Data qoq'!$A$1:$AT$1,),))/100+1)^4)-1</f>
        <v/>
      </c>
      <c r="N55" s="32">
        <f>(((VLOOKUP(B55,'Data qoq'!$A:$AT,MATCH($N$1,'Data qoq'!$A$1:$AT$1,),))/100+1)^4)-1</f>
        <v/>
      </c>
      <c r="O55" s="32">
        <f>(((VLOOKUP(B55,'Data qoq'!$A:$AT,MATCH($O$1,'Data qoq'!$A$1:$AT$1,),))/100+1)^4)-1</f>
        <v/>
      </c>
      <c r="P55" s="32">
        <f>(((VLOOKUP(B55,'Data qoq'!$A:$AT,MATCH($P$1,'Data qoq'!$A$1:$AT$1,),))/100+1)^4)-1</f>
        <v/>
      </c>
      <c r="Q55" s="32">
        <f>(((VLOOKUP(B55,'Data qoq'!$A:$AT,MATCH($Q$1,'Data qoq'!$A$1:$AT$1,),))/100+1)^4)-1</f>
        <v/>
      </c>
      <c r="R55" s="32">
        <f>(((VLOOKUP(B55,'Data qoq'!$A:$AT,MATCH($R$1,'Data qoq'!$A$1:$AT$1,),))/100+1)^4)-1</f>
        <v/>
      </c>
      <c r="S55" s="32">
        <f>(((VLOOKUP(B55,'Data qoq'!$A:$AT,MATCH($S$1,'Data qoq'!$A$1:$AT$1,),))/100+1)^4)-1</f>
        <v/>
      </c>
      <c r="T55" s="32">
        <f>(((VLOOKUP(B55,'Data qoq'!$A:$AT,MATCH($T$1,'Data qoq'!$A$1:$AT$1,),))/100+1)^4)-1</f>
        <v/>
      </c>
      <c r="U55" s="32">
        <f>(((VLOOKUP(B55,'Data qoq'!$A:$AT,MATCH($U$1,'Data qoq'!$A$1:$AT$1,),))/100+1)^4)-1</f>
        <v/>
      </c>
      <c r="V55" s="32">
        <f>(((VLOOKUP(B55,'Data qoq'!$A:$AT,MATCH($V$1,'Data qoq'!$A$1:$AT$1,),))/100+1)^4)-1</f>
        <v/>
      </c>
      <c r="W55" s="32">
        <f>(((VLOOKUP(B55,'Data qoq'!$A:$AT,MATCH($W$1,'Data qoq'!$A$1:$AT$1,),))/100+1)^4)-1</f>
        <v/>
      </c>
      <c r="X55" s="32">
        <f>(((VLOOKUP(B55,'Data qoq'!$A:$AT,MATCH($X$1,'Data qoq'!$A$1:$AT$1,),))/100+1)^4)-1</f>
        <v/>
      </c>
      <c r="Y55" s="32">
        <f>(((VLOOKUP(B55,'Data qoq'!$A:$AT,MATCH($Y$1,'Data qoq'!$A$1:$AT$1,),))/100+1)^4)-1</f>
        <v/>
      </c>
      <c r="Z55" s="32">
        <f>(((VLOOKUP(B55,'Data qoq'!$A:$AU,MATCH($Z$1,'Data qoq'!$A$1:$AU$1,),))/100+1)^4)-1</f>
        <v/>
      </c>
      <c r="AA55" s="32">
        <f>(((VLOOKUP(B55,'Data qoq'!$A:$AU,MATCH($AA$1,'Data qoq'!$A$1:$AU$1,),))/100+1)^4)-1</f>
        <v/>
      </c>
      <c r="AC55" s="26">
        <f>B55</f>
        <v/>
      </c>
      <c r="AD55" s="31">
        <f>(VLOOKUP(AC55,B:Y,MATCH($AE$6,$B$1:$Y$1,),))-(VLOOKUP(AC55,B:Y,MATCH($AE$7,$B$1:$Y$1,),))</f>
        <v/>
      </c>
      <c r="AE55" s="27" t="n"/>
    </row>
    <row r="56" hidden="1" s="68">
      <c r="A56" s="30" t="n">
        <v>40695</v>
      </c>
      <c r="B56" s="24" t="inlineStr">
        <is>
          <t>2011-Q2</t>
        </is>
      </c>
      <c r="C56" s="32">
        <f>(((VLOOKUP(B56,'Data qoq'!$A:$AT,MATCH($C$1,'Data qoq'!$A$1:$AT$1,),))/100+1)^4)-1</f>
        <v/>
      </c>
      <c r="D56" s="32">
        <f>(((VLOOKUP(B56,'Data qoq'!$A:$AT,MATCH($D$1,'Data qoq'!$A$1:$AT$1,),))/100+1)^4)-1</f>
        <v/>
      </c>
      <c r="E56" s="32">
        <f>(((VLOOKUP(B56,'Data qoq'!$A:$AT,MATCH($E$1,'Data qoq'!$A$1:$AT$1,),))/100+1)^4)-1</f>
        <v/>
      </c>
      <c r="F56" s="32">
        <f>(((VLOOKUP(B56,'Data qoq'!$A:$AT,MATCH($F$1,'Data qoq'!$A$1:$AT$1,),))/100+1)^4)-1</f>
        <v/>
      </c>
      <c r="G56" s="32">
        <f>(((VLOOKUP(B56,'Data qoq'!$A:$AT,MATCH($G$1,'Data qoq'!$A$1:$AT$1,),))/100+1)^4)-1</f>
        <v/>
      </c>
      <c r="H56" s="32">
        <f>(((VLOOKUP(B56,'Data qoq'!$A:$AT,MATCH($H$1,'Data qoq'!$A$1:$AT$1,),))/100+1)^4)-1</f>
        <v/>
      </c>
      <c r="I56" s="32">
        <f>(((VLOOKUP(B56,'Data qoq'!$A:$AT,MATCH($I$1,'Data qoq'!$A$1:$AT$1,),))/100+1)^4)-1</f>
        <v/>
      </c>
      <c r="J56" s="32">
        <f>(((VLOOKUP(B56,'Data qoq'!$A:$AT,MATCH($J$1,'Data qoq'!$A$1:$AT$1,),))/100+1)^4)-1</f>
        <v/>
      </c>
      <c r="K56" s="32">
        <f>(((VLOOKUP(B56,'Data qoq'!$A:$AT,MATCH($K$1,'Data qoq'!$A$1:$AT$1,),))/100+1)^4)-1</f>
        <v/>
      </c>
      <c r="L56" s="32">
        <f>(((VLOOKUP(B56,'Data qoq'!$A:$AT,MATCH($L$1,'Data qoq'!$A$1:$AT$1,),))/100+1)^4)-1</f>
        <v/>
      </c>
      <c r="M56" s="32">
        <f>(((VLOOKUP(B56,'Data qoq'!$A:$AT,MATCH($M$1,'Data qoq'!$A$1:$AT$1,),))/100+1)^4)-1</f>
        <v/>
      </c>
      <c r="N56" s="32">
        <f>(((VLOOKUP(B56,'Data qoq'!$A:$AT,MATCH($N$1,'Data qoq'!$A$1:$AT$1,),))/100+1)^4)-1</f>
        <v/>
      </c>
      <c r="O56" s="32">
        <f>(((VLOOKUP(B56,'Data qoq'!$A:$AT,MATCH($O$1,'Data qoq'!$A$1:$AT$1,),))/100+1)^4)-1</f>
        <v/>
      </c>
      <c r="P56" s="32">
        <f>(((VLOOKUP(B56,'Data qoq'!$A:$AT,MATCH($P$1,'Data qoq'!$A$1:$AT$1,),))/100+1)^4)-1</f>
        <v/>
      </c>
      <c r="Q56" s="32">
        <f>(((VLOOKUP(B56,'Data qoq'!$A:$AT,MATCH($Q$1,'Data qoq'!$A$1:$AT$1,),))/100+1)^4)-1</f>
        <v/>
      </c>
      <c r="R56" s="32">
        <f>(((VLOOKUP(B56,'Data qoq'!$A:$AT,MATCH($R$1,'Data qoq'!$A$1:$AT$1,),))/100+1)^4)-1</f>
        <v/>
      </c>
      <c r="S56" s="32">
        <f>(((VLOOKUP(B56,'Data qoq'!$A:$AT,MATCH($S$1,'Data qoq'!$A$1:$AT$1,),))/100+1)^4)-1</f>
        <v/>
      </c>
      <c r="T56" s="32">
        <f>(((VLOOKUP(B56,'Data qoq'!$A:$AT,MATCH($T$1,'Data qoq'!$A$1:$AT$1,),))/100+1)^4)-1</f>
        <v/>
      </c>
      <c r="U56" s="32">
        <f>(((VLOOKUP(B56,'Data qoq'!$A:$AT,MATCH($U$1,'Data qoq'!$A$1:$AT$1,),))/100+1)^4)-1</f>
        <v/>
      </c>
      <c r="V56" s="32">
        <f>(((VLOOKUP(B56,'Data qoq'!$A:$AT,MATCH($V$1,'Data qoq'!$A$1:$AT$1,),))/100+1)^4)-1</f>
        <v/>
      </c>
      <c r="W56" s="32">
        <f>(((VLOOKUP(B56,'Data qoq'!$A:$AT,MATCH($W$1,'Data qoq'!$A$1:$AT$1,),))/100+1)^4)-1</f>
        <v/>
      </c>
      <c r="X56" s="32">
        <f>(((VLOOKUP(B56,'Data qoq'!$A:$AT,MATCH($X$1,'Data qoq'!$A$1:$AT$1,),))/100+1)^4)-1</f>
        <v/>
      </c>
      <c r="Y56" s="32">
        <f>(((VLOOKUP(B56,'Data qoq'!$A:$AT,MATCH($Y$1,'Data qoq'!$A$1:$AT$1,),))/100+1)^4)-1</f>
        <v/>
      </c>
      <c r="Z56" s="32">
        <f>(((VLOOKUP(B56,'Data qoq'!$A:$AU,MATCH($Z$1,'Data qoq'!$A$1:$AU$1,),))/100+1)^4)-1</f>
        <v/>
      </c>
      <c r="AA56" s="32">
        <f>(((VLOOKUP(B56,'Data qoq'!$A:$AU,MATCH($AA$1,'Data qoq'!$A$1:$AU$1,),))/100+1)^4)-1</f>
        <v/>
      </c>
      <c r="AC56" s="26">
        <f>B56</f>
        <v/>
      </c>
      <c r="AD56" s="31">
        <f>(VLOOKUP(AC56,B:Y,MATCH($AE$6,$B$1:$Y$1,),))-(VLOOKUP(AC56,B:Y,MATCH($AE$7,$B$1:$Y$1,),))</f>
        <v/>
      </c>
      <c r="AE56" s="27" t="n"/>
    </row>
    <row r="57" hidden="1" s="68">
      <c r="A57" s="30" t="n">
        <v>40787</v>
      </c>
      <c r="B57" s="24" t="inlineStr">
        <is>
          <t>2011-Q3</t>
        </is>
      </c>
      <c r="C57" s="32">
        <f>(((VLOOKUP(B57,'Data qoq'!$A:$AT,MATCH($C$1,'Data qoq'!$A$1:$AT$1,),))/100+1)^4)-1</f>
        <v/>
      </c>
      <c r="D57" s="32">
        <f>(((VLOOKUP(B57,'Data qoq'!$A:$AT,MATCH($D$1,'Data qoq'!$A$1:$AT$1,),))/100+1)^4)-1</f>
        <v/>
      </c>
      <c r="E57" s="32">
        <f>(((VLOOKUP(B57,'Data qoq'!$A:$AT,MATCH($E$1,'Data qoq'!$A$1:$AT$1,),))/100+1)^4)-1</f>
        <v/>
      </c>
      <c r="F57" s="32">
        <f>(((VLOOKUP(B57,'Data qoq'!$A:$AT,MATCH($F$1,'Data qoq'!$A$1:$AT$1,),))/100+1)^4)-1</f>
        <v/>
      </c>
      <c r="G57" s="32">
        <f>(((VLOOKUP(B57,'Data qoq'!$A:$AT,MATCH($G$1,'Data qoq'!$A$1:$AT$1,),))/100+1)^4)-1</f>
        <v/>
      </c>
      <c r="H57" s="32">
        <f>(((VLOOKUP(B57,'Data qoq'!$A:$AT,MATCH($H$1,'Data qoq'!$A$1:$AT$1,),))/100+1)^4)-1</f>
        <v/>
      </c>
      <c r="I57" s="32">
        <f>(((VLOOKUP(B57,'Data qoq'!$A:$AT,MATCH($I$1,'Data qoq'!$A$1:$AT$1,),))/100+1)^4)-1</f>
        <v/>
      </c>
      <c r="J57" s="32">
        <f>(((VLOOKUP(B57,'Data qoq'!$A:$AT,MATCH($J$1,'Data qoq'!$A$1:$AT$1,),))/100+1)^4)-1</f>
        <v/>
      </c>
      <c r="K57" s="32">
        <f>(((VLOOKUP(B57,'Data qoq'!$A:$AT,MATCH($K$1,'Data qoq'!$A$1:$AT$1,),))/100+1)^4)-1</f>
        <v/>
      </c>
      <c r="L57" s="32">
        <f>(((VLOOKUP(B57,'Data qoq'!$A:$AT,MATCH($L$1,'Data qoq'!$A$1:$AT$1,),))/100+1)^4)-1</f>
        <v/>
      </c>
      <c r="M57" s="32">
        <f>(((VLOOKUP(B57,'Data qoq'!$A:$AT,MATCH($M$1,'Data qoq'!$A$1:$AT$1,),))/100+1)^4)-1</f>
        <v/>
      </c>
      <c r="N57" s="32">
        <f>(((VLOOKUP(B57,'Data qoq'!$A:$AT,MATCH($N$1,'Data qoq'!$A$1:$AT$1,),))/100+1)^4)-1</f>
        <v/>
      </c>
      <c r="O57" s="32">
        <f>(((VLOOKUP(B57,'Data qoq'!$A:$AT,MATCH($O$1,'Data qoq'!$A$1:$AT$1,),))/100+1)^4)-1</f>
        <v/>
      </c>
      <c r="P57" s="32">
        <f>(((VLOOKUP(B57,'Data qoq'!$A:$AT,MATCH($P$1,'Data qoq'!$A$1:$AT$1,),))/100+1)^4)-1</f>
        <v/>
      </c>
      <c r="Q57" s="32">
        <f>(((VLOOKUP(B57,'Data qoq'!$A:$AT,MATCH($Q$1,'Data qoq'!$A$1:$AT$1,),))/100+1)^4)-1</f>
        <v/>
      </c>
      <c r="R57" s="32">
        <f>(((VLOOKUP(B57,'Data qoq'!$A:$AT,MATCH($R$1,'Data qoq'!$A$1:$AT$1,),))/100+1)^4)-1</f>
        <v/>
      </c>
      <c r="S57" s="32">
        <f>(((VLOOKUP(B57,'Data qoq'!$A:$AT,MATCH($S$1,'Data qoq'!$A$1:$AT$1,),))/100+1)^4)-1</f>
        <v/>
      </c>
      <c r="T57" s="32">
        <f>(((VLOOKUP(B57,'Data qoq'!$A:$AT,MATCH($T$1,'Data qoq'!$A$1:$AT$1,),))/100+1)^4)-1</f>
        <v/>
      </c>
      <c r="U57" s="32">
        <f>(((VLOOKUP(B57,'Data qoq'!$A:$AT,MATCH($U$1,'Data qoq'!$A$1:$AT$1,),))/100+1)^4)-1</f>
        <v/>
      </c>
      <c r="V57" s="32">
        <f>(((VLOOKUP(B57,'Data qoq'!$A:$AT,MATCH($V$1,'Data qoq'!$A$1:$AT$1,),))/100+1)^4)-1</f>
        <v/>
      </c>
      <c r="W57" s="32">
        <f>(((VLOOKUP(B57,'Data qoq'!$A:$AT,MATCH($W$1,'Data qoq'!$A$1:$AT$1,),))/100+1)^4)-1</f>
        <v/>
      </c>
      <c r="X57" s="32">
        <f>(((VLOOKUP(B57,'Data qoq'!$A:$AT,MATCH($X$1,'Data qoq'!$A$1:$AT$1,),))/100+1)^4)-1</f>
        <v/>
      </c>
      <c r="Y57" s="32">
        <f>(((VLOOKUP(B57,'Data qoq'!$A:$AT,MATCH($Y$1,'Data qoq'!$A$1:$AT$1,),))/100+1)^4)-1</f>
        <v/>
      </c>
      <c r="Z57" s="32">
        <f>(((VLOOKUP(B57,'Data qoq'!$A:$AU,MATCH($Z$1,'Data qoq'!$A$1:$AU$1,),))/100+1)^4)-1</f>
        <v/>
      </c>
      <c r="AA57" s="32">
        <f>(((VLOOKUP(B57,'Data qoq'!$A:$AU,MATCH($AA$1,'Data qoq'!$A$1:$AU$1,),))/100+1)^4)-1</f>
        <v/>
      </c>
      <c r="AC57" s="26">
        <f>B57</f>
        <v/>
      </c>
      <c r="AD57" s="31">
        <f>(VLOOKUP(AC57,B:Y,MATCH($AE$6,$B$1:$Y$1,),))-(VLOOKUP(AC57,B:Y,MATCH($AE$7,$B$1:$Y$1,),))</f>
        <v/>
      </c>
      <c r="AE57" s="27" t="n"/>
    </row>
    <row r="58" hidden="1" s="68">
      <c r="A58" s="30" t="n">
        <v>40878</v>
      </c>
      <c r="B58" s="24" t="inlineStr">
        <is>
          <t>2011-Q4</t>
        </is>
      </c>
      <c r="C58" s="32">
        <f>(((VLOOKUP(B58,'Data qoq'!$A:$AT,MATCH($C$1,'Data qoq'!$A$1:$AT$1,),))/100+1)^4)-1</f>
        <v/>
      </c>
      <c r="D58" s="32">
        <f>(((VLOOKUP(B58,'Data qoq'!$A:$AT,MATCH($D$1,'Data qoq'!$A$1:$AT$1,),))/100+1)^4)-1</f>
        <v/>
      </c>
      <c r="E58" s="32">
        <f>(((VLOOKUP(B58,'Data qoq'!$A:$AT,MATCH($E$1,'Data qoq'!$A$1:$AT$1,),))/100+1)^4)-1</f>
        <v/>
      </c>
      <c r="F58" s="32">
        <f>(((VLOOKUP(B58,'Data qoq'!$A:$AT,MATCH($F$1,'Data qoq'!$A$1:$AT$1,),))/100+1)^4)-1</f>
        <v/>
      </c>
      <c r="G58" s="32">
        <f>(((VLOOKUP(B58,'Data qoq'!$A:$AT,MATCH($G$1,'Data qoq'!$A$1:$AT$1,),))/100+1)^4)-1</f>
        <v/>
      </c>
      <c r="H58" s="32">
        <f>(((VLOOKUP(B58,'Data qoq'!$A:$AT,MATCH($H$1,'Data qoq'!$A$1:$AT$1,),))/100+1)^4)-1</f>
        <v/>
      </c>
      <c r="I58" s="32">
        <f>(((VLOOKUP(B58,'Data qoq'!$A:$AT,MATCH($I$1,'Data qoq'!$A$1:$AT$1,),))/100+1)^4)-1</f>
        <v/>
      </c>
      <c r="J58" s="32">
        <f>(((VLOOKUP(B58,'Data qoq'!$A:$AT,MATCH($J$1,'Data qoq'!$A$1:$AT$1,),))/100+1)^4)-1</f>
        <v/>
      </c>
      <c r="K58" s="32">
        <f>(((VLOOKUP(B58,'Data qoq'!$A:$AT,MATCH($K$1,'Data qoq'!$A$1:$AT$1,),))/100+1)^4)-1</f>
        <v/>
      </c>
      <c r="L58" s="32">
        <f>(((VLOOKUP(B58,'Data qoq'!$A:$AT,MATCH($L$1,'Data qoq'!$A$1:$AT$1,),))/100+1)^4)-1</f>
        <v/>
      </c>
      <c r="M58" s="32">
        <f>(((VLOOKUP(B58,'Data qoq'!$A:$AT,MATCH($M$1,'Data qoq'!$A$1:$AT$1,),))/100+1)^4)-1</f>
        <v/>
      </c>
      <c r="N58" s="32">
        <f>(((VLOOKUP(B58,'Data qoq'!$A:$AT,MATCH($N$1,'Data qoq'!$A$1:$AT$1,),))/100+1)^4)-1</f>
        <v/>
      </c>
      <c r="O58" s="32">
        <f>(((VLOOKUP(B58,'Data qoq'!$A:$AT,MATCH($O$1,'Data qoq'!$A$1:$AT$1,),))/100+1)^4)-1</f>
        <v/>
      </c>
      <c r="P58" s="32">
        <f>(((VLOOKUP(B58,'Data qoq'!$A:$AT,MATCH($P$1,'Data qoq'!$A$1:$AT$1,),))/100+1)^4)-1</f>
        <v/>
      </c>
      <c r="Q58" s="32">
        <f>(((VLOOKUP(B58,'Data qoq'!$A:$AT,MATCH($Q$1,'Data qoq'!$A$1:$AT$1,),))/100+1)^4)-1</f>
        <v/>
      </c>
      <c r="R58" s="32">
        <f>(((VLOOKUP(B58,'Data qoq'!$A:$AT,MATCH($R$1,'Data qoq'!$A$1:$AT$1,),))/100+1)^4)-1</f>
        <v/>
      </c>
      <c r="S58" s="32">
        <f>(((VLOOKUP(B58,'Data qoq'!$A:$AT,MATCH($S$1,'Data qoq'!$A$1:$AT$1,),))/100+1)^4)-1</f>
        <v/>
      </c>
      <c r="T58" s="32">
        <f>(((VLOOKUP(B58,'Data qoq'!$A:$AT,MATCH($T$1,'Data qoq'!$A$1:$AT$1,),))/100+1)^4)-1</f>
        <v/>
      </c>
      <c r="U58" s="32">
        <f>(((VLOOKUP(B58,'Data qoq'!$A:$AT,MATCH($U$1,'Data qoq'!$A$1:$AT$1,),))/100+1)^4)-1</f>
        <v/>
      </c>
      <c r="V58" s="32">
        <f>(((VLOOKUP(B58,'Data qoq'!$A:$AT,MATCH($V$1,'Data qoq'!$A$1:$AT$1,),))/100+1)^4)-1</f>
        <v/>
      </c>
      <c r="W58" s="32">
        <f>(((VLOOKUP(B58,'Data qoq'!$A:$AT,MATCH($W$1,'Data qoq'!$A$1:$AT$1,),))/100+1)^4)-1</f>
        <v/>
      </c>
      <c r="X58" s="32">
        <f>(((VLOOKUP(B58,'Data qoq'!$A:$AT,MATCH($X$1,'Data qoq'!$A$1:$AT$1,),))/100+1)^4)-1</f>
        <v/>
      </c>
      <c r="Y58" s="32">
        <f>(((VLOOKUP(B58,'Data qoq'!$A:$AT,MATCH($Y$1,'Data qoq'!$A$1:$AT$1,),))/100+1)^4)-1</f>
        <v/>
      </c>
      <c r="Z58" s="32">
        <f>(((VLOOKUP(B58,'Data qoq'!$A:$AU,MATCH($Z$1,'Data qoq'!$A$1:$AU$1,),))/100+1)^4)-1</f>
        <v/>
      </c>
      <c r="AA58" s="32">
        <f>(((VLOOKUP(B58,'Data qoq'!$A:$AU,MATCH($AA$1,'Data qoq'!$A$1:$AU$1,),))/100+1)^4)-1</f>
        <v/>
      </c>
      <c r="AC58" s="26">
        <f>B58</f>
        <v/>
      </c>
      <c r="AD58" s="31">
        <f>(VLOOKUP(AC58,B:Y,MATCH($AE$6,$B$1:$Y$1,),))-(VLOOKUP(AC58,B:Y,MATCH($AE$7,$B$1:$Y$1,),))</f>
        <v/>
      </c>
      <c r="AE58" s="27" t="n"/>
    </row>
    <row r="59" hidden="1" s="68">
      <c r="A59" s="30" t="n">
        <v>40969</v>
      </c>
      <c r="B59" s="24" t="inlineStr">
        <is>
          <t>2012-Q1</t>
        </is>
      </c>
      <c r="C59" s="32">
        <f>(((VLOOKUP(B59,'Data qoq'!$A:$AT,MATCH($C$1,'Data qoq'!$A$1:$AT$1,),))/100+1)^4)-1</f>
        <v/>
      </c>
      <c r="D59" s="32">
        <f>(((VLOOKUP(B59,'Data qoq'!$A:$AT,MATCH($D$1,'Data qoq'!$A$1:$AT$1,),))/100+1)^4)-1</f>
        <v/>
      </c>
      <c r="E59" s="32">
        <f>(((VLOOKUP(B59,'Data qoq'!$A:$AT,MATCH($E$1,'Data qoq'!$A$1:$AT$1,),))/100+1)^4)-1</f>
        <v/>
      </c>
      <c r="F59" s="32">
        <f>(((VLOOKUP(B59,'Data qoq'!$A:$AT,MATCH($F$1,'Data qoq'!$A$1:$AT$1,),))/100+1)^4)-1</f>
        <v/>
      </c>
      <c r="G59" s="32">
        <f>(((VLOOKUP(B59,'Data qoq'!$A:$AT,MATCH($G$1,'Data qoq'!$A$1:$AT$1,),))/100+1)^4)-1</f>
        <v/>
      </c>
      <c r="H59" s="32">
        <f>(((VLOOKUP(B59,'Data qoq'!$A:$AT,MATCH($H$1,'Data qoq'!$A$1:$AT$1,),))/100+1)^4)-1</f>
        <v/>
      </c>
      <c r="I59" s="32">
        <f>(((VLOOKUP(B59,'Data qoq'!$A:$AT,MATCH($I$1,'Data qoq'!$A$1:$AT$1,),))/100+1)^4)-1</f>
        <v/>
      </c>
      <c r="J59" s="32">
        <f>(((VLOOKUP(B59,'Data qoq'!$A:$AT,MATCH($J$1,'Data qoq'!$A$1:$AT$1,),))/100+1)^4)-1</f>
        <v/>
      </c>
      <c r="K59" s="32">
        <f>(((VLOOKUP(B59,'Data qoq'!$A:$AT,MATCH($K$1,'Data qoq'!$A$1:$AT$1,),))/100+1)^4)-1</f>
        <v/>
      </c>
      <c r="L59" s="32">
        <f>(((VLOOKUP(B59,'Data qoq'!$A:$AT,MATCH($L$1,'Data qoq'!$A$1:$AT$1,),))/100+1)^4)-1</f>
        <v/>
      </c>
      <c r="M59" s="32">
        <f>(((VLOOKUP(B59,'Data qoq'!$A:$AT,MATCH($M$1,'Data qoq'!$A$1:$AT$1,),))/100+1)^4)-1</f>
        <v/>
      </c>
      <c r="N59" s="32">
        <f>(((VLOOKUP(B59,'Data qoq'!$A:$AT,MATCH($N$1,'Data qoq'!$A$1:$AT$1,),))/100+1)^4)-1</f>
        <v/>
      </c>
      <c r="O59" s="32">
        <f>(((VLOOKUP(B59,'Data qoq'!$A:$AT,MATCH($O$1,'Data qoq'!$A$1:$AT$1,),))/100+1)^4)-1</f>
        <v/>
      </c>
      <c r="P59" s="32">
        <f>(((VLOOKUP(B59,'Data qoq'!$A:$AT,MATCH($P$1,'Data qoq'!$A$1:$AT$1,),))/100+1)^4)-1</f>
        <v/>
      </c>
      <c r="Q59" s="32">
        <f>(((VLOOKUP(B59,'Data qoq'!$A:$AT,MATCH($Q$1,'Data qoq'!$A$1:$AT$1,),))/100+1)^4)-1</f>
        <v/>
      </c>
      <c r="R59" s="32">
        <f>(((VLOOKUP(B59,'Data qoq'!$A:$AT,MATCH($R$1,'Data qoq'!$A$1:$AT$1,),))/100+1)^4)-1</f>
        <v/>
      </c>
      <c r="S59" s="32">
        <f>(((VLOOKUP(B59,'Data qoq'!$A:$AT,MATCH($S$1,'Data qoq'!$A$1:$AT$1,),))/100+1)^4)-1</f>
        <v/>
      </c>
      <c r="T59" s="32">
        <f>(((VLOOKUP(B59,'Data qoq'!$A:$AT,MATCH($T$1,'Data qoq'!$A$1:$AT$1,),))/100+1)^4)-1</f>
        <v/>
      </c>
      <c r="U59" s="32">
        <f>(((VLOOKUP(B59,'Data qoq'!$A:$AT,MATCH($U$1,'Data qoq'!$A$1:$AT$1,),))/100+1)^4)-1</f>
        <v/>
      </c>
      <c r="V59" s="32">
        <f>(((VLOOKUP(B59,'Data qoq'!$A:$AT,MATCH($V$1,'Data qoq'!$A$1:$AT$1,),))/100+1)^4)-1</f>
        <v/>
      </c>
      <c r="W59" s="32">
        <f>(((VLOOKUP(B59,'Data qoq'!$A:$AT,MATCH($W$1,'Data qoq'!$A$1:$AT$1,),))/100+1)^4)-1</f>
        <v/>
      </c>
      <c r="X59" s="32">
        <f>(((VLOOKUP(B59,'Data qoq'!$A:$AT,MATCH($X$1,'Data qoq'!$A$1:$AT$1,),))/100+1)^4)-1</f>
        <v/>
      </c>
      <c r="Y59" s="32">
        <f>(((VLOOKUP(B59,'Data qoq'!$A:$AT,MATCH($Y$1,'Data qoq'!$A$1:$AT$1,),))/100+1)^4)-1</f>
        <v/>
      </c>
      <c r="Z59" s="32">
        <f>(((VLOOKUP(B59,'Data qoq'!$A:$AU,MATCH($Z$1,'Data qoq'!$A$1:$AU$1,),))/100+1)^4)-1</f>
        <v/>
      </c>
      <c r="AA59" s="32">
        <f>(((VLOOKUP(B59,'Data qoq'!$A:$AU,MATCH($AA$1,'Data qoq'!$A$1:$AU$1,),))/100+1)^4)-1</f>
        <v/>
      </c>
      <c r="AC59" s="26">
        <f>B59</f>
        <v/>
      </c>
      <c r="AD59" s="31">
        <f>(VLOOKUP(AC59,B:Y,MATCH($AE$6,$B$1:$Y$1,),))-(VLOOKUP(AC59,B:Y,MATCH($AE$7,$B$1:$Y$1,),))</f>
        <v/>
      </c>
      <c r="AE59" s="27" t="n"/>
    </row>
    <row r="60" hidden="1" s="68">
      <c r="A60" s="30" t="n">
        <v>41061</v>
      </c>
      <c r="B60" s="24" t="inlineStr">
        <is>
          <t>2012-Q2</t>
        </is>
      </c>
      <c r="C60" s="32">
        <f>(((VLOOKUP(B60,'Data qoq'!$A:$AT,MATCH($C$1,'Data qoq'!$A$1:$AT$1,),))/100+1)^4)-1</f>
        <v/>
      </c>
      <c r="D60" s="32">
        <f>(((VLOOKUP(B60,'Data qoq'!$A:$AT,MATCH($D$1,'Data qoq'!$A$1:$AT$1,),))/100+1)^4)-1</f>
        <v/>
      </c>
      <c r="E60" s="32">
        <f>(((VLOOKUP(B60,'Data qoq'!$A:$AT,MATCH($E$1,'Data qoq'!$A$1:$AT$1,),))/100+1)^4)-1</f>
        <v/>
      </c>
      <c r="F60" s="32">
        <f>(((VLOOKUP(B60,'Data qoq'!$A:$AT,MATCH($F$1,'Data qoq'!$A$1:$AT$1,),))/100+1)^4)-1</f>
        <v/>
      </c>
      <c r="G60" s="32">
        <f>(((VLOOKUP(B60,'Data qoq'!$A:$AT,MATCH($G$1,'Data qoq'!$A$1:$AT$1,),))/100+1)^4)-1</f>
        <v/>
      </c>
      <c r="H60" s="32">
        <f>(((VLOOKUP(B60,'Data qoq'!$A:$AT,MATCH($H$1,'Data qoq'!$A$1:$AT$1,),))/100+1)^4)-1</f>
        <v/>
      </c>
      <c r="I60" s="32">
        <f>(((VLOOKUP(B60,'Data qoq'!$A:$AT,MATCH($I$1,'Data qoq'!$A$1:$AT$1,),))/100+1)^4)-1</f>
        <v/>
      </c>
      <c r="J60" s="32">
        <f>(((VLOOKUP(B60,'Data qoq'!$A:$AT,MATCH($J$1,'Data qoq'!$A$1:$AT$1,),))/100+1)^4)-1</f>
        <v/>
      </c>
      <c r="K60" s="32">
        <f>(((VLOOKUP(B60,'Data qoq'!$A:$AT,MATCH($K$1,'Data qoq'!$A$1:$AT$1,),))/100+1)^4)-1</f>
        <v/>
      </c>
      <c r="L60" s="32">
        <f>(((VLOOKUP(B60,'Data qoq'!$A:$AT,MATCH($L$1,'Data qoq'!$A$1:$AT$1,),))/100+1)^4)-1</f>
        <v/>
      </c>
      <c r="M60" s="32">
        <f>(((VLOOKUP(B60,'Data qoq'!$A:$AT,MATCH($M$1,'Data qoq'!$A$1:$AT$1,),))/100+1)^4)-1</f>
        <v/>
      </c>
      <c r="N60" s="32">
        <f>(((VLOOKUP(B60,'Data qoq'!$A:$AT,MATCH($N$1,'Data qoq'!$A$1:$AT$1,),))/100+1)^4)-1</f>
        <v/>
      </c>
      <c r="O60" s="32">
        <f>(((VLOOKUP(B60,'Data qoq'!$A:$AT,MATCH($O$1,'Data qoq'!$A$1:$AT$1,),))/100+1)^4)-1</f>
        <v/>
      </c>
      <c r="P60" s="32">
        <f>(((VLOOKUP(B60,'Data qoq'!$A:$AT,MATCH($P$1,'Data qoq'!$A$1:$AT$1,),))/100+1)^4)-1</f>
        <v/>
      </c>
      <c r="Q60" s="32">
        <f>(((VLOOKUP(B60,'Data qoq'!$A:$AT,MATCH($Q$1,'Data qoq'!$A$1:$AT$1,),))/100+1)^4)-1</f>
        <v/>
      </c>
      <c r="R60" s="32">
        <f>(((VLOOKUP(B60,'Data qoq'!$A:$AT,MATCH($R$1,'Data qoq'!$A$1:$AT$1,),))/100+1)^4)-1</f>
        <v/>
      </c>
      <c r="S60" s="32">
        <f>(((VLOOKUP(B60,'Data qoq'!$A:$AT,MATCH($S$1,'Data qoq'!$A$1:$AT$1,),))/100+1)^4)-1</f>
        <v/>
      </c>
      <c r="T60" s="32">
        <f>(((VLOOKUP(B60,'Data qoq'!$A:$AT,MATCH($T$1,'Data qoq'!$A$1:$AT$1,),))/100+1)^4)-1</f>
        <v/>
      </c>
      <c r="U60" s="32">
        <f>(((VLOOKUP(B60,'Data qoq'!$A:$AT,MATCH($U$1,'Data qoq'!$A$1:$AT$1,),))/100+1)^4)-1</f>
        <v/>
      </c>
      <c r="V60" s="32">
        <f>(((VLOOKUP(B60,'Data qoq'!$A:$AT,MATCH($V$1,'Data qoq'!$A$1:$AT$1,),))/100+1)^4)-1</f>
        <v/>
      </c>
      <c r="W60" s="32">
        <f>(((VLOOKUP(B60,'Data qoq'!$A:$AT,MATCH($W$1,'Data qoq'!$A$1:$AT$1,),))/100+1)^4)-1</f>
        <v/>
      </c>
      <c r="X60" s="32">
        <f>(((VLOOKUP(B60,'Data qoq'!$A:$AT,MATCH($X$1,'Data qoq'!$A$1:$AT$1,),))/100+1)^4)-1</f>
        <v/>
      </c>
      <c r="Y60" s="32">
        <f>(((VLOOKUP(B60,'Data qoq'!$A:$AT,MATCH($Y$1,'Data qoq'!$A$1:$AT$1,),))/100+1)^4)-1</f>
        <v/>
      </c>
      <c r="Z60" s="32">
        <f>(((VLOOKUP(B60,'Data qoq'!$A:$AU,MATCH($Z$1,'Data qoq'!$A$1:$AU$1,),))/100+1)^4)-1</f>
        <v/>
      </c>
      <c r="AA60" s="32">
        <f>(((VLOOKUP(B60,'Data qoq'!$A:$AU,MATCH($AA$1,'Data qoq'!$A$1:$AU$1,),))/100+1)^4)-1</f>
        <v/>
      </c>
      <c r="AC60" s="26">
        <f>B60</f>
        <v/>
      </c>
      <c r="AD60" s="31">
        <f>(VLOOKUP(AC60,B:Y,MATCH($AE$6,$B$1:$Y$1,),))-(VLOOKUP(AC60,B:Y,MATCH($AE$7,$B$1:$Y$1,),))</f>
        <v/>
      </c>
      <c r="AE60" s="27" t="n"/>
    </row>
    <row r="61" hidden="1" s="68">
      <c r="A61" s="30" t="n">
        <v>41153</v>
      </c>
      <c r="B61" s="24" t="inlineStr">
        <is>
          <t>2012-Q3</t>
        </is>
      </c>
      <c r="C61" s="32">
        <f>(((VLOOKUP(B61,'Data qoq'!$A:$AT,MATCH($C$1,'Data qoq'!$A$1:$AT$1,),))/100+1)^4)-1</f>
        <v/>
      </c>
      <c r="D61" s="32">
        <f>(((VLOOKUP(B61,'Data qoq'!$A:$AT,MATCH($D$1,'Data qoq'!$A$1:$AT$1,),))/100+1)^4)-1</f>
        <v/>
      </c>
      <c r="E61" s="32">
        <f>(((VLOOKUP(B61,'Data qoq'!$A:$AT,MATCH($E$1,'Data qoq'!$A$1:$AT$1,),))/100+1)^4)-1</f>
        <v/>
      </c>
      <c r="F61" s="32">
        <f>(((VLOOKUP(B61,'Data qoq'!$A:$AT,MATCH($F$1,'Data qoq'!$A$1:$AT$1,),))/100+1)^4)-1</f>
        <v/>
      </c>
      <c r="G61" s="32">
        <f>(((VLOOKUP(B61,'Data qoq'!$A:$AT,MATCH($G$1,'Data qoq'!$A$1:$AT$1,),))/100+1)^4)-1</f>
        <v/>
      </c>
      <c r="H61" s="32">
        <f>(((VLOOKUP(B61,'Data qoq'!$A:$AT,MATCH($H$1,'Data qoq'!$A$1:$AT$1,),))/100+1)^4)-1</f>
        <v/>
      </c>
      <c r="I61" s="32">
        <f>(((VLOOKUP(B61,'Data qoq'!$A:$AT,MATCH($I$1,'Data qoq'!$A$1:$AT$1,),))/100+1)^4)-1</f>
        <v/>
      </c>
      <c r="J61" s="32">
        <f>(((VLOOKUP(B61,'Data qoq'!$A:$AT,MATCH($J$1,'Data qoq'!$A$1:$AT$1,),))/100+1)^4)-1</f>
        <v/>
      </c>
      <c r="K61" s="32">
        <f>(((VLOOKUP(B61,'Data qoq'!$A:$AT,MATCH($K$1,'Data qoq'!$A$1:$AT$1,),))/100+1)^4)-1</f>
        <v/>
      </c>
      <c r="L61" s="32">
        <f>(((VLOOKUP(B61,'Data qoq'!$A:$AT,MATCH($L$1,'Data qoq'!$A$1:$AT$1,),))/100+1)^4)-1</f>
        <v/>
      </c>
      <c r="M61" s="32">
        <f>(((VLOOKUP(B61,'Data qoq'!$A:$AT,MATCH($M$1,'Data qoq'!$A$1:$AT$1,),))/100+1)^4)-1</f>
        <v/>
      </c>
      <c r="N61" s="32">
        <f>(((VLOOKUP(B61,'Data qoq'!$A:$AT,MATCH($N$1,'Data qoq'!$A$1:$AT$1,),))/100+1)^4)-1</f>
        <v/>
      </c>
      <c r="O61" s="32">
        <f>(((VLOOKUP(B61,'Data qoq'!$A:$AT,MATCH($O$1,'Data qoq'!$A$1:$AT$1,),))/100+1)^4)-1</f>
        <v/>
      </c>
      <c r="P61" s="32">
        <f>(((VLOOKUP(B61,'Data qoq'!$A:$AT,MATCH($P$1,'Data qoq'!$A$1:$AT$1,),))/100+1)^4)-1</f>
        <v/>
      </c>
      <c r="Q61" s="32">
        <f>(((VLOOKUP(B61,'Data qoq'!$A:$AT,MATCH($Q$1,'Data qoq'!$A$1:$AT$1,),))/100+1)^4)-1</f>
        <v/>
      </c>
      <c r="R61" s="32">
        <f>(((VLOOKUP(B61,'Data qoq'!$A:$AT,MATCH($R$1,'Data qoq'!$A$1:$AT$1,),))/100+1)^4)-1</f>
        <v/>
      </c>
      <c r="S61" s="32">
        <f>(((VLOOKUP(B61,'Data qoq'!$A:$AT,MATCH($S$1,'Data qoq'!$A$1:$AT$1,),))/100+1)^4)-1</f>
        <v/>
      </c>
      <c r="T61" s="32">
        <f>(((VLOOKUP(B61,'Data qoq'!$A:$AT,MATCH($T$1,'Data qoq'!$A$1:$AT$1,),))/100+1)^4)-1</f>
        <v/>
      </c>
      <c r="U61" s="32">
        <f>(((VLOOKUP(B61,'Data qoq'!$A:$AT,MATCH($U$1,'Data qoq'!$A$1:$AT$1,),))/100+1)^4)-1</f>
        <v/>
      </c>
      <c r="V61" s="32">
        <f>(((VLOOKUP(B61,'Data qoq'!$A:$AT,MATCH($V$1,'Data qoq'!$A$1:$AT$1,),))/100+1)^4)-1</f>
        <v/>
      </c>
      <c r="W61" s="32">
        <f>(((VLOOKUP(B61,'Data qoq'!$A:$AT,MATCH($W$1,'Data qoq'!$A$1:$AT$1,),))/100+1)^4)-1</f>
        <v/>
      </c>
      <c r="X61" s="32">
        <f>(((VLOOKUP(B61,'Data qoq'!$A:$AT,MATCH($X$1,'Data qoq'!$A$1:$AT$1,),))/100+1)^4)-1</f>
        <v/>
      </c>
      <c r="Y61" s="32">
        <f>(((VLOOKUP(B61,'Data qoq'!$A:$AT,MATCH($Y$1,'Data qoq'!$A$1:$AT$1,),))/100+1)^4)-1</f>
        <v/>
      </c>
      <c r="Z61" s="32">
        <f>(((VLOOKUP(B61,'Data qoq'!$A:$AU,MATCH($Z$1,'Data qoq'!$A$1:$AU$1,),))/100+1)^4)-1</f>
        <v/>
      </c>
      <c r="AA61" s="32">
        <f>(((VLOOKUP(B61,'Data qoq'!$A:$AU,MATCH($AA$1,'Data qoq'!$A$1:$AU$1,),))/100+1)^4)-1</f>
        <v/>
      </c>
      <c r="AC61" s="26">
        <f>B61</f>
        <v/>
      </c>
      <c r="AD61" s="31">
        <f>(VLOOKUP(AC61,B:Y,MATCH($AE$6,$B$1:$Y$1,),))-(VLOOKUP(AC61,B:Y,MATCH($AE$7,$B$1:$Y$1,),))</f>
        <v/>
      </c>
      <c r="AE61" s="27" t="n"/>
    </row>
    <row r="62" hidden="1" s="68">
      <c r="A62" s="30" t="n">
        <v>41244</v>
      </c>
      <c r="B62" s="24" t="inlineStr">
        <is>
          <t>2012-Q4</t>
        </is>
      </c>
      <c r="C62" s="32">
        <f>(((VLOOKUP(B62,'Data qoq'!$A:$AT,MATCH($C$1,'Data qoq'!$A$1:$AT$1,),))/100+1)^4)-1</f>
        <v/>
      </c>
      <c r="D62" s="32">
        <f>(((VLOOKUP(B62,'Data qoq'!$A:$AT,MATCH($D$1,'Data qoq'!$A$1:$AT$1,),))/100+1)^4)-1</f>
        <v/>
      </c>
      <c r="E62" s="32">
        <f>(((VLOOKUP(B62,'Data qoq'!$A:$AT,MATCH($E$1,'Data qoq'!$A$1:$AT$1,),))/100+1)^4)-1</f>
        <v/>
      </c>
      <c r="F62" s="32">
        <f>(((VLOOKUP(B62,'Data qoq'!$A:$AT,MATCH($F$1,'Data qoq'!$A$1:$AT$1,),))/100+1)^4)-1</f>
        <v/>
      </c>
      <c r="G62" s="32">
        <f>(((VLOOKUP(B62,'Data qoq'!$A:$AT,MATCH($G$1,'Data qoq'!$A$1:$AT$1,),))/100+1)^4)-1</f>
        <v/>
      </c>
      <c r="H62" s="32">
        <f>(((VLOOKUP(B62,'Data qoq'!$A:$AT,MATCH($H$1,'Data qoq'!$A$1:$AT$1,),))/100+1)^4)-1</f>
        <v/>
      </c>
      <c r="I62" s="32">
        <f>(((VLOOKUP(B62,'Data qoq'!$A:$AT,MATCH($I$1,'Data qoq'!$A$1:$AT$1,),))/100+1)^4)-1</f>
        <v/>
      </c>
      <c r="J62" s="32">
        <f>(((VLOOKUP(B62,'Data qoq'!$A:$AT,MATCH($J$1,'Data qoq'!$A$1:$AT$1,),))/100+1)^4)-1</f>
        <v/>
      </c>
      <c r="K62" s="32">
        <f>(((VLOOKUP(B62,'Data qoq'!$A:$AT,MATCH($K$1,'Data qoq'!$A$1:$AT$1,),))/100+1)^4)-1</f>
        <v/>
      </c>
      <c r="L62" s="32">
        <f>(((VLOOKUP(B62,'Data qoq'!$A:$AT,MATCH($L$1,'Data qoq'!$A$1:$AT$1,),))/100+1)^4)-1</f>
        <v/>
      </c>
      <c r="M62" s="32">
        <f>(((VLOOKUP(B62,'Data qoq'!$A:$AT,MATCH($M$1,'Data qoq'!$A$1:$AT$1,),))/100+1)^4)-1</f>
        <v/>
      </c>
      <c r="N62" s="32">
        <f>(((VLOOKUP(B62,'Data qoq'!$A:$AT,MATCH($N$1,'Data qoq'!$A$1:$AT$1,),))/100+1)^4)-1</f>
        <v/>
      </c>
      <c r="O62" s="32">
        <f>(((VLOOKUP(B62,'Data qoq'!$A:$AT,MATCH($O$1,'Data qoq'!$A$1:$AT$1,),))/100+1)^4)-1</f>
        <v/>
      </c>
      <c r="P62" s="32">
        <f>(((VLOOKUP(B62,'Data qoq'!$A:$AT,MATCH($P$1,'Data qoq'!$A$1:$AT$1,),))/100+1)^4)-1</f>
        <v/>
      </c>
      <c r="Q62" s="32">
        <f>(((VLOOKUP(B62,'Data qoq'!$A:$AT,MATCH($Q$1,'Data qoq'!$A$1:$AT$1,),))/100+1)^4)-1</f>
        <v/>
      </c>
      <c r="R62" s="32">
        <f>(((VLOOKUP(B62,'Data qoq'!$A:$AT,MATCH($R$1,'Data qoq'!$A$1:$AT$1,),))/100+1)^4)-1</f>
        <v/>
      </c>
      <c r="S62" s="32">
        <f>(((VLOOKUP(B62,'Data qoq'!$A:$AT,MATCH($S$1,'Data qoq'!$A$1:$AT$1,),))/100+1)^4)-1</f>
        <v/>
      </c>
      <c r="T62" s="32">
        <f>(((VLOOKUP(B62,'Data qoq'!$A:$AT,MATCH($T$1,'Data qoq'!$A$1:$AT$1,),))/100+1)^4)-1</f>
        <v/>
      </c>
      <c r="U62" s="32">
        <f>(((VLOOKUP(B62,'Data qoq'!$A:$AT,MATCH($U$1,'Data qoq'!$A$1:$AT$1,),))/100+1)^4)-1</f>
        <v/>
      </c>
      <c r="V62" s="32">
        <f>(((VLOOKUP(B62,'Data qoq'!$A:$AT,MATCH($V$1,'Data qoq'!$A$1:$AT$1,),))/100+1)^4)-1</f>
        <v/>
      </c>
      <c r="W62" s="32">
        <f>(((VLOOKUP(B62,'Data qoq'!$A:$AT,MATCH($W$1,'Data qoq'!$A$1:$AT$1,),))/100+1)^4)-1</f>
        <v/>
      </c>
      <c r="X62" s="32">
        <f>(((VLOOKUP(B62,'Data qoq'!$A:$AT,MATCH($X$1,'Data qoq'!$A$1:$AT$1,),))/100+1)^4)-1</f>
        <v/>
      </c>
      <c r="Y62" s="32">
        <f>(((VLOOKUP(B62,'Data qoq'!$A:$AT,MATCH($Y$1,'Data qoq'!$A$1:$AT$1,),))/100+1)^4)-1</f>
        <v/>
      </c>
      <c r="Z62" s="32">
        <f>(((VLOOKUP(B62,'Data qoq'!$A:$AU,MATCH($Z$1,'Data qoq'!$A$1:$AU$1,),))/100+1)^4)-1</f>
        <v/>
      </c>
      <c r="AA62" s="32">
        <f>(((VLOOKUP(B62,'Data qoq'!$A:$AU,MATCH($AA$1,'Data qoq'!$A$1:$AU$1,),))/100+1)^4)-1</f>
        <v/>
      </c>
      <c r="AC62" s="26">
        <f>B62</f>
        <v/>
      </c>
      <c r="AD62" s="31">
        <f>(VLOOKUP(AC62,B:Y,MATCH($AE$6,$B$1:$Y$1,),))-(VLOOKUP(AC62,B:Y,MATCH($AE$7,$B$1:$Y$1,),))</f>
        <v/>
      </c>
      <c r="AE62" s="27" t="n"/>
    </row>
    <row r="63" hidden="1" s="68">
      <c r="A63" s="30" t="n">
        <v>41334</v>
      </c>
      <c r="B63" s="24" t="inlineStr">
        <is>
          <t>2013-Q1</t>
        </is>
      </c>
      <c r="C63" s="32">
        <f>(((VLOOKUP(B63,'Data qoq'!$A:$AT,MATCH($C$1,'Data qoq'!$A$1:$AT$1,),))/100+1)^4)-1</f>
        <v/>
      </c>
      <c r="D63" s="32">
        <f>(((VLOOKUP(B63,'Data qoq'!$A:$AT,MATCH($D$1,'Data qoq'!$A$1:$AT$1,),))/100+1)^4)-1</f>
        <v/>
      </c>
      <c r="E63" s="32">
        <f>(((VLOOKUP(B63,'Data qoq'!$A:$AT,MATCH($E$1,'Data qoq'!$A$1:$AT$1,),))/100+1)^4)-1</f>
        <v/>
      </c>
      <c r="F63" s="32">
        <f>(((VLOOKUP(B63,'Data qoq'!$A:$AT,MATCH($F$1,'Data qoq'!$A$1:$AT$1,),))/100+1)^4)-1</f>
        <v/>
      </c>
      <c r="G63" s="32">
        <f>(((VLOOKUP(B63,'Data qoq'!$A:$AT,MATCH($G$1,'Data qoq'!$A$1:$AT$1,),))/100+1)^4)-1</f>
        <v/>
      </c>
      <c r="H63" s="32">
        <f>(((VLOOKUP(B63,'Data qoq'!$A:$AT,MATCH($H$1,'Data qoq'!$A$1:$AT$1,),))/100+1)^4)-1</f>
        <v/>
      </c>
      <c r="I63" s="32">
        <f>(((VLOOKUP(B63,'Data qoq'!$A:$AT,MATCH($I$1,'Data qoq'!$A$1:$AT$1,),))/100+1)^4)-1</f>
        <v/>
      </c>
      <c r="J63" s="32">
        <f>(((VLOOKUP(B63,'Data qoq'!$A:$AT,MATCH($J$1,'Data qoq'!$A$1:$AT$1,),))/100+1)^4)-1</f>
        <v/>
      </c>
      <c r="K63" s="32">
        <f>(((VLOOKUP(B63,'Data qoq'!$A:$AT,MATCH($K$1,'Data qoq'!$A$1:$AT$1,),))/100+1)^4)-1</f>
        <v/>
      </c>
      <c r="L63" s="32">
        <f>(((VLOOKUP(B63,'Data qoq'!$A:$AT,MATCH($L$1,'Data qoq'!$A$1:$AT$1,),))/100+1)^4)-1</f>
        <v/>
      </c>
      <c r="M63" s="32">
        <f>(((VLOOKUP(B63,'Data qoq'!$A:$AT,MATCH($M$1,'Data qoq'!$A$1:$AT$1,),))/100+1)^4)-1</f>
        <v/>
      </c>
      <c r="N63" s="32">
        <f>(((VLOOKUP(B63,'Data qoq'!$A:$AT,MATCH($N$1,'Data qoq'!$A$1:$AT$1,),))/100+1)^4)-1</f>
        <v/>
      </c>
      <c r="O63" s="32">
        <f>(((VLOOKUP(B63,'Data qoq'!$A:$AT,MATCH($O$1,'Data qoq'!$A$1:$AT$1,),))/100+1)^4)-1</f>
        <v/>
      </c>
      <c r="P63" s="32">
        <f>(((VLOOKUP(B63,'Data qoq'!$A:$AT,MATCH($P$1,'Data qoq'!$A$1:$AT$1,),))/100+1)^4)-1</f>
        <v/>
      </c>
      <c r="Q63" s="32">
        <f>(((VLOOKUP(B63,'Data qoq'!$A:$AT,MATCH($Q$1,'Data qoq'!$A$1:$AT$1,),))/100+1)^4)-1</f>
        <v/>
      </c>
      <c r="R63" s="32">
        <f>(((VLOOKUP(B63,'Data qoq'!$A:$AT,MATCH($R$1,'Data qoq'!$A$1:$AT$1,),))/100+1)^4)-1</f>
        <v/>
      </c>
      <c r="S63" s="32">
        <f>(((VLOOKUP(B63,'Data qoq'!$A:$AT,MATCH($S$1,'Data qoq'!$A$1:$AT$1,),))/100+1)^4)-1</f>
        <v/>
      </c>
      <c r="T63" s="32">
        <f>(((VLOOKUP(B63,'Data qoq'!$A:$AT,MATCH($T$1,'Data qoq'!$A$1:$AT$1,),))/100+1)^4)-1</f>
        <v/>
      </c>
      <c r="U63" s="32">
        <f>(((VLOOKUP(B63,'Data qoq'!$A:$AT,MATCH($U$1,'Data qoq'!$A$1:$AT$1,),))/100+1)^4)-1</f>
        <v/>
      </c>
      <c r="V63" s="32">
        <f>(((VLOOKUP(B63,'Data qoq'!$A:$AT,MATCH($V$1,'Data qoq'!$A$1:$AT$1,),))/100+1)^4)-1</f>
        <v/>
      </c>
      <c r="W63" s="32">
        <f>(((VLOOKUP(B63,'Data qoq'!$A:$AT,MATCH($W$1,'Data qoq'!$A$1:$AT$1,),))/100+1)^4)-1</f>
        <v/>
      </c>
      <c r="X63" s="32">
        <f>(((VLOOKUP(B63,'Data qoq'!$A:$AT,MATCH($X$1,'Data qoq'!$A$1:$AT$1,),))/100+1)^4)-1</f>
        <v/>
      </c>
      <c r="Y63" s="32">
        <f>(((VLOOKUP(B63,'Data qoq'!$A:$AT,MATCH($Y$1,'Data qoq'!$A$1:$AT$1,),))/100+1)^4)-1</f>
        <v/>
      </c>
      <c r="Z63" s="32">
        <f>(((VLOOKUP(B63,'Data qoq'!$A:$AU,MATCH($Z$1,'Data qoq'!$A$1:$AU$1,),))/100+1)^4)-1</f>
        <v/>
      </c>
      <c r="AA63" s="32">
        <f>(((VLOOKUP(B63,'Data qoq'!$A:$AU,MATCH($AA$1,'Data qoq'!$A$1:$AU$1,),))/100+1)^4)-1</f>
        <v/>
      </c>
      <c r="AC63" s="26">
        <f>B63</f>
        <v/>
      </c>
      <c r="AD63" s="31">
        <f>(VLOOKUP(AC63,B:Y,MATCH($AE$6,$B$1:$Y$1,),))-(VLOOKUP(AC63,B:Y,MATCH($AE$7,$B$1:$Y$1,),))</f>
        <v/>
      </c>
      <c r="AE63" s="27" t="n"/>
    </row>
    <row r="64" hidden="1" s="68">
      <c r="A64" s="30" t="n">
        <v>41426</v>
      </c>
      <c r="B64" s="24" t="inlineStr">
        <is>
          <t>2013-Q2</t>
        </is>
      </c>
      <c r="C64" s="32">
        <f>(((VLOOKUP(B64,'Data qoq'!$A:$AT,MATCH($C$1,'Data qoq'!$A$1:$AT$1,),))/100+1)^4)-1</f>
        <v/>
      </c>
      <c r="D64" s="32">
        <f>(((VLOOKUP(B64,'Data qoq'!$A:$AT,MATCH($D$1,'Data qoq'!$A$1:$AT$1,),))/100+1)^4)-1</f>
        <v/>
      </c>
      <c r="E64" s="32">
        <f>(((VLOOKUP(B64,'Data qoq'!$A:$AT,MATCH($E$1,'Data qoq'!$A$1:$AT$1,),))/100+1)^4)-1</f>
        <v/>
      </c>
      <c r="F64" s="32">
        <f>(((VLOOKUP(B64,'Data qoq'!$A:$AT,MATCH($F$1,'Data qoq'!$A$1:$AT$1,),))/100+1)^4)-1</f>
        <v/>
      </c>
      <c r="G64" s="32">
        <f>(((VLOOKUP(B64,'Data qoq'!$A:$AT,MATCH($G$1,'Data qoq'!$A$1:$AT$1,),))/100+1)^4)-1</f>
        <v/>
      </c>
      <c r="H64" s="32">
        <f>(((VLOOKUP(B64,'Data qoq'!$A:$AT,MATCH($H$1,'Data qoq'!$A$1:$AT$1,),))/100+1)^4)-1</f>
        <v/>
      </c>
      <c r="I64" s="32">
        <f>(((VLOOKUP(B64,'Data qoq'!$A:$AT,MATCH($I$1,'Data qoq'!$A$1:$AT$1,),))/100+1)^4)-1</f>
        <v/>
      </c>
      <c r="J64" s="32">
        <f>(((VLOOKUP(B64,'Data qoq'!$A:$AT,MATCH($J$1,'Data qoq'!$A$1:$AT$1,),))/100+1)^4)-1</f>
        <v/>
      </c>
      <c r="K64" s="32">
        <f>(((VLOOKUP(B64,'Data qoq'!$A:$AT,MATCH($K$1,'Data qoq'!$A$1:$AT$1,),))/100+1)^4)-1</f>
        <v/>
      </c>
      <c r="L64" s="32">
        <f>(((VLOOKUP(B64,'Data qoq'!$A:$AT,MATCH($L$1,'Data qoq'!$A$1:$AT$1,),))/100+1)^4)-1</f>
        <v/>
      </c>
      <c r="M64" s="32">
        <f>(((VLOOKUP(B64,'Data qoq'!$A:$AT,MATCH($M$1,'Data qoq'!$A$1:$AT$1,),))/100+1)^4)-1</f>
        <v/>
      </c>
      <c r="N64" s="32">
        <f>(((VLOOKUP(B64,'Data qoq'!$A:$AT,MATCH($N$1,'Data qoq'!$A$1:$AT$1,),))/100+1)^4)-1</f>
        <v/>
      </c>
      <c r="O64" s="32">
        <f>(((VLOOKUP(B64,'Data qoq'!$A:$AT,MATCH($O$1,'Data qoq'!$A$1:$AT$1,),))/100+1)^4)-1</f>
        <v/>
      </c>
      <c r="P64" s="32">
        <f>(((VLOOKUP(B64,'Data qoq'!$A:$AT,MATCH($P$1,'Data qoq'!$A$1:$AT$1,),))/100+1)^4)-1</f>
        <v/>
      </c>
      <c r="Q64" s="32">
        <f>(((VLOOKUP(B64,'Data qoq'!$A:$AT,MATCH($Q$1,'Data qoq'!$A$1:$AT$1,),))/100+1)^4)-1</f>
        <v/>
      </c>
      <c r="R64" s="32">
        <f>(((VLOOKUP(B64,'Data qoq'!$A:$AT,MATCH($R$1,'Data qoq'!$A$1:$AT$1,),))/100+1)^4)-1</f>
        <v/>
      </c>
      <c r="S64" s="32">
        <f>(((VLOOKUP(B64,'Data qoq'!$A:$AT,MATCH($S$1,'Data qoq'!$A$1:$AT$1,),))/100+1)^4)-1</f>
        <v/>
      </c>
      <c r="T64" s="32">
        <f>(((VLOOKUP(B64,'Data qoq'!$A:$AT,MATCH($T$1,'Data qoq'!$A$1:$AT$1,),))/100+1)^4)-1</f>
        <v/>
      </c>
      <c r="U64" s="32">
        <f>(((VLOOKUP(B64,'Data qoq'!$A:$AT,MATCH($U$1,'Data qoq'!$A$1:$AT$1,),))/100+1)^4)-1</f>
        <v/>
      </c>
      <c r="V64" s="32">
        <f>(((VLOOKUP(B64,'Data qoq'!$A:$AT,MATCH($V$1,'Data qoq'!$A$1:$AT$1,),))/100+1)^4)-1</f>
        <v/>
      </c>
      <c r="W64" s="32">
        <f>(((VLOOKUP(B64,'Data qoq'!$A:$AT,MATCH($W$1,'Data qoq'!$A$1:$AT$1,),))/100+1)^4)-1</f>
        <v/>
      </c>
      <c r="X64" s="32">
        <f>(((VLOOKUP(B64,'Data qoq'!$A:$AT,MATCH($X$1,'Data qoq'!$A$1:$AT$1,),))/100+1)^4)-1</f>
        <v/>
      </c>
      <c r="Y64" s="32">
        <f>(((VLOOKUP(B64,'Data qoq'!$A:$AT,MATCH($Y$1,'Data qoq'!$A$1:$AT$1,),))/100+1)^4)-1</f>
        <v/>
      </c>
      <c r="Z64" s="32">
        <f>(((VLOOKUP(B64,'Data qoq'!$A:$AU,MATCH($Z$1,'Data qoq'!$A$1:$AU$1,),))/100+1)^4)-1</f>
        <v/>
      </c>
      <c r="AA64" s="32">
        <f>(((VLOOKUP(B64,'Data qoq'!$A:$AU,MATCH($AA$1,'Data qoq'!$A$1:$AU$1,),))/100+1)^4)-1</f>
        <v/>
      </c>
      <c r="AC64" s="26">
        <f>B64</f>
        <v/>
      </c>
      <c r="AD64" s="31">
        <f>(VLOOKUP(AC64,B:Y,MATCH($AE$6,$B$1:$Y$1,),))-(VLOOKUP(AC64,B:Y,MATCH($AE$7,$B$1:$Y$1,),))</f>
        <v/>
      </c>
      <c r="AE64" s="27" t="n"/>
    </row>
    <row r="65" hidden="1" s="68">
      <c r="A65" s="30" t="n">
        <v>41518</v>
      </c>
      <c r="B65" s="24" t="inlineStr">
        <is>
          <t>2013-Q3</t>
        </is>
      </c>
      <c r="C65" s="32">
        <f>(((VLOOKUP(B65,'Data qoq'!$A:$AT,MATCH($C$1,'Data qoq'!$A$1:$AT$1,),))/100+1)^4)-1</f>
        <v/>
      </c>
      <c r="D65" s="32">
        <f>(((VLOOKUP(B65,'Data qoq'!$A:$AT,MATCH($D$1,'Data qoq'!$A$1:$AT$1,),))/100+1)^4)-1</f>
        <v/>
      </c>
      <c r="E65" s="32">
        <f>(((VLOOKUP(B65,'Data qoq'!$A:$AT,MATCH($E$1,'Data qoq'!$A$1:$AT$1,),))/100+1)^4)-1</f>
        <v/>
      </c>
      <c r="F65" s="32">
        <f>(((VLOOKUP(B65,'Data qoq'!$A:$AT,MATCH($F$1,'Data qoq'!$A$1:$AT$1,),))/100+1)^4)-1</f>
        <v/>
      </c>
      <c r="G65" s="32">
        <f>(((VLOOKUP(B65,'Data qoq'!$A:$AT,MATCH($G$1,'Data qoq'!$A$1:$AT$1,),))/100+1)^4)-1</f>
        <v/>
      </c>
      <c r="H65" s="32">
        <f>(((VLOOKUP(B65,'Data qoq'!$A:$AT,MATCH($H$1,'Data qoq'!$A$1:$AT$1,),))/100+1)^4)-1</f>
        <v/>
      </c>
      <c r="I65" s="32">
        <f>(((VLOOKUP(B65,'Data qoq'!$A:$AT,MATCH($I$1,'Data qoq'!$A$1:$AT$1,),))/100+1)^4)-1</f>
        <v/>
      </c>
      <c r="J65" s="32">
        <f>(((VLOOKUP(B65,'Data qoq'!$A:$AT,MATCH($J$1,'Data qoq'!$A$1:$AT$1,),))/100+1)^4)-1</f>
        <v/>
      </c>
      <c r="K65" s="32">
        <f>(((VLOOKUP(B65,'Data qoq'!$A:$AT,MATCH($K$1,'Data qoq'!$A$1:$AT$1,),))/100+1)^4)-1</f>
        <v/>
      </c>
      <c r="L65" s="32">
        <f>(((VLOOKUP(B65,'Data qoq'!$A:$AT,MATCH($L$1,'Data qoq'!$A$1:$AT$1,),))/100+1)^4)-1</f>
        <v/>
      </c>
      <c r="M65" s="32">
        <f>(((VLOOKUP(B65,'Data qoq'!$A:$AT,MATCH($M$1,'Data qoq'!$A$1:$AT$1,),))/100+1)^4)-1</f>
        <v/>
      </c>
      <c r="N65" s="32">
        <f>(((VLOOKUP(B65,'Data qoq'!$A:$AT,MATCH($N$1,'Data qoq'!$A$1:$AT$1,),))/100+1)^4)-1</f>
        <v/>
      </c>
      <c r="O65" s="32">
        <f>(((VLOOKUP(B65,'Data qoq'!$A:$AT,MATCH($O$1,'Data qoq'!$A$1:$AT$1,),))/100+1)^4)-1</f>
        <v/>
      </c>
      <c r="P65" s="32">
        <f>(((VLOOKUP(B65,'Data qoq'!$A:$AT,MATCH($P$1,'Data qoq'!$A$1:$AT$1,),))/100+1)^4)-1</f>
        <v/>
      </c>
      <c r="Q65" s="32">
        <f>(((VLOOKUP(B65,'Data qoq'!$A:$AT,MATCH($Q$1,'Data qoq'!$A$1:$AT$1,),))/100+1)^4)-1</f>
        <v/>
      </c>
      <c r="R65" s="32">
        <f>(((VLOOKUP(B65,'Data qoq'!$A:$AT,MATCH($R$1,'Data qoq'!$A$1:$AT$1,),))/100+1)^4)-1</f>
        <v/>
      </c>
      <c r="S65" s="32">
        <f>(((VLOOKUP(B65,'Data qoq'!$A:$AT,MATCH($S$1,'Data qoq'!$A$1:$AT$1,),))/100+1)^4)-1</f>
        <v/>
      </c>
      <c r="T65" s="32">
        <f>(((VLOOKUP(B65,'Data qoq'!$A:$AT,MATCH($T$1,'Data qoq'!$A$1:$AT$1,),))/100+1)^4)-1</f>
        <v/>
      </c>
      <c r="U65" s="32">
        <f>(((VLOOKUP(B65,'Data qoq'!$A:$AT,MATCH($U$1,'Data qoq'!$A$1:$AT$1,),))/100+1)^4)-1</f>
        <v/>
      </c>
      <c r="V65" s="32">
        <f>(((VLOOKUP(B65,'Data qoq'!$A:$AT,MATCH($V$1,'Data qoq'!$A$1:$AT$1,),))/100+1)^4)-1</f>
        <v/>
      </c>
      <c r="W65" s="32">
        <f>(((VLOOKUP(B65,'Data qoq'!$A:$AT,MATCH($W$1,'Data qoq'!$A$1:$AT$1,),))/100+1)^4)-1</f>
        <v/>
      </c>
      <c r="X65" s="32">
        <f>(((VLOOKUP(B65,'Data qoq'!$A:$AT,MATCH($X$1,'Data qoq'!$A$1:$AT$1,),))/100+1)^4)-1</f>
        <v/>
      </c>
      <c r="Y65" s="32">
        <f>(((VLOOKUP(B65,'Data qoq'!$A:$AT,MATCH($Y$1,'Data qoq'!$A$1:$AT$1,),))/100+1)^4)-1</f>
        <v/>
      </c>
      <c r="Z65" s="32">
        <f>(((VLOOKUP(B65,'Data qoq'!$A:$AU,MATCH($Z$1,'Data qoq'!$A$1:$AU$1,),))/100+1)^4)-1</f>
        <v/>
      </c>
      <c r="AA65" s="32">
        <f>(((VLOOKUP(B65,'Data qoq'!$A:$AU,MATCH($AA$1,'Data qoq'!$A$1:$AU$1,),))/100+1)^4)-1</f>
        <v/>
      </c>
      <c r="AC65" s="26">
        <f>B65</f>
        <v/>
      </c>
      <c r="AD65" s="31">
        <f>(VLOOKUP(AC65,B:Y,MATCH($AE$6,$B$1:$Y$1,),))-(VLOOKUP(AC65,B:Y,MATCH($AE$7,$B$1:$Y$1,),))</f>
        <v/>
      </c>
      <c r="AE65" s="27" t="n"/>
    </row>
    <row r="66" hidden="1" s="68">
      <c r="A66" s="30" t="n">
        <v>41609</v>
      </c>
      <c r="B66" s="24" t="inlineStr">
        <is>
          <t>2013-Q4</t>
        </is>
      </c>
      <c r="C66" s="32">
        <f>(((VLOOKUP(B66,'Data qoq'!$A:$AT,MATCH($C$1,'Data qoq'!$A$1:$AT$1,),))/100+1)^4)-1</f>
        <v/>
      </c>
      <c r="D66" s="32">
        <f>(((VLOOKUP(B66,'Data qoq'!$A:$AT,MATCH($D$1,'Data qoq'!$A$1:$AT$1,),))/100+1)^4)-1</f>
        <v/>
      </c>
      <c r="E66" s="32">
        <f>(((VLOOKUP(B66,'Data qoq'!$A:$AT,MATCH($E$1,'Data qoq'!$A$1:$AT$1,),))/100+1)^4)-1</f>
        <v/>
      </c>
      <c r="F66" s="32">
        <f>(((VLOOKUP(B66,'Data qoq'!$A:$AT,MATCH($F$1,'Data qoq'!$A$1:$AT$1,),))/100+1)^4)-1</f>
        <v/>
      </c>
      <c r="G66" s="32">
        <f>(((VLOOKUP(B66,'Data qoq'!$A:$AT,MATCH($G$1,'Data qoq'!$A$1:$AT$1,),))/100+1)^4)-1</f>
        <v/>
      </c>
      <c r="H66" s="32">
        <f>(((VLOOKUP(B66,'Data qoq'!$A:$AT,MATCH($H$1,'Data qoq'!$A$1:$AT$1,),))/100+1)^4)-1</f>
        <v/>
      </c>
      <c r="I66" s="32">
        <f>(((VLOOKUP(B66,'Data qoq'!$A:$AT,MATCH($I$1,'Data qoq'!$A$1:$AT$1,),))/100+1)^4)-1</f>
        <v/>
      </c>
      <c r="J66" s="32">
        <f>(((VLOOKUP(B66,'Data qoq'!$A:$AT,MATCH($J$1,'Data qoq'!$A$1:$AT$1,),))/100+1)^4)-1</f>
        <v/>
      </c>
      <c r="K66" s="32">
        <f>(((VLOOKUP(B66,'Data qoq'!$A:$AT,MATCH($K$1,'Data qoq'!$A$1:$AT$1,),))/100+1)^4)-1</f>
        <v/>
      </c>
      <c r="L66" s="32">
        <f>(((VLOOKUP(B66,'Data qoq'!$A:$AT,MATCH($L$1,'Data qoq'!$A$1:$AT$1,),))/100+1)^4)-1</f>
        <v/>
      </c>
      <c r="M66" s="32">
        <f>(((VLOOKUP(B66,'Data qoq'!$A:$AT,MATCH($M$1,'Data qoq'!$A$1:$AT$1,),))/100+1)^4)-1</f>
        <v/>
      </c>
      <c r="N66" s="32">
        <f>(((VLOOKUP(B66,'Data qoq'!$A:$AT,MATCH($N$1,'Data qoq'!$A$1:$AT$1,),))/100+1)^4)-1</f>
        <v/>
      </c>
      <c r="O66" s="32">
        <f>(((VLOOKUP(B66,'Data qoq'!$A:$AT,MATCH($O$1,'Data qoq'!$A$1:$AT$1,),))/100+1)^4)-1</f>
        <v/>
      </c>
      <c r="P66" s="32">
        <f>(((VLOOKUP(B66,'Data qoq'!$A:$AT,MATCH($P$1,'Data qoq'!$A$1:$AT$1,),))/100+1)^4)-1</f>
        <v/>
      </c>
      <c r="Q66" s="32">
        <f>(((VLOOKUP(B66,'Data qoq'!$A:$AT,MATCH($Q$1,'Data qoq'!$A$1:$AT$1,),))/100+1)^4)-1</f>
        <v/>
      </c>
      <c r="R66" s="32">
        <f>(((VLOOKUP(B66,'Data qoq'!$A:$AT,MATCH($R$1,'Data qoq'!$A$1:$AT$1,),))/100+1)^4)-1</f>
        <v/>
      </c>
      <c r="S66" s="32">
        <f>(((VLOOKUP(B66,'Data qoq'!$A:$AT,MATCH($S$1,'Data qoq'!$A$1:$AT$1,),))/100+1)^4)-1</f>
        <v/>
      </c>
      <c r="T66" s="32">
        <f>(((VLOOKUP(B66,'Data qoq'!$A:$AT,MATCH($T$1,'Data qoq'!$A$1:$AT$1,),))/100+1)^4)-1</f>
        <v/>
      </c>
      <c r="U66" s="32">
        <f>(((VLOOKUP(B66,'Data qoq'!$A:$AT,MATCH($U$1,'Data qoq'!$A$1:$AT$1,),))/100+1)^4)-1</f>
        <v/>
      </c>
      <c r="V66" s="32">
        <f>(((VLOOKUP(B66,'Data qoq'!$A:$AT,MATCH($V$1,'Data qoq'!$A$1:$AT$1,),))/100+1)^4)-1</f>
        <v/>
      </c>
      <c r="W66" s="32">
        <f>(((VLOOKUP(B66,'Data qoq'!$A:$AT,MATCH($W$1,'Data qoq'!$A$1:$AT$1,),))/100+1)^4)-1</f>
        <v/>
      </c>
      <c r="X66" s="32">
        <f>(((VLOOKUP(B66,'Data qoq'!$A:$AT,MATCH($X$1,'Data qoq'!$A$1:$AT$1,),))/100+1)^4)-1</f>
        <v/>
      </c>
      <c r="Y66" s="32">
        <f>(((VLOOKUP(B66,'Data qoq'!$A:$AT,MATCH($Y$1,'Data qoq'!$A$1:$AT$1,),))/100+1)^4)-1</f>
        <v/>
      </c>
      <c r="Z66" s="32">
        <f>(((VLOOKUP(B66,'Data qoq'!$A:$AU,MATCH($Z$1,'Data qoq'!$A$1:$AU$1,),))/100+1)^4)-1</f>
        <v/>
      </c>
      <c r="AA66" s="32">
        <f>(((VLOOKUP(B66,'Data qoq'!$A:$AU,MATCH($AA$1,'Data qoq'!$A$1:$AU$1,),))/100+1)^4)-1</f>
        <v/>
      </c>
      <c r="AC66" s="26">
        <f>B66</f>
        <v/>
      </c>
      <c r="AD66" s="31">
        <f>(VLOOKUP(AC66,B:Y,MATCH($AE$6,$B$1:$Y$1,),))-(VLOOKUP(AC66,B:Y,MATCH($AE$7,$B$1:$Y$1,),))</f>
        <v/>
      </c>
      <c r="AE66" s="27" t="n"/>
    </row>
    <row r="67" hidden="1" s="68">
      <c r="A67" s="30" t="n">
        <v>41699</v>
      </c>
      <c r="B67" s="24" t="inlineStr">
        <is>
          <t>2014-Q1</t>
        </is>
      </c>
      <c r="C67" s="32">
        <f>(((VLOOKUP(B67,'Data qoq'!$A:$AT,MATCH($C$1,'Data qoq'!$A$1:$AT$1,),))/100+1)^4)-1</f>
        <v/>
      </c>
      <c r="D67" s="32">
        <f>(((VLOOKUP(B67,'Data qoq'!$A:$AT,MATCH($D$1,'Data qoq'!$A$1:$AT$1,),))/100+1)^4)-1</f>
        <v/>
      </c>
      <c r="E67" s="32">
        <f>(((VLOOKUP(B67,'Data qoq'!$A:$AT,MATCH($E$1,'Data qoq'!$A$1:$AT$1,),))/100+1)^4)-1</f>
        <v/>
      </c>
      <c r="F67" s="32">
        <f>(((VLOOKUP(B67,'Data qoq'!$A:$AT,MATCH($F$1,'Data qoq'!$A$1:$AT$1,),))/100+1)^4)-1</f>
        <v/>
      </c>
      <c r="G67" s="32">
        <f>(((VLOOKUP(B67,'Data qoq'!$A:$AT,MATCH($G$1,'Data qoq'!$A$1:$AT$1,),))/100+1)^4)-1</f>
        <v/>
      </c>
      <c r="H67" s="32">
        <f>(((VLOOKUP(B67,'Data qoq'!$A:$AT,MATCH($H$1,'Data qoq'!$A$1:$AT$1,),))/100+1)^4)-1</f>
        <v/>
      </c>
      <c r="I67" s="32">
        <f>(((VLOOKUP(B67,'Data qoq'!$A:$AT,MATCH($I$1,'Data qoq'!$A$1:$AT$1,),))/100+1)^4)-1</f>
        <v/>
      </c>
      <c r="J67" s="32">
        <f>(((VLOOKUP(B67,'Data qoq'!$A:$AT,MATCH($J$1,'Data qoq'!$A$1:$AT$1,),))/100+1)^4)-1</f>
        <v/>
      </c>
      <c r="K67" s="32">
        <f>(((VLOOKUP(B67,'Data qoq'!$A:$AT,MATCH($K$1,'Data qoq'!$A$1:$AT$1,),))/100+1)^4)-1</f>
        <v/>
      </c>
      <c r="L67" s="32">
        <f>(((VLOOKUP(B67,'Data qoq'!$A:$AT,MATCH($L$1,'Data qoq'!$A$1:$AT$1,),))/100+1)^4)-1</f>
        <v/>
      </c>
      <c r="M67" s="32">
        <f>(((VLOOKUP(B67,'Data qoq'!$A:$AT,MATCH($M$1,'Data qoq'!$A$1:$AT$1,),))/100+1)^4)-1</f>
        <v/>
      </c>
      <c r="N67" s="32">
        <f>(((VLOOKUP(B67,'Data qoq'!$A:$AT,MATCH($N$1,'Data qoq'!$A$1:$AT$1,),))/100+1)^4)-1</f>
        <v/>
      </c>
      <c r="O67" s="32">
        <f>(((VLOOKUP(B67,'Data qoq'!$A:$AT,MATCH($O$1,'Data qoq'!$A$1:$AT$1,),))/100+1)^4)-1</f>
        <v/>
      </c>
      <c r="P67" s="32">
        <f>(((VLOOKUP(B67,'Data qoq'!$A:$AT,MATCH($P$1,'Data qoq'!$A$1:$AT$1,),))/100+1)^4)-1</f>
        <v/>
      </c>
      <c r="Q67" s="32">
        <f>(((VLOOKUP(B67,'Data qoq'!$A:$AT,MATCH($Q$1,'Data qoq'!$A$1:$AT$1,),))/100+1)^4)-1</f>
        <v/>
      </c>
      <c r="R67" s="32">
        <f>(((VLOOKUP(B67,'Data qoq'!$A:$AT,MATCH($R$1,'Data qoq'!$A$1:$AT$1,),))/100+1)^4)-1</f>
        <v/>
      </c>
      <c r="S67" s="32">
        <f>(((VLOOKUP(B67,'Data qoq'!$A:$AT,MATCH($S$1,'Data qoq'!$A$1:$AT$1,),))/100+1)^4)-1</f>
        <v/>
      </c>
      <c r="T67" s="32">
        <f>(((VLOOKUP(B67,'Data qoq'!$A:$AT,MATCH($T$1,'Data qoq'!$A$1:$AT$1,),))/100+1)^4)-1</f>
        <v/>
      </c>
      <c r="U67" s="32">
        <f>(((VLOOKUP(B67,'Data qoq'!$A:$AT,MATCH($U$1,'Data qoq'!$A$1:$AT$1,),))/100+1)^4)-1</f>
        <v/>
      </c>
      <c r="V67" s="32">
        <f>(((VLOOKUP(B67,'Data qoq'!$A:$AT,MATCH($V$1,'Data qoq'!$A$1:$AT$1,),))/100+1)^4)-1</f>
        <v/>
      </c>
      <c r="W67" s="32">
        <f>(((VLOOKUP(B67,'Data qoq'!$A:$AT,MATCH($W$1,'Data qoq'!$A$1:$AT$1,),))/100+1)^4)-1</f>
        <v/>
      </c>
      <c r="X67" s="32">
        <f>(((VLOOKUP(B67,'Data qoq'!$A:$AT,MATCH($X$1,'Data qoq'!$A$1:$AT$1,),))/100+1)^4)-1</f>
        <v/>
      </c>
      <c r="Y67" s="32">
        <f>(((VLOOKUP(B67,'Data qoq'!$A:$AT,MATCH($Y$1,'Data qoq'!$A$1:$AT$1,),))/100+1)^4)-1</f>
        <v/>
      </c>
      <c r="Z67" s="32">
        <f>(((VLOOKUP(B67,'Data qoq'!$A:$AU,MATCH($Z$1,'Data qoq'!$A$1:$AU$1,),))/100+1)^4)-1</f>
        <v/>
      </c>
      <c r="AA67" s="32">
        <f>(((VLOOKUP(B67,'Data qoq'!$A:$AU,MATCH($AA$1,'Data qoq'!$A$1:$AU$1,),))/100+1)^4)-1</f>
        <v/>
      </c>
      <c r="AC67" s="26">
        <f>B67</f>
        <v/>
      </c>
      <c r="AD67" s="31">
        <f>(VLOOKUP(AC67,B:Y,MATCH($AE$6,$B$1:$Y$1,),))-(VLOOKUP(AC67,B:Y,MATCH($AE$7,$B$1:$Y$1,),))</f>
        <v/>
      </c>
      <c r="AE67" s="27" t="n"/>
    </row>
    <row r="68" hidden="1" s="68">
      <c r="A68" s="30" t="n">
        <v>41791</v>
      </c>
      <c r="B68" s="24" t="inlineStr">
        <is>
          <t>2014-Q2</t>
        </is>
      </c>
      <c r="C68" s="32">
        <f>(((VLOOKUP(B68,'Data qoq'!$A:$AT,MATCH($C$1,'Data qoq'!$A$1:$AT$1,),))/100+1)^4)-1</f>
        <v/>
      </c>
      <c r="D68" s="32">
        <f>(((VLOOKUP(B68,'Data qoq'!$A:$AT,MATCH($D$1,'Data qoq'!$A$1:$AT$1,),))/100+1)^4)-1</f>
        <v/>
      </c>
      <c r="E68" s="32">
        <f>(((VLOOKUP(B68,'Data qoq'!$A:$AT,MATCH($E$1,'Data qoq'!$A$1:$AT$1,),))/100+1)^4)-1</f>
        <v/>
      </c>
      <c r="F68" s="32">
        <f>(((VLOOKUP(B68,'Data qoq'!$A:$AT,MATCH($F$1,'Data qoq'!$A$1:$AT$1,),))/100+1)^4)-1</f>
        <v/>
      </c>
      <c r="G68" s="32">
        <f>(((VLOOKUP(B68,'Data qoq'!$A:$AT,MATCH($G$1,'Data qoq'!$A$1:$AT$1,),))/100+1)^4)-1</f>
        <v/>
      </c>
      <c r="H68" s="32">
        <f>(((VLOOKUP(B68,'Data qoq'!$A:$AT,MATCH($H$1,'Data qoq'!$A$1:$AT$1,),))/100+1)^4)-1</f>
        <v/>
      </c>
      <c r="I68" s="32">
        <f>(((VLOOKUP(B68,'Data qoq'!$A:$AT,MATCH($I$1,'Data qoq'!$A$1:$AT$1,),))/100+1)^4)-1</f>
        <v/>
      </c>
      <c r="J68" s="32">
        <f>(((VLOOKUP(B68,'Data qoq'!$A:$AT,MATCH($J$1,'Data qoq'!$A$1:$AT$1,),))/100+1)^4)-1</f>
        <v/>
      </c>
      <c r="K68" s="32">
        <f>(((VLOOKUP(B68,'Data qoq'!$A:$AT,MATCH($K$1,'Data qoq'!$A$1:$AT$1,),))/100+1)^4)-1</f>
        <v/>
      </c>
      <c r="L68" s="32">
        <f>(((VLOOKUP(B68,'Data qoq'!$A:$AT,MATCH($L$1,'Data qoq'!$A$1:$AT$1,),))/100+1)^4)-1</f>
        <v/>
      </c>
      <c r="M68" s="32">
        <f>(((VLOOKUP(B68,'Data qoq'!$A:$AT,MATCH($M$1,'Data qoq'!$A$1:$AT$1,),))/100+1)^4)-1</f>
        <v/>
      </c>
      <c r="N68" s="32">
        <f>(((VLOOKUP(B68,'Data qoq'!$A:$AT,MATCH($N$1,'Data qoq'!$A$1:$AT$1,),))/100+1)^4)-1</f>
        <v/>
      </c>
      <c r="O68" s="32">
        <f>(((VLOOKUP(B68,'Data qoq'!$A:$AT,MATCH($O$1,'Data qoq'!$A$1:$AT$1,),))/100+1)^4)-1</f>
        <v/>
      </c>
      <c r="P68" s="32">
        <f>(((VLOOKUP(B68,'Data qoq'!$A:$AT,MATCH($P$1,'Data qoq'!$A$1:$AT$1,),))/100+1)^4)-1</f>
        <v/>
      </c>
      <c r="Q68" s="32">
        <f>(((VLOOKUP(B68,'Data qoq'!$A:$AT,MATCH($Q$1,'Data qoq'!$A$1:$AT$1,),))/100+1)^4)-1</f>
        <v/>
      </c>
      <c r="R68" s="32">
        <f>(((VLOOKUP(B68,'Data qoq'!$A:$AT,MATCH($R$1,'Data qoq'!$A$1:$AT$1,),))/100+1)^4)-1</f>
        <v/>
      </c>
      <c r="S68" s="32">
        <f>(((VLOOKUP(B68,'Data qoq'!$A:$AT,MATCH($S$1,'Data qoq'!$A$1:$AT$1,),))/100+1)^4)-1</f>
        <v/>
      </c>
      <c r="T68" s="32">
        <f>(((VLOOKUP(B68,'Data qoq'!$A:$AT,MATCH($T$1,'Data qoq'!$A$1:$AT$1,),))/100+1)^4)-1</f>
        <v/>
      </c>
      <c r="U68" s="32">
        <f>(((VLOOKUP(B68,'Data qoq'!$A:$AT,MATCH($U$1,'Data qoq'!$A$1:$AT$1,),))/100+1)^4)-1</f>
        <v/>
      </c>
      <c r="V68" s="32">
        <f>(((VLOOKUP(B68,'Data qoq'!$A:$AT,MATCH($V$1,'Data qoq'!$A$1:$AT$1,),))/100+1)^4)-1</f>
        <v/>
      </c>
      <c r="W68" s="32">
        <f>(((VLOOKUP(B68,'Data qoq'!$A:$AT,MATCH($W$1,'Data qoq'!$A$1:$AT$1,),))/100+1)^4)-1</f>
        <v/>
      </c>
      <c r="X68" s="32">
        <f>(((VLOOKUP(B68,'Data qoq'!$A:$AT,MATCH($X$1,'Data qoq'!$A$1:$AT$1,),))/100+1)^4)-1</f>
        <v/>
      </c>
      <c r="Y68" s="32">
        <f>(((VLOOKUP(B68,'Data qoq'!$A:$AT,MATCH($Y$1,'Data qoq'!$A$1:$AT$1,),))/100+1)^4)-1</f>
        <v/>
      </c>
      <c r="Z68" s="32">
        <f>(((VLOOKUP(B68,'Data qoq'!$A:$AU,MATCH($Z$1,'Data qoq'!$A$1:$AU$1,),))/100+1)^4)-1</f>
        <v/>
      </c>
      <c r="AA68" s="32">
        <f>(((VLOOKUP(B68,'Data qoq'!$A:$AU,MATCH($AA$1,'Data qoq'!$A$1:$AU$1,),))/100+1)^4)-1</f>
        <v/>
      </c>
      <c r="AC68" s="26">
        <f>B68</f>
        <v/>
      </c>
      <c r="AD68" s="31">
        <f>(VLOOKUP(AC68,B:Y,MATCH($AE$6,$B$1:$Y$1,),))-(VLOOKUP(AC68,B:Y,MATCH($AE$7,$B$1:$Y$1,),))</f>
        <v/>
      </c>
      <c r="AE68" s="27" t="n"/>
    </row>
    <row r="69" hidden="1" s="68">
      <c r="A69" s="30" t="n">
        <v>41883</v>
      </c>
      <c r="B69" s="24" t="inlineStr">
        <is>
          <t>2014-Q3</t>
        </is>
      </c>
      <c r="C69" s="32">
        <f>(((VLOOKUP(B69,'Data qoq'!$A:$AT,MATCH($C$1,'Data qoq'!$A$1:$AT$1,),))/100+1)^4)-1</f>
        <v/>
      </c>
      <c r="D69" s="32">
        <f>(((VLOOKUP(B69,'Data qoq'!$A:$AT,MATCH($D$1,'Data qoq'!$A$1:$AT$1,),))/100+1)^4)-1</f>
        <v/>
      </c>
      <c r="E69" s="32">
        <f>(((VLOOKUP(B69,'Data qoq'!$A:$AT,MATCH($E$1,'Data qoq'!$A$1:$AT$1,),))/100+1)^4)-1</f>
        <v/>
      </c>
      <c r="F69" s="32">
        <f>(((VLOOKUP(B69,'Data qoq'!$A:$AT,MATCH($F$1,'Data qoq'!$A$1:$AT$1,),))/100+1)^4)-1</f>
        <v/>
      </c>
      <c r="G69" s="32">
        <f>(((VLOOKUP(B69,'Data qoq'!$A:$AT,MATCH($G$1,'Data qoq'!$A$1:$AT$1,),))/100+1)^4)-1</f>
        <v/>
      </c>
      <c r="H69" s="32">
        <f>(((VLOOKUP(B69,'Data qoq'!$A:$AT,MATCH($H$1,'Data qoq'!$A$1:$AT$1,),))/100+1)^4)-1</f>
        <v/>
      </c>
      <c r="I69" s="32">
        <f>(((VLOOKUP(B69,'Data qoq'!$A:$AT,MATCH($I$1,'Data qoq'!$A$1:$AT$1,),))/100+1)^4)-1</f>
        <v/>
      </c>
      <c r="J69" s="32">
        <f>(((VLOOKUP(B69,'Data qoq'!$A:$AT,MATCH($J$1,'Data qoq'!$A$1:$AT$1,),))/100+1)^4)-1</f>
        <v/>
      </c>
      <c r="K69" s="32">
        <f>(((VLOOKUP(B69,'Data qoq'!$A:$AT,MATCH($K$1,'Data qoq'!$A$1:$AT$1,),))/100+1)^4)-1</f>
        <v/>
      </c>
      <c r="L69" s="32">
        <f>(((VLOOKUP(B69,'Data qoq'!$A:$AT,MATCH($L$1,'Data qoq'!$A$1:$AT$1,),))/100+1)^4)-1</f>
        <v/>
      </c>
      <c r="M69" s="32">
        <f>(((VLOOKUP(B69,'Data qoq'!$A:$AT,MATCH($M$1,'Data qoq'!$A$1:$AT$1,),))/100+1)^4)-1</f>
        <v/>
      </c>
      <c r="N69" s="32">
        <f>(((VLOOKUP(B69,'Data qoq'!$A:$AT,MATCH($N$1,'Data qoq'!$A$1:$AT$1,),))/100+1)^4)-1</f>
        <v/>
      </c>
      <c r="O69" s="32">
        <f>(((VLOOKUP(B69,'Data qoq'!$A:$AT,MATCH($O$1,'Data qoq'!$A$1:$AT$1,),))/100+1)^4)-1</f>
        <v/>
      </c>
      <c r="P69" s="32">
        <f>(((VLOOKUP(B69,'Data qoq'!$A:$AT,MATCH($P$1,'Data qoq'!$A$1:$AT$1,),))/100+1)^4)-1</f>
        <v/>
      </c>
      <c r="Q69" s="32">
        <f>(((VLOOKUP(B69,'Data qoq'!$A:$AT,MATCH($Q$1,'Data qoq'!$A$1:$AT$1,),))/100+1)^4)-1</f>
        <v/>
      </c>
      <c r="R69" s="32">
        <f>(((VLOOKUP(B69,'Data qoq'!$A:$AT,MATCH($R$1,'Data qoq'!$A$1:$AT$1,),))/100+1)^4)-1</f>
        <v/>
      </c>
      <c r="S69" s="32">
        <f>(((VLOOKUP(B69,'Data qoq'!$A:$AT,MATCH($S$1,'Data qoq'!$A$1:$AT$1,),))/100+1)^4)-1</f>
        <v/>
      </c>
      <c r="T69" s="32">
        <f>(((VLOOKUP(B69,'Data qoq'!$A:$AT,MATCH($T$1,'Data qoq'!$A$1:$AT$1,),))/100+1)^4)-1</f>
        <v/>
      </c>
      <c r="U69" s="32">
        <f>(((VLOOKUP(B69,'Data qoq'!$A:$AT,MATCH($U$1,'Data qoq'!$A$1:$AT$1,),))/100+1)^4)-1</f>
        <v/>
      </c>
      <c r="V69" s="32">
        <f>(((VLOOKUP(B69,'Data qoq'!$A:$AT,MATCH($V$1,'Data qoq'!$A$1:$AT$1,),))/100+1)^4)-1</f>
        <v/>
      </c>
      <c r="W69" s="32">
        <f>(((VLOOKUP(B69,'Data qoq'!$A:$AT,MATCH($W$1,'Data qoq'!$A$1:$AT$1,),))/100+1)^4)-1</f>
        <v/>
      </c>
      <c r="X69" s="32">
        <f>(((VLOOKUP(B69,'Data qoq'!$A:$AT,MATCH($X$1,'Data qoq'!$A$1:$AT$1,),))/100+1)^4)-1</f>
        <v/>
      </c>
      <c r="Y69" s="32">
        <f>(((VLOOKUP(B69,'Data qoq'!$A:$AT,MATCH($Y$1,'Data qoq'!$A$1:$AT$1,),))/100+1)^4)-1</f>
        <v/>
      </c>
      <c r="Z69" s="32">
        <f>(((VLOOKUP(B69,'Data qoq'!$A:$AU,MATCH($Z$1,'Data qoq'!$A$1:$AU$1,),))/100+1)^4)-1</f>
        <v/>
      </c>
      <c r="AA69" s="32">
        <f>(((VLOOKUP(B69,'Data qoq'!$A:$AU,MATCH($AA$1,'Data qoq'!$A$1:$AU$1,),))/100+1)^4)-1</f>
        <v/>
      </c>
      <c r="AC69" s="26">
        <f>B69</f>
        <v/>
      </c>
      <c r="AD69" s="31">
        <f>(VLOOKUP(AC69,B:Y,MATCH($AE$6,$B$1:$Y$1,),))-(VLOOKUP(AC69,B:Y,MATCH($AE$7,$B$1:$Y$1,),))</f>
        <v/>
      </c>
      <c r="AE69" s="27" t="n"/>
    </row>
    <row r="70" hidden="1" s="68">
      <c r="A70" s="30" t="n">
        <v>41974</v>
      </c>
      <c r="B70" s="24" t="inlineStr">
        <is>
          <t>2014-Q4</t>
        </is>
      </c>
      <c r="C70" s="32">
        <f>(((VLOOKUP(B70,'Data qoq'!$A:$AT,MATCH($C$1,'Data qoq'!$A$1:$AT$1,),))/100+1)^4)-1</f>
        <v/>
      </c>
      <c r="D70" s="32">
        <f>(((VLOOKUP(B70,'Data qoq'!$A:$AT,MATCH($D$1,'Data qoq'!$A$1:$AT$1,),))/100+1)^4)-1</f>
        <v/>
      </c>
      <c r="E70" s="32">
        <f>(((VLOOKUP(B70,'Data qoq'!$A:$AT,MATCH($E$1,'Data qoq'!$A$1:$AT$1,),))/100+1)^4)-1</f>
        <v/>
      </c>
      <c r="F70" s="32">
        <f>(((VLOOKUP(B70,'Data qoq'!$A:$AT,MATCH($F$1,'Data qoq'!$A$1:$AT$1,),))/100+1)^4)-1</f>
        <v/>
      </c>
      <c r="G70" s="32">
        <f>(((VLOOKUP(B70,'Data qoq'!$A:$AT,MATCH($G$1,'Data qoq'!$A$1:$AT$1,),))/100+1)^4)-1</f>
        <v/>
      </c>
      <c r="H70" s="32">
        <f>(((VLOOKUP(B70,'Data qoq'!$A:$AT,MATCH($H$1,'Data qoq'!$A$1:$AT$1,),))/100+1)^4)-1</f>
        <v/>
      </c>
      <c r="I70" s="32">
        <f>(((VLOOKUP(B70,'Data qoq'!$A:$AT,MATCH($I$1,'Data qoq'!$A$1:$AT$1,),))/100+1)^4)-1</f>
        <v/>
      </c>
      <c r="J70" s="32">
        <f>(((VLOOKUP(B70,'Data qoq'!$A:$AT,MATCH($J$1,'Data qoq'!$A$1:$AT$1,),))/100+1)^4)-1</f>
        <v/>
      </c>
      <c r="K70" s="32">
        <f>(((VLOOKUP(B70,'Data qoq'!$A:$AT,MATCH($K$1,'Data qoq'!$A$1:$AT$1,),))/100+1)^4)-1</f>
        <v/>
      </c>
      <c r="L70" s="32">
        <f>(((VLOOKUP(B70,'Data qoq'!$A:$AT,MATCH($L$1,'Data qoq'!$A$1:$AT$1,),))/100+1)^4)-1</f>
        <v/>
      </c>
      <c r="M70" s="32">
        <f>(((VLOOKUP(B70,'Data qoq'!$A:$AT,MATCH($M$1,'Data qoq'!$A$1:$AT$1,),))/100+1)^4)-1</f>
        <v/>
      </c>
      <c r="N70" s="32">
        <f>(((VLOOKUP(B70,'Data qoq'!$A:$AT,MATCH($N$1,'Data qoq'!$A$1:$AT$1,),))/100+1)^4)-1</f>
        <v/>
      </c>
      <c r="O70" s="32">
        <f>(((VLOOKUP(B70,'Data qoq'!$A:$AT,MATCH($O$1,'Data qoq'!$A$1:$AT$1,),))/100+1)^4)-1</f>
        <v/>
      </c>
      <c r="P70" s="32">
        <f>(((VLOOKUP(B70,'Data qoq'!$A:$AT,MATCH($P$1,'Data qoq'!$A$1:$AT$1,),))/100+1)^4)-1</f>
        <v/>
      </c>
      <c r="Q70" s="32">
        <f>(((VLOOKUP(B70,'Data qoq'!$A:$AT,MATCH($Q$1,'Data qoq'!$A$1:$AT$1,),))/100+1)^4)-1</f>
        <v/>
      </c>
      <c r="R70" s="32">
        <f>(((VLOOKUP(B70,'Data qoq'!$A:$AT,MATCH($R$1,'Data qoq'!$A$1:$AT$1,),))/100+1)^4)-1</f>
        <v/>
      </c>
      <c r="S70" s="32">
        <f>(((VLOOKUP(B70,'Data qoq'!$A:$AT,MATCH($S$1,'Data qoq'!$A$1:$AT$1,),))/100+1)^4)-1</f>
        <v/>
      </c>
      <c r="T70" s="32">
        <f>(((VLOOKUP(B70,'Data qoq'!$A:$AT,MATCH($T$1,'Data qoq'!$A$1:$AT$1,),))/100+1)^4)-1</f>
        <v/>
      </c>
      <c r="U70" s="32">
        <f>(((VLOOKUP(B70,'Data qoq'!$A:$AT,MATCH($U$1,'Data qoq'!$A$1:$AT$1,),))/100+1)^4)-1</f>
        <v/>
      </c>
      <c r="V70" s="32">
        <f>(((VLOOKUP(B70,'Data qoq'!$A:$AT,MATCH($V$1,'Data qoq'!$A$1:$AT$1,),))/100+1)^4)-1</f>
        <v/>
      </c>
      <c r="W70" s="32">
        <f>(((VLOOKUP(B70,'Data qoq'!$A:$AT,MATCH($W$1,'Data qoq'!$A$1:$AT$1,),))/100+1)^4)-1</f>
        <v/>
      </c>
      <c r="X70" s="32">
        <f>(((VLOOKUP(B70,'Data qoq'!$A:$AT,MATCH($X$1,'Data qoq'!$A$1:$AT$1,),))/100+1)^4)-1</f>
        <v/>
      </c>
      <c r="Y70" s="32">
        <f>(((VLOOKUP(B70,'Data qoq'!$A:$AT,MATCH($Y$1,'Data qoq'!$A$1:$AT$1,),))/100+1)^4)-1</f>
        <v/>
      </c>
      <c r="Z70" s="32">
        <f>(((VLOOKUP(B70,'Data qoq'!$A:$AU,MATCH($Z$1,'Data qoq'!$A$1:$AU$1,),))/100+1)^4)-1</f>
        <v/>
      </c>
      <c r="AA70" s="32">
        <f>(((VLOOKUP(B70,'Data qoq'!$A:$AU,MATCH($AA$1,'Data qoq'!$A$1:$AU$1,),))/100+1)^4)-1</f>
        <v/>
      </c>
      <c r="AC70" s="26">
        <f>B70</f>
        <v/>
      </c>
      <c r="AD70" s="31">
        <f>(VLOOKUP(AC70,B:Y,MATCH($AE$6,$B$1:$Y$1,),))-(VLOOKUP(AC70,B:Y,MATCH($AE$7,$B$1:$Y$1,),))</f>
        <v/>
      </c>
      <c r="AE70" s="27" t="n"/>
    </row>
    <row r="71">
      <c r="A71" s="30" t="n">
        <v>42064</v>
      </c>
      <c r="B71" s="24" t="inlineStr">
        <is>
          <t>2015-Q1</t>
        </is>
      </c>
      <c r="C71" s="32">
        <f>(((VLOOKUP(B71,'Data qoq'!$A:$AT,MATCH($C$1,'Data qoq'!$A$1:$AT$1,),))/100+1)^4)-1</f>
        <v/>
      </c>
      <c r="D71" s="32">
        <f>(((VLOOKUP(B71,'Data qoq'!$A:$AT,MATCH($D$1,'Data qoq'!$A$1:$AT$1,),))/100+1)^4)-1</f>
        <v/>
      </c>
      <c r="E71" s="32">
        <f>(((VLOOKUP(B71,'Data qoq'!$A:$AT,MATCH($E$1,'Data qoq'!$A$1:$AT$1,),))/100+1)^4)-1</f>
        <v/>
      </c>
      <c r="F71" s="32">
        <f>(((VLOOKUP(B71,'Data qoq'!$A:$AT,MATCH($F$1,'Data qoq'!$A$1:$AT$1,),))/100+1)^4)-1</f>
        <v/>
      </c>
      <c r="G71" s="32">
        <f>(((VLOOKUP(B71,'Data qoq'!$A:$AT,MATCH($G$1,'Data qoq'!$A$1:$AT$1,),))/100+1)^4)-1</f>
        <v/>
      </c>
      <c r="H71" s="32">
        <f>(((VLOOKUP(B71,'Data qoq'!$A:$AT,MATCH($H$1,'Data qoq'!$A$1:$AT$1,),))/100+1)^4)-1</f>
        <v/>
      </c>
      <c r="I71" s="32">
        <f>(((VLOOKUP(B71,'Data qoq'!$A:$AT,MATCH($I$1,'Data qoq'!$A$1:$AT$1,),))/100+1)^4)-1</f>
        <v/>
      </c>
      <c r="J71" s="32">
        <f>(((VLOOKUP(B71,'Data qoq'!$A:$AT,MATCH($J$1,'Data qoq'!$A$1:$AT$1,),))/100+1)^4)-1</f>
        <v/>
      </c>
      <c r="K71" s="32">
        <f>(((VLOOKUP(B71,'Data qoq'!$A:$AT,MATCH($K$1,'Data qoq'!$A$1:$AT$1,),))/100+1)^4)-1</f>
        <v/>
      </c>
      <c r="L71" s="32">
        <f>(((VLOOKUP(B71,'Data qoq'!$A:$AT,MATCH($L$1,'Data qoq'!$A$1:$AT$1,),))/100+1)^4)-1</f>
        <v/>
      </c>
      <c r="M71" s="32">
        <f>(((VLOOKUP(B71,'Data qoq'!$A:$AT,MATCH($M$1,'Data qoq'!$A$1:$AT$1,),))/100+1)^4)-1</f>
        <v/>
      </c>
      <c r="N71" s="32">
        <f>(((VLOOKUP(B71,'Data qoq'!$A:$AT,MATCH($N$1,'Data qoq'!$A$1:$AT$1,),))/100+1)^4)-1</f>
        <v/>
      </c>
      <c r="O71" s="32">
        <f>(((VLOOKUP(B71,'Data qoq'!$A:$AT,MATCH($O$1,'Data qoq'!$A$1:$AT$1,),))/100+1)^4)-1</f>
        <v/>
      </c>
      <c r="P71" s="32">
        <f>(((VLOOKUP(B71,'Data qoq'!$A:$AT,MATCH($P$1,'Data qoq'!$A$1:$AT$1,),))/100+1)^4)-1</f>
        <v/>
      </c>
      <c r="Q71" s="32">
        <f>(((VLOOKUP(B71,'Data qoq'!$A:$AT,MATCH($Q$1,'Data qoq'!$A$1:$AT$1,),))/100+1)^4)-1</f>
        <v/>
      </c>
      <c r="R71" s="32">
        <f>(((VLOOKUP(B71,'Data qoq'!$A:$AT,MATCH($R$1,'Data qoq'!$A$1:$AT$1,),))/100+1)^4)-1</f>
        <v/>
      </c>
      <c r="S71" s="32">
        <f>(((VLOOKUP(B71,'Data qoq'!$A:$AT,MATCH($S$1,'Data qoq'!$A$1:$AT$1,),))/100+1)^4)-1</f>
        <v/>
      </c>
      <c r="T71" s="32">
        <f>(((VLOOKUP(B71,'Data qoq'!$A:$AT,MATCH($T$1,'Data qoq'!$A$1:$AT$1,),))/100+1)^4)-1</f>
        <v/>
      </c>
      <c r="U71" s="32">
        <f>(((VLOOKUP(B71,'Data qoq'!$A:$AT,MATCH($U$1,'Data qoq'!$A$1:$AT$1,),))/100+1)^4)-1</f>
        <v/>
      </c>
      <c r="V71" s="32">
        <f>(((VLOOKUP(B71,'Data qoq'!$A:$AT,MATCH($V$1,'Data qoq'!$A$1:$AT$1,),))/100+1)^4)-1</f>
        <v/>
      </c>
      <c r="W71" s="32">
        <f>(((VLOOKUP(B71,'Data qoq'!$A:$AT,MATCH($W$1,'Data qoq'!$A$1:$AT$1,),))/100+1)^4)-1</f>
        <v/>
      </c>
      <c r="X71" s="32">
        <f>(((VLOOKUP(B71,'Data qoq'!$A:$AT,MATCH($X$1,'Data qoq'!$A$1:$AT$1,),))/100+1)^4)-1</f>
        <v/>
      </c>
      <c r="Y71" s="32">
        <f>(((VLOOKUP(B71,'Data qoq'!$A:$AT,MATCH($Y$1,'Data qoq'!$A$1:$AT$1,),))/100+1)^4)-1</f>
        <v/>
      </c>
      <c r="Z71" s="32">
        <f>(((VLOOKUP(B71,'Data qoq'!$A:$AU,MATCH($Z$1,'Data qoq'!$A$1:$AU$1,),))/100+1)^4)-1</f>
        <v/>
      </c>
      <c r="AA71" s="32">
        <f>(((VLOOKUP(B71,'Data qoq'!$A:$AU,MATCH($AA$1,'Data qoq'!$A$1:$AU$1,),))/100+1)^4)-1</f>
        <v/>
      </c>
      <c r="AC71" s="26">
        <f>B71</f>
        <v/>
      </c>
      <c r="AD71" s="31">
        <f>(VLOOKUP(AC71,B:Y,MATCH($AE$6,$B$1:$Y$1,),))-(VLOOKUP(AC71,B:Y,MATCH($AE$7,$B$1:$Y$1,),))</f>
        <v/>
      </c>
      <c r="AE71" s="27" t="n"/>
    </row>
    <row r="72">
      <c r="A72" s="30" t="n">
        <v>42156</v>
      </c>
      <c r="B72" s="24" t="inlineStr">
        <is>
          <t>2015-Q2</t>
        </is>
      </c>
      <c r="C72" s="32">
        <f>(((VLOOKUP(B72,'Data qoq'!$A:$AT,MATCH($C$1,'Data qoq'!$A$1:$AT$1,),))/100+1)^4)-1</f>
        <v/>
      </c>
      <c r="D72" s="32">
        <f>(((VLOOKUP(B72,'Data qoq'!$A:$AT,MATCH($D$1,'Data qoq'!$A$1:$AT$1,),))/100+1)^4)-1</f>
        <v/>
      </c>
      <c r="E72" s="32">
        <f>(((VLOOKUP(B72,'Data qoq'!$A:$AT,MATCH($E$1,'Data qoq'!$A$1:$AT$1,),))/100+1)^4)-1</f>
        <v/>
      </c>
      <c r="F72" s="32">
        <f>(((VLOOKUP(B72,'Data qoq'!$A:$AT,MATCH($F$1,'Data qoq'!$A$1:$AT$1,),))/100+1)^4)-1</f>
        <v/>
      </c>
      <c r="G72" s="32">
        <f>(((VLOOKUP(B72,'Data qoq'!$A:$AT,MATCH($G$1,'Data qoq'!$A$1:$AT$1,),))/100+1)^4)-1</f>
        <v/>
      </c>
      <c r="H72" s="32">
        <f>(((VLOOKUP(B72,'Data qoq'!$A:$AT,MATCH($H$1,'Data qoq'!$A$1:$AT$1,),))/100+1)^4)-1</f>
        <v/>
      </c>
      <c r="I72" s="32">
        <f>(((VLOOKUP(B72,'Data qoq'!$A:$AT,MATCH($I$1,'Data qoq'!$A$1:$AT$1,),))/100+1)^4)-1</f>
        <v/>
      </c>
      <c r="J72" s="32">
        <f>(((VLOOKUP(B72,'Data qoq'!$A:$AT,MATCH($J$1,'Data qoq'!$A$1:$AT$1,),))/100+1)^4)-1</f>
        <v/>
      </c>
      <c r="K72" s="32">
        <f>(((VLOOKUP(B72,'Data qoq'!$A:$AT,MATCH($K$1,'Data qoq'!$A$1:$AT$1,),))/100+1)^4)-1</f>
        <v/>
      </c>
      <c r="L72" s="32">
        <f>(((VLOOKUP(B72,'Data qoq'!$A:$AT,MATCH($L$1,'Data qoq'!$A$1:$AT$1,),))/100+1)^4)-1</f>
        <v/>
      </c>
      <c r="M72" s="32">
        <f>(((VLOOKUP(B72,'Data qoq'!$A:$AT,MATCH($M$1,'Data qoq'!$A$1:$AT$1,),))/100+1)^4)-1</f>
        <v/>
      </c>
      <c r="N72" s="32">
        <f>(((VLOOKUP(B72,'Data qoq'!$A:$AT,MATCH($N$1,'Data qoq'!$A$1:$AT$1,),))/100+1)^4)-1</f>
        <v/>
      </c>
      <c r="O72" s="32">
        <f>(((VLOOKUP(B72,'Data qoq'!$A:$AT,MATCH($O$1,'Data qoq'!$A$1:$AT$1,),))/100+1)^4)-1</f>
        <v/>
      </c>
      <c r="P72" s="32">
        <f>(((VLOOKUP(B72,'Data qoq'!$A:$AT,MATCH($P$1,'Data qoq'!$A$1:$AT$1,),))/100+1)^4)-1</f>
        <v/>
      </c>
      <c r="Q72" s="32">
        <f>(((VLOOKUP(B72,'Data qoq'!$A:$AT,MATCH($Q$1,'Data qoq'!$A$1:$AT$1,),))/100+1)^4)-1</f>
        <v/>
      </c>
      <c r="R72" s="32">
        <f>(((VLOOKUP(B72,'Data qoq'!$A:$AT,MATCH($R$1,'Data qoq'!$A$1:$AT$1,),))/100+1)^4)-1</f>
        <v/>
      </c>
      <c r="S72" s="32">
        <f>(((VLOOKUP(B72,'Data qoq'!$A:$AT,MATCH($S$1,'Data qoq'!$A$1:$AT$1,),))/100+1)^4)-1</f>
        <v/>
      </c>
      <c r="T72" s="32">
        <f>(((VLOOKUP(B72,'Data qoq'!$A:$AT,MATCH($T$1,'Data qoq'!$A$1:$AT$1,),))/100+1)^4)-1</f>
        <v/>
      </c>
      <c r="U72" s="32">
        <f>(((VLOOKUP(B72,'Data qoq'!$A:$AT,MATCH($U$1,'Data qoq'!$A$1:$AT$1,),))/100+1)^4)-1</f>
        <v/>
      </c>
      <c r="V72" s="32">
        <f>(((VLOOKUP(B72,'Data qoq'!$A:$AT,MATCH($V$1,'Data qoq'!$A$1:$AT$1,),))/100+1)^4)-1</f>
        <v/>
      </c>
      <c r="W72" s="32">
        <f>(((VLOOKUP(B72,'Data qoq'!$A:$AT,MATCH($W$1,'Data qoq'!$A$1:$AT$1,),))/100+1)^4)-1</f>
        <v/>
      </c>
      <c r="X72" s="32">
        <f>(((VLOOKUP(B72,'Data qoq'!$A:$AT,MATCH($X$1,'Data qoq'!$A$1:$AT$1,),))/100+1)^4)-1</f>
        <v/>
      </c>
      <c r="Y72" s="32">
        <f>(((VLOOKUP(B72,'Data qoq'!$A:$AT,MATCH($Y$1,'Data qoq'!$A$1:$AT$1,),))/100+1)^4)-1</f>
        <v/>
      </c>
      <c r="Z72" s="32">
        <f>(((VLOOKUP(B72,'Data qoq'!$A:$AU,MATCH($Z$1,'Data qoq'!$A$1:$AU$1,),))/100+1)^4)-1</f>
        <v/>
      </c>
      <c r="AA72" s="32">
        <f>(((VLOOKUP(B72,'Data qoq'!$A:$AU,MATCH($AA$1,'Data qoq'!$A$1:$AU$1,),))/100+1)^4)-1</f>
        <v/>
      </c>
      <c r="AC72" s="26">
        <f>B72</f>
        <v/>
      </c>
      <c r="AD72" s="31">
        <f>(VLOOKUP(AC72,B:Y,MATCH($AE$6,$B$1:$Y$1,),))-(VLOOKUP(AC72,B:Y,MATCH($AE$7,$B$1:$Y$1,),))</f>
        <v/>
      </c>
      <c r="AE72" s="27" t="n"/>
    </row>
    <row r="73">
      <c r="A73" s="30" t="n">
        <v>42248</v>
      </c>
      <c r="B73" s="24" t="inlineStr">
        <is>
          <t>2015-Q3</t>
        </is>
      </c>
      <c r="C73" s="32">
        <f>(((VLOOKUP(B73,'Data qoq'!$A:$AT,MATCH($C$1,'Data qoq'!$A$1:$AT$1,),))/100+1)^4)-1</f>
        <v/>
      </c>
      <c r="D73" s="32">
        <f>(((VLOOKUP(B73,'Data qoq'!$A:$AT,MATCH($D$1,'Data qoq'!$A$1:$AT$1,),))/100+1)^4)-1</f>
        <v/>
      </c>
      <c r="E73" s="32">
        <f>(((VLOOKUP(B73,'Data qoq'!$A:$AT,MATCH($E$1,'Data qoq'!$A$1:$AT$1,),))/100+1)^4)-1</f>
        <v/>
      </c>
      <c r="F73" s="32">
        <f>(((VLOOKUP(B73,'Data qoq'!$A:$AT,MATCH($F$1,'Data qoq'!$A$1:$AT$1,),))/100+1)^4)-1</f>
        <v/>
      </c>
      <c r="G73" s="32">
        <f>(((VLOOKUP(B73,'Data qoq'!$A:$AT,MATCH($G$1,'Data qoq'!$A$1:$AT$1,),))/100+1)^4)-1</f>
        <v/>
      </c>
      <c r="H73" s="32">
        <f>(((VLOOKUP(B73,'Data qoq'!$A:$AT,MATCH($H$1,'Data qoq'!$A$1:$AT$1,),))/100+1)^4)-1</f>
        <v/>
      </c>
      <c r="I73" s="32">
        <f>(((VLOOKUP(B73,'Data qoq'!$A:$AT,MATCH($I$1,'Data qoq'!$A$1:$AT$1,),))/100+1)^4)-1</f>
        <v/>
      </c>
      <c r="J73" s="32">
        <f>(((VLOOKUP(B73,'Data qoq'!$A:$AT,MATCH($J$1,'Data qoq'!$A$1:$AT$1,),))/100+1)^4)-1</f>
        <v/>
      </c>
      <c r="K73" s="32">
        <f>(((VLOOKUP(B73,'Data qoq'!$A:$AT,MATCH($K$1,'Data qoq'!$A$1:$AT$1,),))/100+1)^4)-1</f>
        <v/>
      </c>
      <c r="L73" s="32">
        <f>(((VLOOKUP(B73,'Data qoq'!$A:$AT,MATCH($L$1,'Data qoq'!$A$1:$AT$1,),))/100+1)^4)-1</f>
        <v/>
      </c>
      <c r="M73" s="32">
        <f>(((VLOOKUP(B73,'Data qoq'!$A:$AT,MATCH($M$1,'Data qoq'!$A$1:$AT$1,),))/100+1)^4)-1</f>
        <v/>
      </c>
      <c r="N73" s="32">
        <f>(((VLOOKUP(B73,'Data qoq'!$A:$AT,MATCH($N$1,'Data qoq'!$A$1:$AT$1,),))/100+1)^4)-1</f>
        <v/>
      </c>
      <c r="O73" s="32">
        <f>(((VLOOKUP(B73,'Data qoq'!$A:$AT,MATCH($O$1,'Data qoq'!$A$1:$AT$1,),))/100+1)^4)-1</f>
        <v/>
      </c>
      <c r="P73" s="32">
        <f>(((VLOOKUP(B73,'Data qoq'!$A:$AT,MATCH($P$1,'Data qoq'!$A$1:$AT$1,),))/100+1)^4)-1</f>
        <v/>
      </c>
      <c r="Q73" s="32">
        <f>(((VLOOKUP(B73,'Data qoq'!$A:$AT,MATCH($Q$1,'Data qoq'!$A$1:$AT$1,),))/100+1)^4)-1</f>
        <v/>
      </c>
      <c r="R73" s="32">
        <f>(((VLOOKUP(B73,'Data qoq'!$A:$AT,MATCH($R$1,'Data qoq'!$A$1:$AT$1,),))/100+1)^4)-1</f>
        <v/>
      </c>
      <c r="S73" s="32">
        <f>(((VLOOKUP(B73,'Data qoq'!$A:$AT,MATCH($S$1,'Data qoq'!$A$1:$AT$1,),))/100+1)^4)-1</f>
        <v/>
      </c>
      <c r="T73" s="32">
        <f>(((VLOOKUP(B73,'Data qoq'!$A:$AT,MATCH($T$1,'Data qoq'!$A$1:$AT$1,),))/100+1)^4)-1</f>
        <v/>
      </c>
      <c r="U73" s="32">
        <f>(((VLOOKUP(B73,'Data qoq'!$A:$AT,MATCH($U$1,'Data qoq'!$A$1:$AT$1,),))/100+1)^4)-1</f>
        <v/>
      </c>
      <c r="V73" s="32">
        <f>(((VLOOKUP(B73,'Data qoq'!$A:$AT,MATCH($V$1,'Data qoq'!$A$1:$AT$1,),))/100+1)^4)-1</f>
        <v/>
      </c>
      <c r="W73" s="32">
        <f>(((VLOOKUP(B73,'Data qoq'!$A:$AT,MATCH($W$1,'Data qoq'!$A$1:$AT$1,),))/100+1)^4)-1</f>
        <v/>
      </c>
      <c r="X73" s="32">
        <f>(((VLOOKUP(B73,'Data qoq'!$A:$AT,MATCH($X$1,'Data qoq'!$A$1:$AT$1,),))/100+1)^4)-1</f>
        <v/>
      </c>
      <c r="Y73" s="32">
        <f>(((VLOOKUP(B73,'Data qoq'!$A:$AT,MATCH($Y$1,'Data qoq'!$A$1:$AT$1,),))/100+1)^4)-1</f>
        <v/>
      </c>
      <c r="Z73" s="32">
        <f>(((VLOOKUP(B73,'Data qoq'!$A:$AU,MATCH($Z$1,'Data qoq'!$A$1:$AU$1,),))/100+1)^4)-1</f>
        <v/>
      </c>
      <c r="AA73" s="32">
        <f>(((VLOOKUP(B73,'Data qoq'!$A:$AU,MATCH($AA$1,'Data qoq'!$A$1:$AU$1,),))/100+1)^4)-1</f>
        <v/>
      </c>
      <c r="AC73" s="26">
        <f>B73</f>
        <v/>
      </c>
      <c r="AD73" s="31">
        <f>(VLOOKUP(AC73,B:Y,MATCH($AE$6,$B$1:$Y$1,),))-(VLOOKUP(AC73,B:Y,MATCH($AE$7,$B$1:$Y$1,),))</f>
        <v/>
      </c>
      <c r="AE73" s="27" t="n"/>
    </row>
    <row r="74">
      <c r="A74" s="30" t="n">
        <v>42339</v>
      </c>
      <c r="B74" s="24" t="inlineStr">
        <is>
          <t>2015-Q4</t>
        </is>
      </c>
      <c r="C74" s="32">
        <f>(((VLOOKUP(B74,'Data qoq'!$A:$AT,MATCH($C$1,'Data qoq'!$A$1:$AT$1,),))/100+1)^4)-1</f>
        <v/>
      </c>
      <c r="D74" s="32">
        <f>(((VLOOKUP(B74,'Data qoq'!$A:$AT,MATCH($D$1,'Data qoq'!$A$1:$AT$1,),))/100+1)^4)-1</f>
        <v/>
      </c>
      <c r="E74" s="32">
        <f>(((VLOOKUP(B74,'Data qoq'!$A:$AT,MATCH($E$1,'Data qoq'!$A$1:$AT$1,),))/100+1)^4)-1</f>
        <v/>
      </c>
      <c r="F74" s="32">
        <f>(((VLOOKUP(B74,'Data qoq'!$A:$AT,MATCH($F$1,'Data qoq'!$A$1:$AT$1,),))/100+1)^4)-1</f>
        <v/>
      </c>
      <c r="G74" s="32">
        <f>(((VLOOKUP(B74,'Data qoq'!$A:$AT,MATCH($G$1,'Data qoq'!$A$1:$AT$1,),))/100+1)^4)-1</f>
        <v/>
      </c>
      <c r="H74" s="32">
        <f>(((VLOOKUP(B74,'Data qoq'!$A:$AT,MATCH($H$1,'Data qoq'!$A$1:$AT$1,),))/100+1)^4)-1</f>
        <v/>
      </c>
      <c r="I74" s="32">
        <f>(((VLOOKUP(B74,'Data qoq'!$A:$AT,MATCH($I$1,'Data qoq'!$A$1:$AT$1,),))/100+1)^4)-1</f>
        <v/>
      </c>
      <c r="J74" s="32">
        <f>(((VLOOKUP(B74,'Data qoq'!$A:$AT,MATCH($J$1,'Data qoq'!$A$1:$AT$1,),))/100+1)^4)-1</f>
        <v/>
      </c>
      <c r="K74" s="32">
        <f>(((VLOOKUP(B74,'Data qoq'!$A:$AT,MATCH($K$1,'Data qoq'!$A$1:$AT$1,),))/100+1)^4)-1</f>
        <v/>
      </c>
      <c r="L74" s="32">
        <f>(((VLOOKUP(B74,'Data qoq'!$A:$AT,MATCH($L$1,'Data qoq'!$A$1:$AT$1,),))/100+1)^4)-1</f>
        <v/>
      </c>
      <c r="M74" s="32">
        <f>(((VLOOKUP(B74,'Data qoq'!$A:$AT,MATCH($M$1,'Data qoq'!$A$1:$AT$1,),))/100+1)^4)-1</f>
        <v/>
      </c>
      <c r="N74" s="32">
        <f>(((VLOOKUP(B74,'Data qoq'!$A:$AT,MATCH($N$1,'Data qoq'!$A$1:$AT$1,),))/100+1)^4)-1</f>
        <v/>
      </c>
      <c r="O74" s="32">
        <f>(((VLOOKUP(B74,'Data qoq'!$A:$AT,MATCH($O$1,'Data qoq'!$A$1:$AT$1,),))/100+1)^4)-1</f>
        <v/>
      </c>
      <c r="P74" s="32">
        <f>(((VLOOKUP(B74,'Data qoq'!$A:$AT,MATCH($P$1,'Data qoq'!$A$1:$AT$1,),))/100+1)^4)-1</f>
        <v/>
      </c>
      <c r="Q74" s="32">
        <f>(((VLOOKUP(B74,'Data qoq'!$A:$AT,MATCH($Q$1,'Data qoq'!$A$1:$AT$1,),))/100+1)^4)-1</f>
        <v/>
      </c>
      <c r="R74" s="32">
        <f>(((VLOOKUP(B74,'Data qoq'!$A:$AT,MATCH($R$1,'Data qoq'!$A$1:$AT$1,),))/100+1)^4)-1</f>
        <v/>
      </c>
      <c r="S74" s="32">
        <f>(((VLOOKUP(B74,'Data qoq'!$A:$AT,MATCH($S$1,'Data qoq'!$A$1:$AT$1,),))/100+1)^4)-1</f>
        <v/>
      </c>
      <c r="T74" s="32">
        <f>(((VLOOKUP(B74,'Data qoq'!$A:$AT,MATCH($T$1,'Data qoq'!$A$1:$AT$1,),))/100+1)^4)-1</f>
        <v/>
      </c>
      <c r="U74" s="32">
        <f>(((VLOOKUP(B74,'Data qoq'!$A:$AT,MATCH($U$1,'Data qoq'!$A$1:$AT$1,),))/100+1)^4)-1</f>
        <v/>
      </c>
      <c r="V74" s="32">
        <f>(((VLOOKUP(B74,'Data qoq'!$A:$AT,MATCH($V$1,'Data qoq'!$A$1:$AT$1,),))/100+1)^4)-1</f>
        <v/>
      </c>
      <c r="W74" s="32">
        <f>(((VLOOKUP(B74,'Data qoq'!$A:$AT,MATCH($W$1,'Data qoq'!$A$1:$AT$1,),))/100+1)^4)-1</f>
        <v/>
      </c>
      <c r="X74" s="32">
        <f>(((VLOOKUP(B74,'Data qoq'!$A:$AT,MATCH($X$1,'Data qoq'!$A$1:$AT$1,),))/100+1)^4)-1</f>
        <v/>
      </c>
      <c r="Y74" s="32">
        <f>(((VLOOKUP(B74,'Data qoq'!$A:$AT,MATCH($Y$1,'Data qoq'!$A$1:$AT$1,),))/100+1)^4)-1</f>
        <v/>
      </c>
      <c r="Z74" s="32">
        <f>(((VLOOKUP(B74,'Data qoq'!$A:$AU,MATCH($Z$1,'Data qoq'!$A$1:$AU$1,),))/100+1)^4)-1</f>
        <v/>
      </c>
      <c r="AA74" s="32">
        <f>(((VLOOKUP(B74,'Data qoq'!$A:$AU,MATCH($AA$1,'Data qoq'!$A$1:$AU$1,),))/100+1)^4)-1</f>
        <v/>
      </c>
      <c r="AC74" s="26">
        <f>B74</f>
        <v/>
      </c>
      <c r="AD74" s="31">
        <f>(VLOOKUP(AC74,B:Y,MATCH($AE$6,$B$1:$Y$1,),))-(VLOOKUP(AC74,B:Y,MATCH($AE$7,$B$1:$Y$1,),))</f>
        <v/>
      </c>
      <c r="AE74" s="27" t="n"/>
    </row>
    <row r="75">
      <c r="A75" s="30" t="n">
        <v>42430</v>
      </c>
      <c r="B75" s="24" t="inlineStr">
        <is>
          <t>2016-Q1</t>
        </is>
      </c>
      <c r="C75" s="32">
        <f>(((VLOOKUP(B75,'Data qoq'!$A:$AT,MATCH($C$1,'Data qoq'!$A$1:$AT$1,),))/100+1)^4)-1</f>
        <v/>
      </c>
      <c r="D75" s="32">
        <f>(((VLOOKUP(B75,'Data qoq'!$A:$AT,MATCH($D$1,'Data qoq'!$A$1:$AT$1,),))/100+1)^4)-1</f>
        <v/>
      </c>
      <c r="E75" s="32">
        <f>(((VLOOKUP(B75,'Data qoq'!$A:$AT,MATCH($E$1,'Data qoq'!$A$1:$AT$1,),))/100+1)^4)-1</f>
        <v/>
      </c>
      <c r="F75" s="32">
        <f>(((VLOOKUP(B75,'Data qoq'!$A:$AT,MATCH($F$1,'Data qoq'!$A$1:$AT$1,),))/100+1)^4)-1</f>
        <v/>
      </c>
      <c r="G75" s="32">
        <f>(((VLOOKUP(B75,'Data qoq'!$A:$AT,MATCH($G$1,'Data qoq'!$A$1:$AT$1,),))/100+1)^4)-1</f>
        <v/>
      </c>
      <c r="H75" s="32">
        <f>(((VLOOKUP(B75,'Data qoq'!$A:$AT,MATCH($H$1,'Data qoq'!$A$1:$AT$1,),))/100+1)^4)-1</f>
        <v/>
      </c>
      <c r="I75" s="32">
        <f>(((VLOOKUP(B75,'Data qoq'!$A:$AT,MATCH($I$1,'Data qoq'!$A$1:$AT$1,),))/100+1)^4)-1</f>
        <v/>
      </c>
      <c r="J75" s="32">
        <f>(((VLOOKUP(B75,'Data qoq'!$A:$AT,MATCH($J$1,'Data qoq'!$A$1:$AT$1,),))/100+1)^4)-1</f>
        <v/>
      </c>
      <c r="K75" s="32">
        <f>(((VLOOKUP(B75,'Data qoq'!$A:$AT,MATCH($K$1,'Data qoq'!$A$1:$AT$1,),))/100+1)^4)-1</f>
        <v/>
      </c>
      <c r="L75" s="32">
        <f>(((VLOOKUP(B75,'Data qoq'!$A:$AT,MATCH($L$1,'Data qoq'!$A$1:$AT$1,),))/100+1)^4)-1</f>
        <v/>
      </c>
      <c r="M75" s="32">
        <f>(((VLOOKUP(B75,'Data qoq'!$A:$AT,MATCH($M$1,'Data qoq'!$A$1:$AT$1,),))/100+1)^4)-1</f>
        <v/>
      </c>
      <c r="N75" s="32">
        <f>(((VLOOKUP(B75,'Data qoq'!$A:$AT,MATCH($N$1,'Data qoq'!$A$1:$AT$1,),))/100+1)^4)-1</f>
        <v/>
      </c>
      <c r="O75" s="32">
        <f>(((VLOOKUP(B75,'Data qoq'!$A:$AT,MATCH($O$1,'Data qoq'!$A$1:$AT$1,),))/100+1)^4)-1</f>
        <v/>
      </c>
      <c r="P75" s="32">
        <f>(((VLOOKUP(B75,'Data qoq'!$A:$AT,MATCH($P$1,'Data qoq'!$A$1:$AT$1,),))/100+1)^4)-1</f>
        <v/>
      </c>
      <c r="Q75" s="32">
        <f>(((VLOOKUP(B75,'Data qoq'!$A:$AT,MATCH($Q$1,'Data qoq'!$A$1:$AT$1,),))/100+1)^4)-1</f>
        <v/>
      </c>
      <c r="R75" s="32">
        <f>(((VLOOKUP(B75,'Data qoq'!$A:$AT,MATCH($R$1,'Data qoq'!$A$1:$AT$1,),))/100+1)^4)-1</f>
        <v/>
      </c>
      <c r="S75" s="32">
        <f>(((VLOOKUP(B75,'Data qoq'!$A:$AT,MATCH($S$1,'Data qoq'!$A$1:$AT$1,),))/100+1)^4)-1</f>
        <v/>
      </c>
      <c r="T75" s="32">
        <f>(((VLOOKUP(B75,'Data qoq'!$A:$AT,MATCH($T$1,'Data qoq'!$A$1:$AT$1,),))/100+1)^4)-1</f>
        <v/>
      </c>
      <c r="U75" s="32">
        <f>(((VLOOKUP(B75,'Data qoq'!$A:$AT,MATCH($U$1,'Data qoq'!$A$1:$AT$1,),))/100+1)^4)-1</f>
        <v/>
      </c>
      <c r="V75" s="32">
        <f>(((VLOOKUP(B75,'Data qoq'!$A:$AT,MATCH($V$1,'Data qoq'!$A$1:$AT$1,),))/100+1)^4)-1</f>
        <v/>
      </c>
      <c r="W75" s="32">
        <f>(((VLOOKUP(B75,'Data qoq'!$A:$AT,MATCH($W$1,'Data qoq'!$A$1:$AT$1,),))/100+1)^4)-1</f>
        <v/>
      </c>
      <c r="X75" s="32">
        <f>(((VLOOKUP(B75,'Data qoq'!$A:$AT,MATCH($X$1,'Data qoq'!$A$1:$AT$1,),))/100+1)^4)-1</f>
        <v/>
      </c>
      <c r="Y75" s="32">
        <f>(((VLOOKUP(B75,'Data qoq'!$A:$AT,MATCH($Y$1,'Data qoq'!$A$1:$AT$1,),))/100+1)^4)-1</f>
        <v/>
      </c>
      <c r="Z75" s="32">
        <f>(((VLOOKUP(B75,'Data qoq'!$A:$AU,MATCH($Z$1,'Data qoq'!$A$1:$AU$1,),))/100+1)^4)-1</f>
        <v/>
      </c>
      <c r="AA75" s="32">
        <f>(((VLOOKUP(B75,'Data qoq'!$A:$AU,MATCH($AA$1,'Data qoq'!$A$1:$AU$1,),))/100+1)^4)-1</f>
        <v/>
      </c>
      <c r="AC75" s="26">
        <f>B75</f>
        <v/>
      </c>
      <c r="AD75" s="31">
        <f>(VLOOKUP(AC75,B:Y,MATCH($AE$6,$B$1:$Y$1,),))-(VLOOKUP(AC75,B:Y,MATCH($AE$7,$B$1:$Y$1,),))</f>
        <v/>
      </c>
      <c r="AE75" s="27" t="n"/>
    </row>
    <row r="76">
      <c r="A76" s="30" t="n">
        <v>42522</v>
      </c>
      <c r="B76" s="24" t="inlineStr">
        <is>
          <t>2016-Q2</t>
        </is>
      </c>
      <c r="C76" s="32">
        <f>(((VLOOKUP(B76,'Data qoq'!$A:$AT,MATCH($C$1,'Data qoq'!$A$1:$AT$1,),))/100+1)^4)-1</f>
        <v/>
      </c>
      <c r="D76" s="32">
        <f>(((VLOOKUP(B76,'Data qoq'!$A:$AT,MATCH($D$1,'Data qoq'!$A$1:$AT$1,),))/100+1)^4)-1</f>
        <v/>
      </c>
      <c r="E76" s="32">
        <f>(((VLOOKUP(B76,'Data qoq'!$A:$AT,MATCH($E$1,'Data qoq'!$A$1:$AT$1,),))/100+1)^4)-1</f>
        <v/>
      </c>
      <c r="F76" s="32">
        <f>(((VLOOKUP(B76,'Data qoq'!$A:$AT,MATCH($F$1,'Data qoq'!$A$1:$AT$1,),))/100+1)^4)-1</f>
        <v/>
      </c>
      <c r="G76" s="32">
        <f>(((VLOOKUP(B76,'Data qoq'!$A:$AT,MATCH($G$1,'Data qoq'!$A$1:$AT$1,),))/100+1)^4)-1</f>
        <v/>
      </c>
      <c r="H76" s="32">
        <f>(((VLOOKUP(B76,'Data qoq'!$A:$AT,MATCH($H$1,'Data qoq'!$A$1:$AT$1,),))/100+1)^4)-1</f>
        <v/>
      </c>
      <c r="I76" s="32">
        <f>(((VLOOKUP(B76,'Data qoq'!$A:$AT,MATCH($I$1,'Data qoq'!$A$1:$AT$1,),))/100+1)^4)-1</f>
        <v/>
      </c>
      <c r="J76" s="32">
        <f>(((VLOOKUP(B76,'Data qoq'!$A:$AT,MATCH($J$1,'Data qoq'!$A$1:$AT$1,),))/100+1)^4)-1</f>
        <v/>
      </c>
      <c r="K76" s="32">
        <f>(((VLOOKUP(B76,'Data qoq'!$A:$AT,MATCH($K$1,'Data qoq'!$A$1:$AT$1,),))/100+1)^4)-1</f>
        <v/>
      </c>
      <c r="L76" s="32">
        <f>(((VLOOKUP(B76,'Data qoq'!$A:$AT,MATCH($L$1,'Data qoq'!$A$1:$AT$1,),))/100+1)^4)-1</f>
        <v/>
      </c>
      <c r="M76" s="32">
        <f>(((VLOOKUP(B76,'Data qoq'!$A:$AT,MATCH($M$1,'Data qoq'!$A$1:$AT$1,),))/100+1)^4)-1</f>
        <v/>
      </c>
      <c r="N76" s="32">
        <f>(((VLOOKUP(B76,'Data qoq'!$A:$AT,MATCH($N$1,'Data qoq'!$A$1:$AT$1,),))/100+1)^4)-1</f>
        <v/>
      </c>
      <c r="O76" s="32">
        <f>(((VLOOKUP(B76,'Data qoq'!$A:$AT,MATCH($O$1,'Data qoq'!$A$1:$AT$1,),))/100+1)^4)-1</f>
        <v/>
      </c>
      <c r="P76" s="32">
        <f>(((VLOOKUP(B76,'Data qoq'!$A:$AT,MATCH($P$1,'Data qoq'!$A$1:$AT$1,),))/100+1)^4)-1</f>
        <v/>
      </c>
      <c r="Q76" s="32">
        <f>(((VLOOKUP(B76,'Data qoq'!$A:$AT,MATCH($Q$1,'Data qoq'!$A$1:$AT$1,),))/100+1)^4)-1</f>
        <v/>
      </c>
      <c r="R76" s="32">
        <f>(((VLOOKUP(B76,'Data qoq'!$A:$AT,MATCH($R$1,'Data qoq'!$A$1:$AT$1,),))/100+1)^4)-1</f>
        <v/>
      </c>
      <c r="S76" s="32">
        <f>(((VLOOKUP(B76,'Data qoq'!$A:$AT,MATCH($S$1,'Data qoq'!$A$1:$AT$1,),))/100+1)^4)-1</f>
        <v/>
      </c>
      <c r="T76" s="32">
        <f>(((VLOOKUP(B76,'Data qoq'!$A:$AT,MATCH($T$1,'Data qoq'!$A$1:$AT$1,),))/100+1)^4)-1</f>
        <v/>
      </c>
      <c r="U76" s="32">
        <f>(((VLOOKUP(B76,'Data qoq'!$A:$AT,MATCH($U$1,'Data qoq'!$A$1:$AT$1,),))/100+1)^4)-1</f>
        <v/>
      </c>
      <c r="V76" s="32">
        <f>(((VLOOKUP(B76,'Data qoq'!$A:$AT,MATCH($V$1,'Data qoq'!$A$1:$AT$1,),))/100+1)^4)-1</f>
        <v/>
      </c>
      <c r="W76" s="32">
        <f>(((VLOOKUP(B76,'Data qoq'!$A:$AT,MATCH($W$1,'Data qoq'!$A$1:$AT$1,),))/100+1)^4)-1</f>
        <v/>
      </c>
      <c r="X76" s="32">
        <f>(((VLOOKUP(B76,'Data qoq'!$A:$AT,MATCH($X$1,'Data qoq'!$A$1:$AT$1,),))/100+1)^4)-1</f>
        <v/>
      </c>
      <c r="Y76" s="32">
        <f>(((VLOOKUP(B76,'Data qoq'!$A:$AT,MATCH($Y$1,'Data qoq'!$A$1:$AT$1,),))/100+1)^4)-1</f>
        <v/>
      </c>
      <c r="Z76" s="32">
        <f>(((VLOOKUP(B76,'Data qoq'!$A:$AU,MATCH($Z$1,'Data qoq'!$A$1:$AU$1,),))/100+1)^4)-1</f>
        <v/>
      </c>
      <c r="AA76" s="32">
        <f>(((VLOOKUP(B76,'Data qoq'!$A:$AU,MATCH($AA$1,'Data qoq'!$A$1:$AU$1,),))/100+1)^4)-1</f>
        <v/>
      </c>
      <c r="AC76" s="26">
        <f>B76</f>
        <v/>
      </c>
      <c r="AD76" s="31">
        <f>(VLOOKUP(AC76,B:Y,MATCH($AE$6,$B$1:$Y$1,),))-(VLOOKUP(AC76,B:Y,MATCH($AE$7,$B$1:$Y$1,),))</f>
        <v/>
      </c>
      <c r="AE76" s="27" t="n"/>
    </row>
    <row r="77">
      <c r="A77" s="30" t="n">
        <v>42614</v>
      </c>
      <c r="B77" s="24" t="inlineStr">
        <is>
          <t>2016-Q3</t>
        </is>
      </c>
      <c r="C77" s="32">
        <f>(((VLOOKUP(B77,'Data qoq'!$A:$AT,MATCH($C$1,'Data qoq'!$A$1:$AT$1,),))/100+1)^4)-1</f>
        <v/>
      </c>
      <c r="D77" s="32">
        <f>(((VLOOKUP(B77,'Data qoq'!$A:$AT,MATCH($D$1,'Data qoq'!$A$1:$AT$1,),))/100+1)^4)-1</f>
        <v/>
      </c>
      <c r="E77" s="32">
        <f>(((VLOOKUP(B77,'Data qoq'!$A:$AT,MATCH($E$1,'Data qoq'!$A$1:$AT$1,),))/100+1)^4)-1</f>
        <v/>
      </c>
      <c r="F77" s="32">
        <f>(((VLOOKUP(B77,'Data qoq'!$A:$AT,MATCH($F$1,'Data qoq'!$A$1:$AT$1,),))/100+1)^4)-1</f>
        <v/>
      </c>
      <c r="G77" s="32">
        <f>(((VLOOKUP(B77,'Data qoq'!$A:$AT,MATCH($G$1,'Data qoq'!$A$1:$AT$1,),))/100+1)^4)-1</f>
        <v/>
      </c>
      <c r="H77" s="32">
        <f>(((VLOOKUP(B77,'Data qoq'!$A:$AT,MATCH($H$1,'Data qoq'!$A$1:$AT$1,),))/100+1)^4)-1</f>
        <v/>
      </c>
      <c r="I77" s="32">
        <f>(((VLOOKUP(B77,'Data qoq'!$A:$AT,MATCH($I$1,'Data qoq'!$A$1:$AT$1,),))/100+1)^4)-1</f>
        <v/>
      </c>
      <c r="J77" s="32">
        <f>(((VLOOKUP(B77,'Data qoq'!$A:$AT,MATCH($J$1,'Data qoq'!$A$1:$AT$1,),))/100+1)^4)-1</f>
        <v/>
      </c>
      <c r="K77" s="32">
        <f>(((VLOOKUP(B77,'Data qoq'!$A:$AT,MATCH($K$1,'Data qoq'!$A$1:$AT$1,),))/100+1)^4)-1</f>
        <v/>
      </c>
      <c r="L77" s="32">
        <f>(((VLOOKUP(B77,'Data qoq'!$A:$AT,MATCH($L$1,'Data qoq'!$A$1:$AT$1,),))/100+1)^4)-1</f>
        <v/>
      </c>
      <c r="M77" s="32">
        <f>(((VLOOKUP(B77,'Data qoq'!$A:$AT,MATCH($M$1,'Data qoq'!$A$1:$AT$1,),))/100+1)^4)-1</f>
        <v/>
      </c>
      <c r="N77" s="32">
        <f>(((VLOOKUP(B77,'Data qoq'!$A:$AT,MATCH($N$1,'Data qoq'!$A$1:$AT$1,),))/100+1)^4)-1</f>
        <v/>
      </c>
      <c r="O77" s="32">
        <f>(((VLOOKUP(B77,'Data qoq'!$A:$AT,MATCH($O$1,'Data qoq'!$A$1:$AT$1,),))/100+1)^4)-1</f>
        <v/>
      </c>
      <c r="P77" s="32">
        <f>(((VLOOKUP(B77,'Data qoq'!$A:$AT,MATCH($P$1,'Data qoq'!$A$1:$AT$1,),))/100+1)^4)-1</f>
        <v/>
      </c>
      <c r="Q77" s="32">
        <f>(((VLOOKUP(B77,'Data qoq'!$A:$AT,MATCH($Q$1,'Data qoq'!$A$1:$AT$1,),))/100+1)^4)-1</f>
        <v/>
      </c>
      <c r="R77" s="32">
        <f>(((VLOOKUP(B77,'Data qoq'!$A:$AT,MATCH($R$1,'Data qoq'!$A$1:$AT$1,),))/100+1)^4)-1</f>
        <v/>
      </c>
      <c r="S77" s="32">
        <f>(((VLOOKUP(B77,'Data qoq'!$A:$AT,MATCH($S$1,'Data qoq'!$A$1:$AT$1,),))/100+1)^4)-1</f>
        <v/>
      </c>
      <c r="T77" s="32">
        <f>(((VLOOKUP(B77,'Data qoq'!$A:$AT,MATCH($T$1,'Data qoq'!$A$1:$AT$1,),))/100+1)^4)-1</f>
        <v/>
      </c>
      <c r="U77" s="32">
        <f>(((VLOOKUP(B77,'Data qoq'!$A:$AT,MATCH($U$1,'Data qoq'!$A$1:$AT$1,),))/100+1)^4)-1</f>
        <v/>
      </c>
      <c r="V77" s="32">
        <f>(((VLOOKUP(B77,'Data qoq'!$A:$AT,MATCH($V$1,'Data qoq'!$A$1:$AT$1,),))/100+1)^4)-1</f>
        <v/>
      </c>
      <c r="W77" s="32">
        <f>(((VLOOKUP(B77,'Data qoq'!$A:$AT,MATCH($W$1,'Data qoq'!$A$1:$AT$1,),))/100+1)^4)-1</f>
        <v/>
      </c>
      <c r="X77" s="32">
        <f>(((VLOOKUP(B77,'Data qoq'!$A:$AT,MATCH($X$1,'Data qoq'!$A$1:$AT$1,),))/100+1)^4)-1</f>
        <v/>
      </c>
      <c r="Y77" s="32">
        <f>(((VLOOKUP(B77,'Data qoq'!$A:$AT,MATCH($Y$1,'Data qoq'!$A$1:$AT$1,),))/100+1)^4)-1</f>
        <v/>
      </c>
      <c r="Z77" s="32">
        <f>(((VLOOKUP(B77,'Data qoq'!$A:$AU,MATCH($Z$1,'Data qoq'!$A$1:$AU$1,),))/100+1)^4)-1</f>
        <v/>
      </c>
      <c r="AA77" s="32">
        <f>(((VLOOKUP(B77,'Data qoq'!$A:$AU,MATCH($AA$1,'Data qoq'!$A$1:$AU$1,),))/100+1)^4)-1</f>
        <v/>
      </c>
      <c r="AC77" s="26">
        <f>B77</f>
        <v/>
      </c>
      <c r="AD77" s="31">
        <f>(VLOOKUP(AC77,B:Y,MATCH($AE$6,$B$1:$Y$1,),))-(VLOOKUP(AC77,B:Y,MATCH($AE$7,$B$1:$Y$1,),))</f>
        <v/>
      </c>
      <c r="AE77" s="27" t="n"/>
    </row>
    <row r="78">
      <c r="A78" s="30" t="n">
        <v>42705</v>
      </c>
      <c r="B78" s="24" t="inlineStr">
        <is>
          <t>2016-Q4</t>
        </is>
      </c>
      <c r="C78" s="32">
        <f>(((VLOOKUP(B78,'Data qoq'!$A:$AT,MATCH($C$1,'Data qoq'!$A$1:$AT$1,),))/100+1)^4)-1</f>
        <v/>
      </c>
      <c r="D78" s="32">
        <f>(((VLOOKUP(B78,'Data qoq'!$A:$AT,MATCH($D$1,'Data qoq'!$A$1:$AT$1,),))/100+1)^4)-1</f>
        <v/>
      </c>
      <c r="E78" s="32">
        <f>(((VLOOKUP(B78,'Data qoq'!$A:$AT,MATCH($E$1,'Data qoq'!$A$1:$AT$1,),))/100+1)^4)-1</f>
        <v/>
      </c>
      <c r="F78" s="32">
        <f>(((VLOOKUP(B78,'Data qoq'!$A:$AT,MATCH($F$1,'Data qoq'!$A$1:$AT$1,),))/100+1)^4)-1</f>
        <v/>
      </c>
      <c r="G78" s="32">
        <f>(((VLOOKUP(B78,'Data qoq'!$A:$AT,MATCH($G$1,'Data qoq'!$A$1:$AT$1,),))/100+1)^4)-1</f>
        <v/>
      </c>
      <c r="H78" s="32">
        <f>(((VLOOKUP(B78,'Data qoq'!$A:$AT,MATCH($H$1,'Data qoq'!$A$1:$AT$1,),))/100+1)^4)-1</f>
        <v/>
      </c>
      <c r="I78" s="32">
        <f>(((VLOOKUP(B78,'Data qoq'!$A:$AT,MATCH($I$1,'Data qoq'!$A$1:$AT$1,),))/100+1)^4)-1</f>
        <v/>
      </c>
      <c r="J78" s="32">
        <f>(((VLOOKUP(B78,'Data qoq'!$A:$AT,MATCH($J$1,'Data qoq'!$A$1:$AT$1,),))/100+1)^4)-1</f>
        <v/>
      </c>
      <c r="K78" s="32">
        <f>(((VLOOKUP(B78,'Data qoq'!$A:$AT,MATCH($K$1,'Data qoq'!$A$1:$AT$1,),))/100+1)^4)-1</f>
        <v/>
      </c>
      <c r="L78" s="32">
        <f>(((VLOOKUP(B78,'Data qoq'!$A:$AT,MATCH($L$1,'Data qoq'!$A$1:$AT$1,),))/100+1)^4)-1</f>
        <v/>
      </c>
      <c r="M78" s="32">
        <f>(((VLOOKUP(B78,'Data qoq'!$A:$AT,MATCH($M$1,'Data qoq'!$A$1:$AT$1,),))/100+1)^4)-1</f>
        <v/>
      </c>
      <c r="N78" s="32">
        <f>(((VLOOKUP(B78,'Data qoq'!$A:$AT,MATCH($N$1,'Data qoq'!$A$1:$AT$1,),))/100+1)^4)-1</f>
        <v/>
      </c>
      <c r="O78" s="32">
        <f>(((VLOOKUP(B78,'Data qoq'!$A:$AT,MATCH($O$1,'Data qoq'!$A$1:$AT$1,),))/100+1)^4)-1</f>
        <v/>
      </c>
      <c r="P78" s="32">
        <f>(((VLOOKUP(B78,'Data qoq'!$A:$AT,MATCH($P$1,'Data qoq'!$A$1:$AT$1,),))/100+1)^4)-1</f>
        <v/>
      </c>
      <c r="Q78" s="32">
        <f>(((VLOOKUP(B78,'Data qoq'!$A:$AT,MATCH($Q$1,'Data qoq'!$A$1:$AT$1,),))/100+1)^4)-1</f>
        <v/>
      </c>
      <c r="R78" s="32">
        <f>(((VLOOKUP(B78,'Data qoq'!$A:$AT,MATCH($R$1,'Data qoq'!$A$1:$AT$1,),))/100+1)^4)-1</f>
        <v/>
      </c>
      <c r="S78" s="32">
        <f>(((VLOOKUP(B78,'Data qoq'!$A:$AT,MATCH($S$1,'Data qoq'!$A$1:$AT$1,),))/100+1)^4)-1</f>
        <v/>
      </c>
      <c r="T78" s="32">
        <f>(((VLOOKUP(B78,'Data qoq'!$A:$AT,MATCH($T$1,'Data qoq'!$A$1:$AT$1,),))/100+1)^4)-1</f>
        <v/>
      </c>
      <c r="U78" s="32">
        <f>(((VLOOKUP(B78,'Data qoq'!$A:$AT,MATCH($U$1,'Data qoq'!$A$1:$AT$1,),))/100+1)^4)-1</f>
        <v/>
      </c>
      <c r="V78" s="32">
        <f>(((VLOOKUP(B78,'Data qoq'!$A:$AT,MATCH($V$1,'Data qoq'!$A$1:$AT$1,),))/100+1)^4)-1</f>
        <v/>
      </c>
      <c r="W78" s="32">
        <f>(((VLOOKUP(B78,'Data qoq'!$A:$AT,MATCH($W$1,'Data qoq'!$A$1:$AT$1,),))/100+1)^4)-1</f>
        <v/>
      </c>
      <c r="X78" s="32">
        <f>(((VLOOKUP(B78,'Data qoq'!$A:$AT,MATCH($X$1,'Data qoq'!$A$1:$AT$1,),))/100+1)^4)-1</f>
        <v/>
      </c>
      <c r="Y78" s="32">
        <f>(((VLOOKUP(B78,'Data qoq'!$A:$AT,MATCH($Y$1,'Data qoq'!$A$1:$AT$1,),))/100+1)^4)-1</f>
        <v/>
      </c>
      <c r="Z78" s="32">
        <f>(((VLOOKUP(B78,'Data qoq'!$A:$AU,MATCH($Z$1,'Data qoq'!$A$1:$AU$1,),))/100+1)^4)-1</f>
        <v/>
      </c>
      <c r="AA78" s="32">
        <f>(((VLOOKUP(B78,'Data qoq'!$A:$AU,MATCH($AA$1,'Data qoq'!$A$1:$AU$1,),))/100+1)^4)-1</f>
        <v/>
      </c>
      <c r="AC78" s="26">
        <f>B78</f>
        <v/>
      </c>
      <c r="AD78" s="31">
        <f>(VLOOKUP(AC78,B:Y,MATCH($AE$6,$B$1:$Y$1,),))-(VLOOKUP(AC78,B:Y,MATCH($AE$7,$B$1:$Y$1,),))</f>
        <v/>
      </c>
      <c r="AE78" s="27" t="n"/>
    </row>
    <row r="79">
      <c r="A79" s="30" t="n">
        <v>42795</v>
      </c>
      <c r="B79" s="24" t="inlineStr">
        <is>
          <t>2017-Q1</t>
        </is>
      </c>
      <c r="C79" s="32">
        <f>(((VLOOKUP(B79,'Data qoq'!$A:$AT,MATCH($C$1,'Data qoq'!$A$1:$AT$1,),))/100+1)^4)-1</f>
        <v/>
      </c>
      <c r="D79" s="32">
        <f>(((VLOOKUP(B79,'Data qoq'!$A:$AT,MATCH($D$1,'Data qoq'!$A$1:$AT$1,),))/100+1)^4)-1</f>
        <v/>
      </c>
      <c r="E79" s="32">
        <f>(((VLOOKUP(B79,'Data qoq'!$A:$AT,MATCH($E$1,'Data qoq'!$A$1:$AT$1,),))/100+1)^4)-1</f>
        <v/>
      </c>
      <c r="F79" s="32">
        <f>(((VLOOKUP(B79,'Data qoq'!$A:$AT,MATCH($F$1,'Data qoq'!$A$1:$AT$1,),))/100+1)^4)-1</f>
        <v/>
      </c>
      <c r="G79" s="32">
        <f>(((VLOOKUP(B79,'Data qoq'!$A:$AT,MATCH($G$1,'Data qoq'!$A$1:$AT$1,),))/100+1)^4)-1</f>
        <v/>
      </c>
      <c r="H79" s="32">
        <f>(((VLOOKUP(B79,'Data qoq'!$A:$AT,MATCH($H$1,'Data qoq'!$A$1:$AT$1,),))/100+1)^4)-1</f>
        <v/>
      </c>
      <c r="I79" s="32">
        <f>(((VLOOKUP(B79,'Data qoq'!$A:$AT,MATCH($I$1,'Data qoq'!$A$1:$AT$1,),))/100+1)^4)-1</f>
        <v/>
      </c>
      <c r="J79" s="32">
        <f>(((VLOOKUP(B79,'Data qoq'!$A:$AT,MATCH($J$1,'Data qoq'!$A$1:$AT$1,),))/100+1)^4)-1</f>
        <v/>
      </c>
      <c r="K79" s="32">
        <f>(((VLOOKUP(B79,'Data qoq'!$A:$AT,MATCH($K$1,'Data qoq'!$A$1:$AT$1,),))/100+1)^4)-1</f>
        <v/>
      </c>
      <c r="L79" s="32">
        <f>(((VLOOKUP(B79,'Data qoq'!$A:$AT,MATCH($L$1,'Data qoq'!$A$1:$AT$1,),))/100+1)^4)-1</f>
        <v/>
      </c>
      <c r="M79" s="32">
        <f>(((VLOOKUP(B79,'Data qoq'!$A:$AT,MATCH($M$1,'Data qoq'!$A$1:$AT$1,),))/100+1)^4)-1</f>
        <v/>
      </c>
      <c r="N79" s="32">
        <f>(((VLOOKUP(B79,'Data qoq'!$A:$AT,MATCH($N$1,'Data qoq'!$A$1:$AT$1,),))/100+1)^4)-1</f>
        <v/>
      </c>
      <c r="O79" s="32">
        <f>(((VLOOKUP(B79,'Data qoq'!$A:$AT,MATCH($O$1,'Data qoq'!$A$1:$AT$1,),))/100+1)^4)-1</f>
        <v/>
      </c>
      <c r="P79" s="32">
        <f>(((VLOOKUP(B79,'Data qoq'!$A:$AT,MATCH($P$1,'Data qoq'!$A$1:$AT$1,),))/100+1)^4)-1</f>
        <v/>
      </c>
      <c r="Q79" s="32">
        <f>(((VLOOKUP(B79,'Data qoq'!$A:$AT,MATCH($Q$1,'Data qoq'!$A$1:$AT$1,),))/100+1)^4)-1</f>
        <v/>
      </c>
      <c r="R79" s="32">
        <f>(((VLOOKUP(B79,'Data qoq'!$A:$AT,MATCH($R$1,'Data qoq'!$A$1:$AT$1,),))/100+1)^4)-1</f>
        <v/>
      </c>
      <c r="S79" s="32">
        <f>(((VLOOKUP(B79,'Data qoq'!$A:$AT,MATCH($S$1,'Data qoq'!$A$1:$AT$1,),))/100+1)^4)-1</f>
        <v/>
      </c>
      <c r="T79" s="32">
        <f>(((VLOOKUP(B79,'Data qoq'!$A:$AT,MATCH($T$1,'Data qoq'!$A$1:$AT$1,),))/100+1)^4)-1</f>
        <v/>
      </c>
      <c r="U79" s="32">
        <f>(((VLOOKUP(B79,'Data qoq'!$A:$AT,MATCH($U$1,'Data qoq'!$A$1:$AT$1,),))/100+1)^4)-1</f>
        <v/>
      </c>
      <c r="V79" s="32">
        <f>(((VLOOKUP(B79,'Data qoq'!$A:$AT,MATCH($V$1,'Data qoq'!$A$1:$AT$1,),))/100+1)^4)-1</f>
        <v/>
      </c>
      <c r="W79" s="32">
        <f>(((VLOOKUP(B79,'Data qoq'!$A:$AT,MATCH($W$1,'Data qoq'!$A$1:$AT$1,),))/100+1)^4)-1</f>
        <v/>
      </c>
      <c r="X79" s="32">
        <f>(((VLOOKUP(B79,'Data qoq'!$A:$AT,MATCH($X$1,'Data qoq'!$A$1:$AT$1,),))/100+1)^4)-1</f>
        <v/>
      </c>
      <c r="Y79" s="32">
        <f>(((VLOOKUP(B79,'Data qoq'!$A:$AT,MATCH($Y$1,'Data qoq'!$A$1:$AT$1,),))/100+1)^4)-1</f>
        <v/>
      </c>
      <c r="Z79" s="32">
        <f>(((VLOOKUP(B79,'Data qoq'!$A:$AU,MATCH($Z$1,'Data qoq'!$A$1:$AU$1,),))/100+1)^4)-1</f>
        <v/>
      </c>
      <c r="AA79" s="32">
        <f>(((VLOOKUP(B79,'Data qoq'!$A:$AU,MATCH($AA$1,'Data qoq'!$A$1:$AU$1,),))/100+1)^4)-1</f>
        <v/>
      </c>
      <c r="AC79" s="26">
        <f>B79</f>
        <v/>
      </c>
      <c r="AD79" s="31">
        <f>(VLOOKUP(AC79,B:Y,MATCH($AE$6,$B$1:$Y$1,),))-(VLOOKUP(AC79,B:Y,MATCH($AE$7,$B$1:$Y$1,),))</f>
        <v/>
      </c>
      <c r="AE79" s="27" t="n"/>
    </row>
    <row r="80">
      <c r="A80" s="30" t="n">
        <v>42887</v>
      </c>
      <c r="B80" s="24" t="inlineStr">
        <is>
          <t>2017-Q2</t>
        </is>
      </c>
      <c r="C80" s="32">
        <f>(((VLOOKUP(B80,'Data qoq'!$A:$AT,MATCH($C$1,'Data qoq'!$A$1:$AT$1,),))/100+1)^4)-1</f>
        <v/>
      </c>
      <c r="D80" s="32">
        <f>(((VLOOKUP(B80,'Data qoq'!$A:$AT,MATCH($D$1,'Data qoq'!$A$1:$AT$1,),))/100+1)^4)-1</f>
        <v/>
      </c>
      <c r="E80" s="32">
        <f>(((VLOOKUP(B80,'Data qoq'!$A:$AT,MATCH($E$1,'Data qoq'!$A$1:$AT$1,),))/100+1)^4)-1</f>
        <v/>
      </c>
      <c r="F80" s="32">
        <f>(((VLOOKUP(B80,'Data qoq'!$A:$AT,MATCH($F$1,'Data qoq'!$A$1:$AT$1,),))/100+1)^4)-1</f>
        <v/>
      </c>
      <c r="G80" s="32">
        <f>(((VLOOKUP(B80,'Data qoq'!$A:$AT,MATCH($G$1,'Data qoq'!$A$1:$AT$1,),))/100+1)^4)-1</f>
        <v/>
      </c>
      <c r="H80" s="32">
        <f>(((VLOOKUP(B80,'Data qoq'!$A:$AT,MATCH($H$1,'Data qoq'!$A$1:$AT$1,),))/100+1)^4)-1</f>
        <v/>
      </c>
      <c r="I80" s="32">
        <f>(((VLOOKUP(B80,'Data qoq'!$A:$AT,MATCH($I$1,'Data qoq'!$A$1:$AT$1,),))/100+1)^4)-1</f>
        <v/>
      </c>
      <c r="J80" s="32">
        <f>(((VLOOKUP(B80,'Data qoq'!$A:$AT,MATCH($J$1,'Data qoq'!$A$1:$AT$1,),))/100+1)^4)-1</f>
        <v/>
      </c>
      <c r="K80" s="32">
        <f>(((VLOOKUP(B80,'Data qoq'!$A:$AT,MATCH($K$1,'Data qoq'!$A$1:$AT$1,),))/100+1)^4)-1</f>
        <v/>
      </c>
      <c r="L80" s="32">
        <f>(((VLOOKUP(B80,'Data qoq'!$A:$AT,MATCH($L$1,'Data qoq'!$A$1:$AT$1,),))/100+1)^4)-1</f>
        <v/>
      </c>
      <c r="M80" s="32">
        <f>(((VLOOKUP(B80,'Data qoq'!$A:$AT,MATCH($M$1,'Data qoq'!$A$1:$AT$1,),))/100+1)^4)-1</f>
        <v/>
      </c>
      <c r="N80" s="32">
        <f>(((VLOOKUP(B80,'Data qoq'!$A:$AT,MATCH($N$1,'Data qoq'!$A$1:$AT$1,),))/100+1)^4)-1</f>
        <v/>
      </c>
      <c r="O80" s="32">
        <f>(((VLOOKUP(B80,'Data qoq'!$A:$AT,MATCH($O$1,'Data qoq'!$A$1:$AT$1,),))/100+1)^4)-1</f>
        <v/>
      </c>
      <c r="P80" s="32">
        <f>(((VLOOKUP(B80,'Data qoq'!$A:$AT,MATCH($P$1,'Data qoq'!$A$1:$AT$1,),))/100+1)^4)-1</f>
        <v/>
      </c>
      <c r="Q80" s="32">
        <f>(((VLOOKUP(B80,'Data qoq'!$A:$AT,MATCH($Q$1,'Data qoq'!$A$1:$AT$1,),))/100+1)^4)-1</f>
        <v/>
      </c>
      <c r="R80" s="32">
        <f>(((VLOOKUP(B80,'Data qoq'!$A:$AT,MATCH($R$1,'Data qoq'!$A$1:$AT$1,),))/100+1)^4)-1</f>
        <v/>
      </c>
      <c r="S80" s="32">
        <f>(((VLOOKUP(B80,'Data qoq'!$A:$AT,MATCH($S$1,'Data qoq'!$A$1:$AT$1,),))/100+1)^4)-1</f>
        <v/>
      </c>
      <c r="T80" s="32">
        <f>(((VLOOKUP(B80,'Data qoq'!$A:$AT,MATCH($T$1,'Data qoq'!$A$1:$AT$1,),))/100+1)^4)-1</f>
        <v/>
      </c>
      <c r="U80" s="32">
        <f>(((VLOOKUP(B80,'Data qoq'!$A:$AT,MATCH($U$1,'Data qoq'!$A$1:$AT$1,),))/100+1)^4)-1</f>
        <v/>
      </c>
      <c r="V80" s="32">
        <f>(((VLOOKUP(B80,'Data qoq'!$A:$AT,MATCH($V$1,'Data qoq'!$A$1:$AT$1,),))/100+1)^4)-1</f>
        <v/>
      </c>
      <c r="W80" s="32">
        <f>(((VLOOKUP(B80,'Data qoq'!$A:$AT,MATCH($W$1,'Data qoq'!$A$1:$AT$1,),))/100+1)^4)-1</f>
        <v/>
      </c>
      <c r="X80" s="32">
        <f>(((VLOOKUP(B80,'Data qoq'!$A:$AT,MATCH($X$1,'Data qoq'!$A$1:$AT$1,),))/100+1)^4)-1</f>
        <v/>
      </c>
      <c r="Y80" s="32">
        <f>(((VLOOKUP(B80,'Data qoq'!$A:$AT,MATCH($Y$1,'Data qoq'!$A$1:$AT$1,),))/100+1)^4)-1</f>
        <v/>
      </c>
      <c r="Z80" s="32">
        <f>(((VLOOKUP(B80,'Data qoq'!$A:$AU,MATCH($Z$1,'Data qoq'!$A$1:$AU$1,),))/100+1)^4)-1</f>
        <v/>
      </c>
      <c r="AA80" s="32">
        <f>(((VLOOKUP(B80,'Data qoq'!$A:$AU,MATCH($AA$1,'Data qoq'!$A$1:$AU$1,),))/100+1)^4)-1</f>
        <v/>
      </c>
      <c r="AC80" s="26">
        <f>B80</f>
        <v/>
      </c>
      <c r="AD80" s="31">
        <f>(VLOOKUP(AC80,B:Y,MATCH($AE$6,$B$1:$Y$1,),))-(VLOOKUP(AC80,B:Y,MATCH($AE$7,$B$1:$Y$1,),))</f>
        <v/>
      </c>
      <c r="AE80" s="27" t="n"/>
    </row>
    <row r="81">
      <c r="A81" s="30" t="n">
        <v>42979</v>
      </c>
      <c r="B81" s="24" t="inlineStr">
        <is>
          <t>2017-Q3</t>
        </is>
      </c>
      <c r="C81" s="32">
        <f>(((VLOOKUP(B81,'Data qoq'!$A:$AT,MATCH($C$1,'Data qoq'!$A$1:$AT$1,),))/100+1)^4)-1</f>
        <v/>
      </c>
      <c r="D81" s="32">
        <f>(((VLOOKUP(B81,'Data qoq'!$A:$AT,MATCH($D$1,'Data qoq'!$A$1:$AT$1,),))/100+1)^4)-1</f>
        <v/>
      </c>
      <c r="E81" s="32">
        <f>(((VLOOKUP(B81,'Data qoq'!$A:$AT,MATCH($E$1,'Data qoq'!$A$1:$AT$1,),))/100+1)^4)-1</f>
        <v/>
      </c>
      <c r="F81" s="32">
        <f>(((VLOOKUP(B81,'Data qoq'!$A:$AT,MATCH($F$1,'Data qoq'!$A$1:$AT$1,),))/100+1)^4)-1</f>
        <v/>
      </c>
      <c r="G81" s="32">
        <f>(((VLOOKUP(B81,'Data qoq'!$A:$AT,MATCH($G$1,'Data qoq'!$A$1:$AT$1,),))/100+1)^4)-1</f>
        <v/>
      </c>
      <c r="H81" s="32">
        <f>(((VLOOKUP(B81,'Data qoq'!$A:$AT,MATCH($H$1,'Data qoq'!$A$1:$AT$1,),))/100+1)^4)-1</f>
        <v/>
      </c>
      <c r="I81" s="32">
        <f>(((VLOOKUP(B81,'Data qoq'!$A:$AT,MATCH($I$1,'Data qoq'!$A$1:$AT$1,),))/100+1)^4)-1</f>
        <v/>
      </c>
      <c r="J81" s="32">
        <f>(((VLOOKUP(B81,'Data qoq'!$A:$AT,MATCH($J$1,'Data qoq'!$A$1:$AT$1,),))/100+1)^4)-1</f>
        <v/>
      </c>
      <c r="K81" s="32">
        <f>(((VLOOKUP(B81,'Data qoq'!$A:$AT,MATCH($K$1,'Data qoq'!$A$1:$AT$1,),))/100+1)^4)-1</f>
        <v/>
      </c>
      <c r="L81" s="32">
        <f>(((VLOOKUP(B81,'Data qoq'!$A:$AT,MATCH($L$1,'Data qoq'!$A$1:$AT$1,),))/100+1)^4)-1</f>
        <v/>
      </c>
      <c r="M81" s="32">
        <f>(((VLOOKUP(B81,'Data qoq'!$A:$AT,MATCH($M$1,'Data qoq'!$A$1:$AT$1,),))/100+1)^4)-1</f>
        <v/>
      </c>
      <c r="N81" s="32">
        <f>(((VLOOKUP(B81,'Data qoq'!$A:$AT,MATCH($N$1,'Data qoq'!$A$1:$AT$1,),))/100+1)^4)-1</f>
        <v/>
      </c>
      <c r="O81" s="32">
        <f>(((VLOOKUP(B81,'Data qoq'!$A:$AT,MATCH($O$1,'Data qoq'!$A$1:$AT$1,),))/100+1)^4)-1</f>
        <v/>
      </c>
      <c r="P81" s="32">
        <f>(((VLOOKUP(B81,'Data qoq'!$A:$AT,MATCH($P$1,'Data qoq'!$A$1:$AT$1,),))/100+1)^4)-1</f>
        <v/>
      </c>
      <c r="Q81" s="32">
        <f>(((VLOOKUP(B81,'Data qoq'!$A:$AT,MATCH($Q$1,'Data qoq'!$A$1:$AT$1,),))/100+1)^4)-1</f>
        <v/>
      </c>
      <c r="R81" s="32">
        <f>(((VLOOKUP(B81,'Data qoq'!$A:$AT,MATCH($R$1,'Data qoq'!$A$1:$AT$1,),))/100+1)^4)-1</f>
        <v/>
      </c>
      <c r="S81" s="32">
        <f>(((VLOOKUP(B81,'Data qoq'!$A:$AT,MATCH($S$1,'Data qoq'!$A$1:$AT$1,),))/100+1)^4)-1</f>
        <v/>
      </c>
      <c r="T81" s="32">
        <f>(((VLOOKUP(B81,'Data qoq'!$A:$AT,MATCH($T$1,'Data qoq'!$A$1:$AT$1,),))/100+1)^4)-1</f>
        <v/>
      </c>
      <c r="U81" s="32">
        <f>(((VLOOKUP(B81,'Data qoq'!$A:$AT,MATCH($U$1,'Data qoq'!$A$1:$AT$1,),))/100+1)^4)-1</f>
        <v/>
      </c>
      <c r="V81" s="32">
        <f>(((VLOOKUP(B81,'Data qoq'!$A:$AT,MATCH($V$1,'Data qoq'!$A$1:$AT$1,),))/100+1)^4)-1</f>
        <v/>
      </c>
      <c r="W81" s="32">
        <f>(((VLOOKUP(B81,'Data qoq'!$A:$AT,MATCH($W$1,'Data qoq'!$A$1:$AT$1,),))/100+1)^4)-1</f>
        <v/>
      </c>
      <c r="X81" s="32">
        <f>(((VLOOKUP(B81,'Data qoq'!$A:$AT,MATCH($X$1,'Data qoq'!$A$1:$AT$1,),))/100+1)^4)-1</f>
        <v/>
      </c>
      <c r="Y81" s="32">
        <f>(((VLOOKUP(B81,'Data qoq'!$A:$AT,MATCH($Y$1,'Data qoq'!$A$1:$AT$1,),))/100+1)^4)-1</f>
        <v/>
      </c>
      <c r="Z81" s="32">
        <f>(((VLOOKUP(B81,'Data qoq'!$A:$AU,MATCH($Z$1,'Data qoq'!$A$1:$AU$1,),))/100+1)^4)-1</f>
        <v/>
      </c>
      <c r="AA81" s="32">
        <f>(((VLOOKUP(B81,'Data qoq'!$A:$AU,MATCH($AA$1,'Data qoq'!$A$1:$AU$1,),))/100+1)^4)-1</f>
        <v/>
      </c>
      <c r="AC81" s="26">
        <f>B81</f>
        <v/>
      </c>
      <c r="AD81" s="31">
        <f>(VLOOKUP(AC81,B:Y,MATCH($AE$6,$B$1:$Y$1,),))-(VLOOKUP(AC81,B:Y,MATCH($AE$7,$B$1:$Y$1,),))</f>
        <v/>
      </c>
      <c r="AE81" s="27" t="n"/>
    </row>
    <row r="82">
      <c r="A82" s="30" t="n">
        <v>43070</v>
      </c>
      <c r="B82" s="24" t="inlineStr">
        <is>
          <t>2017-Q4</t>
        </is>
      </c>
      <c r="C82" s="32">
        <f>(((VLOOKUP(B82,'Data qoq'!$A:$AT,MATCH($C$1,'Data qoq'!$A$1:$AT$1,),))/100+1)^4)-1</f>
        <v/>
      </c>
      <c r="D82" s="32">
        <f>(((VLOOKUP(B82,'Data qoq'!$A:$AT,MATCH($D$1,'Data qoq'!$A$1:$AT$1,),))/100+1)^4)-1</f>
        <v/>
      </c>
      <c r="E82" s="32">
        <f>(((VLOOKUP(B82,'Data qoq'!$A:$AT,MATCH($E$1,'Data qoq'!$A$1:$AT$1,),))/100+1)^4)-1</f>
        <v/>
      </c>
      <c r="F82" s="32">
        <f>(((VLOOKUP(B82,'Data qoq'!$A:$AT,MATCH($F$1,'Data qoq'!$A$1:$AT$1,),))/100+1)^4)-1</f>
        <v/>
      </c>
      <c r="G82" s="32">
        <f>(((VLOOKUP(B82,'Data qoq'!$A:$AT,MATCH($G$1,'Data qoq'!$A$1:$AT$1,),))/100+1)^4)-1</f>
        <v/>
      </c>
      <c r="H82" s="32">
        <f>(((VLOOKUP(B82,'Data qoq'!$A:$AT,MATCH($H$1,'Data qoq'!$A$1:$AT$1,),))/100+1)^4)-1</f>
        <v/>
      </c>
      <c r="I82" s="32">
        <f>(((VLOOKUP(B82,'Data qoq'!$A:$AT,MATCH($I$1,'Data qoq'!$A$1:$AT$1,),))/100+1)^4)-1</f>
        <v/>
      </c>
      <c r="J82" s="32">
        <f>(((VLOOKUP(B82,'Data qoq'!$A:$AT,MATCH($J$1,'Data qoq'!$A$1:$AT$1,),))/100+1)^4)-1</f>
        <v/>
      </c>
      <c r="K82" s="32">
        <f>(((VLOOKUP(B82,'Data qoq'!$A:$AT,MATCH($K$1,'Data qoq'!$A$1:$AT$1,),))/100+1)^4)-1</f>
        <v/>
      </c>
      <c r="L82" s="32">
        <f>(((VLOOKUP(B82,'Data qoq'!$A:$AT,MATCH($L$1,'Data qoq'!$A$1:$AT$1,),))/100+1)^4)-1</f>
        <v/>
      </c>
      <c r="M82" s="32">
        <f>(((VLOOKUP(B82,'Data qoq'!$A:$AT,MATCH($M$1,'Data qoq'!$A$1:$AT$1,),))/100+1)^4)-1</f>
        <v/>
      </c>
      <c r="N82" s="32">
        <f>(((VLOOKUP(B82,'Data qoq'!$A:$AT,MATCH($N$1,'Data qoq'!$A$1:$AT$1,),))/100+1)^4)-1</f>
        <v/>
      </c>
      <c r="O82" s="32">
        <f>(((VLOOKUP(B82,'Data qoq'!$A:$AT,MATCH($O$1,'Data qoq'!$A$1:$AT$1,),))/100+1)^4)-1</f>
        <v/>
      </c>
      <c r="P82" s="32">
        <f>(((VLOOKUP(B82,'Data qoq'!$A:$AT,MATCH($P$1,'Data qoq'!$A$1:$AT$1,),))/100+1)^4)-1</f>
        <v/>
      </c>
      <c r="Q82" s="32">
        <f>(((VLOOKUP(B82,'Data qoq'!$A:$AT,MATCH($Q$1,'Data qoq'!$A$1:$AT$1,),))/100+1)^4)-1</f>
        <v/>
      </c>
      <c r="R82" s="32">
        <f>(((VLOOKUP(B82,'Data qoq'!$A:$AT,MATCH($R$1,'Data qoq'!$A$1:$AT$1,),))/100+1)^4)-1</f>
        <v/>
      </c>
      <c r="S82" s="32">
        <f>(((VLOOKUP(B82,'Data qoq'!$A:$AT,MATCH($S$1,'Data qoq'!$A$1:$AT$1,),))/100+1)^4)-1</f>
        <v/>
      </c>
      <c r="T82" s="32">
        <f>(((VLOOKUP(B82,'Data qoq'!$A:$AT,MATCH($T$1,'Data qoq'!$A$1:$AT$1,),))/100+1)^4)-1</f>
        <v/>
      </c>
      <c r="U82" s="32">
        <f>(((VLOOKUP(B82,'Data qoq'!$A:$AT,MATCH($U$1,'Data qoq'!$A$1:$AT$1,),))/100+1)^4)-1</f>
        <v/>
      </c>
      <c r="V82" s="32">
        <f>(((VLOOKUP(B82,'Data qoq'!$A:$AT,MATCH($V$1,'Data qoq'!$A$1:$AT$1,),))/100+1)^4)-1</f>
        <v/>
      </c>
      <c r="W82" s="32">
        <f>(((VLOOKUP(B82,'Data qoq'!$A:$AT,MATCH($W$1,'Data qoq'!$A$1:$AT$1,),))/100+1)^4)-1</f>
        <v/>
      </c>
      <c r="X82" s="32">
        <f>(((VLOOKUP(B82,'Data qoq'!$A:$AT,MATCH($X$1,'Data qoq'!$A$1:$AT$1,),))/100+1)^4)-1</f>
        <v/>
      </c>
      <c r="Y82" s="32">
        <f>(((VLOOKUP(B82,'Data qoq'!$A:$AT,MATCH($Y$1,'Data qoq'!$A$1:$AT$1,),))/100+1)^4)-1</f>
        <v/>
      </c>
      <c r="Z82" s="32">
        <f>(((VLOOKUP(B82,'Data qoq'!$A:$AU,MATCH($Z$1,'Data qoq'!$A$1:$AU$1,),))/100+1)^4)-1</f>
        <v/>
      </c>
      <c r="AA82" s="32">
        <f>(((VLOOKUP(B82,'Data qoq'!$A:$AU,MATCH($AA$1,'Data qoq'!$A$1:$AU$1,),))/100+1)^4)-1</f>
        <v/>
      </c>
      <c r="AC82" s="26">
        <f>B82</f>
        <v/>
      </c>
      <c r="AD82" s="31">
        <f>(VLOOKUP(AC82,B:Y,MATCH($AE$6,$B$1:$Y$1,),))-(VLOOKUP(AC82,B:Y,MATCH($AE$7,$B$1:$Y$1,),))</f>
        <v/>
      </c>
      <c r="AE82" s="27" t="n"/>
    </row>
    <row r="83">
      <c r="A83" s="30" t="n">
        <v>43160</v>
      </c>
      <c r="B83" s="24" t="inlineStr">
        <is>
          <t>2018-Q1</t>
        </is>
      </c>
      <c r="C83" s="32">
        <f>(((VLOOKUP(B83,'Data qoq'!$A:$AT,MATCH($C$1,'Data qoq'!$A$1:$AT$1,),))/100+1)^4)-1</f>
        <v/>
      </c>
      <c r="D83" s="32">
        <f>(((VLOOKUP(B83,'Data qoq'!$A:$AT,MATCH($D$1,'Data qoq'!$A$1:$AT$1,),))/100+1)^4)-1</f>
        <v/>
      </c>
      <c r="E83" s="32">
        <f>(((VLOOKUP(B83,'Data qoq'!$A:$AT,MATCH($E$1,'Data qoq'!$A$1:$AT$1,),))/100+1)^4)-1</f>
        <v/>
      </c>
      <c r="F83" s="32">
        <f>(((VLOOKUP(B83,'Data qoq'!$A:$AT,MATCH($F$1,'Data qoq'!$A$1:$AT$1,),))/100+1)^4)-1</f>
        <v/>
      </c>
      <c r="G83" s="32">
        <f>(((VLOOKUP(B83,'Data qoq'!$A:$AT,MATCH($G$1,'Data qoq'!$A$1:$AT$1,),))/100+1)^4)-1</f>
        <v/>
      </c>
      <c r="H83" s="32">
        <f>(((VLOOKUP(B83,'Data qoq'!$A:$AT,MATCH($H$1,'Data qoq'!$A$1:$AT$1,),))/100+1)^4)-1</f>
        <v/>
      </c>
      <c r="I83" s="32">
        <f>(((VLOOKUP(B83,'Data qoq'!$A:$AT,MATCH($I$1,'Data qoq'!$A$1:$AT$1,),))/100+1)^4)-1</f>
        <v/>
      </c>
      <c r="J83" s="32">
        <f>(((VLOOKUP(B83,'Data qoq'!$A:$AT,MATCH($J$1,'Data qoq'!$A$1:$AT$1,),))/100+1)^4)-1</f>
        <v/>
      </c>
      <c r="K83" s="32">
        <f>(((VLOOKUP(B83,'Data qoq'!$A:$AT,MATCH($K$1,'Data qoq'!$A$1:$AT$1,),))/100+1)^4)-1</f>
        <v/>
      </c>
      <c r="L83" s="32">
        <f>(((VLOOKUP(B83,'Data qoq'!$A:$AT,MATCH($L$1,'Data qoq'!$A$1:$AT$1,),))/100+1)^4)-1</f>
        <v/>
      </c>
      <c r="M83" s="32">
        <f>(((VLOOKUP(B83,'Data qoq'!$A:$AT,MATCH($M$1,'Data qoq'!$A$1:$AT$1,),))/100+1)^4)-1</f>
        <v/>
      </c>
      <c r="N83" s="32">
        <f>(((VLOOKUP(B83,'Data qoq'!$A:$AT,MATCH($N$1,'Data qoq'!$A$1:$AT$1,),))/100+1)^4)-1</f>
        <v/>
      </c>
      <c r="O83" s="32">
        <f>(((VLOOKUP(B83,'Data qoq'!$A:$AT,MATCH($O$1,'Data qoq'!$A$1:$AT$1,),))/100+1)^4)-1</f>
        <v/>
      </c>
      <c r="P83" s="32">
        <f>(((VLOOKUP(B83,'Data qoq'!$A:$AT,MATCH($P$1,'Data qoq'!$A$1:$AT$1,),))/100+1)^4)-1</f>
        <v/>
      </c>
      <c r="Q83" s="32">
        <f>(((VLOOKUP(B83,'Data qoq'!$A:$AT,MATCH($Q$1,'Data qoq'!$A$1:$AT$1,),))/100+1)^4)-1</f>
        <v/>
      </c>
      <c r="R83" s="32">
        <f>(((VLOOKUP(B83,'Data qoq'!$A:$AT,MATCH($R$1,'Data qoq'!$A$1:$AT$1,),))/100+1)^4)-1</f>
        <v/>
      </c>
      <c r="S83" s="32">
        <f>(((VLOOKUP(B83,'Data qoq'!$A:$AT,MATCH($S$1,'Data qoq'!$A$1:$AT$1,),))/100+1)^4)-1</f>
        <v/>
      </c>
      <c r="T83" s="32">
        <f>(((VLOOKUP(B83,'Data qoq'!$A:$AT,MATCH($T$1,'Data qoq'!$A$1:$AT$1,),))/100+1)^4)-1</f>
        <v/>
      </c>
      <c r="U83" s="32">
        <f>(((VLOOKUP(B83,'Data qoq'!$A:$AT,MATCH($U$1,'Data qoq'!$A$1:$AT$1,),))/100+1)^4)-1</f>
        <v/>
      </c>
      <c r="V83" s="32">
        <f>(((VLOOKUP(B83,'Data qoq'!$A:$AT,MATCH($V$1,'Data qoq'!$A$1:$AT$1,),))/100+1)^4)-1</f>
        <v/>
      </c>
      <c r="W83" s="32">
        <f>(((VLOOKUP(B83,'Data qoq'!$A:$AT,MATCH($W$1,'Data qoq'!$A$1:$AT$1,),))/100+1)^4)-1</f>
        <v/>
      </c>
      <c r="X83" s="32">
        <f>(((VLOOKUP(B83,'Data qoq'!$A:$AT,MATCH($X$1,'Data qoq'!$A$1:$AT$1,),))/100+1)^4)-1</f>
        <v/>
      </c>
      <c r="Y83" s="32">
        <f>(((VLOOKUP(B83,'Data qoq'!$A:$AT,MATCH($Y$1,'Data qoq'!$A$1:$AT$1,),))/100+1)^4)-1</f>
        <v/>
      </c>
      <c r="Z83" s="32">
        <f>(((VLOOKUP(B83,'Data qoq'!$A:$AU,MATCH($Z$1,'Data qoq'!$A$1:$AU$1,),))/100+1)^4)-1</f>
        <v/>
      </c>
      <c r="AA83" s="32">
        <f>(((VLOOKUP(B83,'Data qoq'!$A:$AU,MATCH($AA$1,'Data qoq'!$A$1:$AU$1,),))/100+1)^4)-1</f>
        <v/>
      </c>
      <c r="AC83" s="26">
        <f>B83</f>
        <v/>
      </c>
      <c r="AD83" s="31">
        <f>(VLOOKUP(AC83,B:Y,MATCH($AE$6,$B$1:$Y$1,),))-(VLOOKUP(AC83,B:Y,MATCH($AE$7,$B$1:$Y$1,),))</f>
        <v/>
      </c>
      <c r="AE83" s="27" t="n"/>
    </row>
    <row r="84" customFormat="1" s="74">
      <c r="A84" s="30" t="n">
        <v>43252</v>
      </c>
      <c r="B84" s="24" t="inlineStr">
        <is>
          <t>2018-Q2</t>
        </is>
      </c>
      <c r="C84" s="32">
        <f>(((VLOOKUP(B84,'Data qoq'!$A:$AT,MATCH($C$1,'Data qoq'!$A$1:$AT$1,),))/100+1)^4)-1</f>
        <v/>
      </c>
      <c r="D84" s="32">
        <f>(((VLOOKUP(B84,'Data qoq'!$A:$AT,MATCH($D$1,'Data qoq'!$A$1:$AT$1,),))/100+1)^4)-1</f>
        <v/>
      </c>
      <c r="E84" s="32">
        <f>(((VLOOKUP(B84,'Data qoq'!$A:$AT,MATCH($E$1,'Data qoq'!$A$1:$AT$1,),))/100+1)^4)-1</f>
        <v/>
      </c>
      <c r="F84" s="32">
        <f>(((VLOOKUP(B84,'Data qoq'!$A:$AT,MATCH($F$1,'Data qoq'!$A$1:$AT$1,),))/100+1)^4)-1</f>
        <v/>
      </c>
      <c r="G84" s="32">
        <f>(((VLOOKUP(B84,'Data qoq'!$A:$AT,MATCH($G$1,'Data qoq'!$A$1:$AT$1,),))/100+1)^4)-1</f>
        <v/>
      </c>
      <c r="H84" s="32">
        <f>(((VLOOKUP(B84,'Data qoq'!$A:$AT,MATCH($H$1,'Data qoq'!$A$1:$AT$1,),))/100+1)^4)-1</f>
        <v/>
      </c>
      <c r="I84" s="32">
        <f>(((VLOOKUP(B84,'Data qoq'!$A:$AT,MATCH($I$1,'Data qoq'!$A$1:$AT$1,),))/100+1)^4)-1</f>
        <v/>
      </c>
      <c r="J84" s="32">
        <f>(((VLOOKUP(B84,'Data qoq'!$A:$AT,MATCH($J$1,'Data qoq'!$A$1:$AT$1,),))/100+1)^4)-1</f>
        <v/>
      </c>
      <c r="K84" s="32">
        <f>(((VLOOKUP(B84,'Data qoq'!$A:$AT,MATCH($K$1,'Data qoq'!$A$1:$AT$1,),))/100+1)^4)-1</f>
        <v/>
      </c>
      <c r="L84" s="32">
        <f>(((VLOOKUP(B84,'Data qoq'!$A:$AT,MATCH($L$1,'Data qoq'!$A$1:$AT$1,),))/100+1)^4)-1</f>
        <v/>
      </c>
      <c r="M84" s="32">
        <f>(((VLOOKUP(B84,'Data qoq'!$A:$AT,MATCH($M$1,'Data qoq'!$A$1:$AT$1,),))/100+1)^4)-1</f>
        <v/>
      </c>
      <c r="N84" s="32">
        <f>(((VLOOKUP(B84,'Data qoq'!$A:$AT,MATCH($N$1,'Data qoq'!$A$1:$AT$1,),))/100+1)^4)-1</f>
        <v/>
      </c>
      <c r="O84" s="32">
        <f>(((VLOOKUP(B84,'Data qoq'!$A:$AT,MATCH($O$1,'Data qoq'!$A$1:$AT$1,),))/100+1)^4)-1</f>
        <v/>
      </c>
      <c r="P84" s="32">
        <f>(((VLOOKUP(B84,'Data qoq'!$A:$AT,MATCH($P$1,'Data qoq'!$A$1:$AT$1,),))/100+1)^4)-1</f>
        <v/>
      </c>
      <c r="Q84" s="32">
        <f>(((VLOOKUP(B84,'Data qoq'!$A:$AT,MATCH($Q$1,'Data qoq'!$A$1:$AT$1,),))/100+1)^4)-1</f>
        <v/>
      </c>
      <c r="R84" s="32">
        <f>(((VLOOKUP(B84,'Data qoq'!$A:$AT,MATCH($R$1,'Data qoq'!$A$1:$AT$1,),))/100+1)^4)-1</f>
        <v/>
      </c>
      <c r="S84" s="32">
        <f>(((VLOOKUP(B84,'Data qoq'!$A:$AT,MATCH($S$1,'Data qoq'!$A$1:$AT$1,),))/100+1)^4)-1</f>
        <v/>
      </c>
      <c r="T84" s="32">
        <f>(((VLOOKUP(B84,'Data qoq'!$A:$AT,MATCH($T$1,'Data qoq'!$A$1:$AT$1,),))/100+1)^4)-1</f>
        <v/>
      </c>
      <c r="U84" s="32">
        <f>(((VLOOKUP(B84,'Data qoq'!$A:$AT,MATCH($U$1,'Data qoq'!$A$1:$AT$1,),))/100+1)^4)-1</f>
        <v/>
      </c>
      <c r="V84" s="32">
        <f>(((VLOOKUP(B84,'Data qoq'!$A:$AT,MATCH($V$1,'Data qoq'!$A$1:$AT$1,),))/100+1)^4)-1</f>
        <v/>
      </c>
      <c r="W84" s="32">
        <f>(((VLOOKUP(B84,'Data qoq'!$A:$AT,MATCH($W$1,'Data qoq'!$A$1:$AT$1,),))/100+1)^4)-1</f>
        <v/>
      </c>
      <c r="X84" s="32">
        <f>(((VLOOKUP(B84,'Data qoq'!$A:$AT,MATCH($X$1,'Data qoq'!$A$1:$AT$1,),))/100+1)^4)-1</f>
        <v/>
      </c>
      <c r="Y84" s="32">
        <f>(((VLOOKUP(B84,'Data qoq'!$A:$AT,MATCH($Y$1,'Data qoq'!$A$1:$AT$1,),))/100+1)^4)-1</f>
        <v/>
      </c>
      <c r="Z84" s="32">
        <f>(((VLOOKUP(B84,'Data qoq'!$A:$AU,MATCH($Z$1,'Data qoq'!$A$1:$AU$1,),))/100+1)^4)-1</f>
        <v/>
      </c>
      <c r="AA84" s="32">
        <f>(((VLOOKUP(B84,'Data qoq'!$A:$AU,MATCH($AA$1,'Data qoq'!$A$1:$AU$1,),))/100+1)^4)-1</f>
        <v/>
      </c>
      <c r="AC84" s="26">
        <f>B84</f>
        <v/>
      </c>
      <c r="AD84" s="31">
        <f>(VLOOKUP(AC84,B:Y,MATCH($AE$6,$B$1:$Y$1,),))-(VLOOKUP(AC84,B:Y,MATCH($AE$7,$B$1:$Y$1,),))</f>
        <v/>
      </c>
    </row>
    <row r="85" customFormat="1" s="74">
      <c r="A85" s="30" t="n">
        <v>43344</v>
      </c>
      <c r="B85" s="24" t="inlineStr">
        <is>
          <t>2018-Q3</t>
        </is>
      </c>
      <c r="C85" s="32">
        <f>(((VLOOKUP(B85,'Data qoq'!$A:$AT,MATCH($C$1,'Data qoq'!$A$1:$AT$1,),))/100+1)^4)-1</f>
        <v/>
      </c>
      <c r="D85" s="32">
        <f>(((VLOOKUP(B85,'Data qoq'!$A:$AT,MATCH($D$1,'Data qoq'!$A$1:$AT$1,),))/100+1)^4)-1</f>
        <v/>
      </c>
      <c r="E85" s="32">
        <f>(((VLOOKUP(B85,'Data qoq'!$A:$AT,MATCH($E$1,'Data qoq'!$A$1:$AT$1,),))/100+1)^4)-1</f>
        <v/>
      </c>
      <c r="F85" s="32">
        <f>(((VLOOKUP(B85,'Data qoq'!$A:$AT,MATCH($F$1,'Data qoq'!$A$1:$AT$1,),))/100+1)^4)-1</f>
        <v/>
      </c>
      <c r="G85" s="32">
        <f>(((VLOOKUP(B85,'Data qoq'!$A:$AT,MATCH($G$1,'Data qoq'!$A$1:$AT$1,),))/100+1)^4)-1</f>
        <v/>
      </c>
      <c r="H85" s="32">
        <f>(((VLOOKUP(B85,'Data qoq'!$A:$AT,MATCH($H$1,'Data qoq'!$A$1:$AT$1,),))/100+1)^4)-1</f>
        <v/>
      </c>
      <c r="I85" s="32">
        <f>(((VLOOKUP(B85,'Data qoq'!$A:$AT,MATCH($I$1,'Data qoq'!$A$1:$AT$1,),))/100+1)^4)-1</f>
        <v/>
      </c>
      <c r="J85" s="32">
        <f>(((VLOOKUP(B85,'Data qoq'!$A:$AT,MATCH($J$1,'Data qoq'!$A$1:$AT$1,),))/100+1)^4)-1</f>
        <v/>
      </c>
      <c r="K85" s="32">
        <f>(((VLOOKUP(B85,'Data qoq'!$A:$AT,MATCH($K$1,'Data qoq'!$A$1:$AT$1,),))/100+1)^4)-1</f>
        <v/>
      </c>
      <c r="L85" s="32">
        <f>(((VLOOKUP(B85,'Data qoq'!$A:$AT,MATCH($L$1,'Data qoq'!$A$1:$AT$1,),))/100+1)^4)-1</f>
        <v/>
      </c>
      <c r="M85" s="32">
        <f>(((VLOOKUP(B85,'Data qoq'!$A:$AT,MATCH($M$1,'Data qoq'!$A$1:$AT$1,),))/100+1)^4)-1</f>
        <v/>
      </c>
      <c r="N85" s="32">
        <f>(((VLOOKUP(B85,'Data qoq'!$A:$AT,MATCH($N$1,'Data qoq'!$A$1:$AT$1,),))/100+1)^4)-1</f>
        <v/>
      </c>
      <c r="O85" s="32">
        <f>(((VLOOKUP(B85,'Data qoq'!$A:$AT,MATCH($O$1,'Data qoq'!$A$1:$AT$1,),))/100+1)^4)-1</f>
        <v/>
      </c>
      <c r="P85" s="32">
        <f>(((VLOOKUP(B85,'Data qoq'!$A:$AT,MATCH($P$1,'Data qoq'!$A$1:$AT$1,),))/100+1)^4)-1</f>
        <v/>
      </c>
      <c r="Q85" s="32">
        <f>(((VLOOKUP(B85,'Data qoq'!$A:$AT,MATCH($Q$1,'Data qoq'!$A$1:$AT$1,),))/100+1)^4)-1</f>
        <v/>
      </c>
      <c r="R85" s="32">
        <f>(((VLOOKUP(B85,'Data qoq'!$A:$AT,MATCH($R$1,'Data qoq'!$A$1:$AT$1,),))/100+1)^4)-1</f>
        <v/>
      </c>
      <c r="S85" s="32">
        <f>(((VLOOKUP(B85,'Data qoq'!$A:$AT,MATCH($S$1,'Data qoq'!$A$1:$AT$1,),))/100+1)^4)-1</f>
        <v/>
      </c>
      <c r="T85" s="32">
        <f>(((VLOOKUP(B85,'Data qoq'!$A:$AT,MATCH($T$1,'Data qoq'!$A$1:$AT$1,),))/100+1)^4)-1</f>
        <v/>
      </c>
      <c r="U85" s="32">
        <f>(((VLOOKUP(B85,'Data qoq'!$A:$AT,MATCH($U$1,'Data qoq'!$A$1:$AT$1,),))/100+1)^4)-1</f>
        <v/>
      </c>
      <c r="V85" s="32">
        <f>(((VLOOKUP(B85,'Data qoq'!$A:$AT,MATCH($V$1,'Data qoq'!$A$1:$AT$1,),))/100+1)^4)-1</f>
        <v/>
      </c>
      <c r="W85" s="32">
        <f>(((VLOOKUP(B85,'Data qoq'!$A:$AT,MATCH($W$1,'Data qoq'!$A$1:$AT$1,),))/100+1)^4)-1</f>
        <v/>
      </c>
      <c r="X85" s="32">
        <f>(((VLOOKUP(B85,'Data qoq'!$A:$AT,MATCH($X$1,'Data qoq'!$A$1:$AT$1,),))/100+1)^4)-1</f>
        <v/>
      </c>
      <c r="Y85" s="32">
        <f>(((VLOOKUP(B85,'Data qoq'!$A:$AT,MATCH($Y$1,'Data qoq'!$A$1:$AT$1,),))/100+1)^4)-1</f>
        <v/>
      </c>
      <c r="Z85" s="32">
        <f>(((VLOOKUP(B85,'Data qoq'!$A:$AU,MATCH($Z$1,'Data qoq'!$A$1:$AU$1,),))/100+1)^4)-1</f>
        <v/>
      </c>
      <c r="AA85" s="32">
        <f>(((VLOOKUP(B85,'Data qoq'!$A:$AU,MATCH($AA$1,'Data qoq'!$A$1:$AU$1,),))/100+1)^4)-1</f>
        <v/>
      </c>
      <c r="AC85" s="26">
        <f>B85</f>
        <v/>
      </c>
      <c r="AD85" s="31">
        <f>(VLOOKUP(AC85,B:Y,MATCH($AE$6,$B$1:$Y$1,),))-(VLOOKUP(AC85,B:Y,MATCH($AE$7,$B$1:$Y$1,),))</f>
        <v/>
      </c>
    </row>
    <row r="86" customFormat="1" s="74">
      <c r="A86" s="30" t="n">
        <v>43435</v>
      </c>
      <c r="B86" s="24" t="inlineStr">
        <is>
          <t>2018-Q4</t>
        </is>
      </c>
      <c r="C86" s="32">
        <f>(((VLOOKUP(B86,'Data qoq'!$A:$AT,MATCH($C$1,'Data qoq'!$A$1:$AT$1,),))/100+1)^4)-1</f>
        <v/>
      </c>
      <c r="D86" s="32">
        <f>(((VLOOKUP(B86,'Data qoq'!$A:$AT,MATCH($D$1,'Data qoq'!$A$1:$AT$1,),))/100+1)^4)-1</f>
        <v/>
      </c>
      <c r="E86" s="32">
        <f>(((VLOOKUP(B86,'Data qoq'!$A:$AT,MATCH($E$1,'Data qoq'!$A$1:$AT$1,),))/100+1)^4)-1</f>
        <v/>
      </c>
      <c r="F86" s="32">
        <f>(((VLOOKUP(B86,'Data qoq'!$A:$AT,MATCH($F$1,'Data qoq'!$A$1:$AT$1,),))/100+1)^4)-1</f>
        <v/>
      </c>
      <c r="G86" s="32">
        <f>(((VLOOKUP(B86,'Data qoq'!$A:$AT,MATCH($G$1,'Data qoq'!$A$1:$AT$1,),))/100+1)^4)-1</f>
        <v/>
      </c>
      <c r="H86" s="32">
        <f>(((VLOOKUP(B86,'Data qoq'!$A:$AT,MATCH($H$1,'Data qoq'!$A$1:$AT$1,),))/100+1)^4)-1</f>
        <v/>
      </c>
      <c r="I86" s="32">
        <f>(((VLOOKUP(B86,'Data qoq'!$A:$AT,MATCH($I$1,'Data qoq'!$A$1:$AT$1,),))/100+1)^4)-1</f>
        <v/>
      </c>
      <c r="J86" s="32">
        <f>(((VLOOKUP(B86,'Data qoq'!$A:$AT,MATCH($J$1,'Data qoq'!$A$1:$AT$1,),))/100+1)^4)-1</f>
        <v/>
      </c>
      <c r="K86" s="32">
        <f>(((VLOOKUP(B86,'Data qoq'!$A:$AT,MATCH($K$1,'Data qoq'!$A$1:$AT$1,),))/100+1)^4)-1</f>
        <v/>
      </c>
      <c r="L86" s="32">
        <f>(((VLOOKUP(B86,'Data qoq'!$A:$AT,MATCH($L$1,'Data qoq'!$A$1:$AT$1,),))/100+1)^4)-1</f>
        <v/>
      </c>
      <c r="M86" s="32">
        <f>(((VLOOKUP(B86,'Data qoq'!$A:$AT,MATCH($M$1,'Data qoq'!$A$1:$AT$1,),))/100+1)^4)-1</f>
        <v/>
      </c>
      <c r="N86" s="32">
        <f>(((VLOOKUP(B86,'Data qoq'!$A:$AT,MATCH($N$1,'Data qoq'!$A$1:$AT$1,),))/100+1)^4)-1</f>
        <v/>
      </c>
      <c r="O86" s="32">
        <f>(((VLOOKUP(B86,'Data qoq'!$A:$AT,MATCH($O$1,'Data qoq'!$A$1:$AT$1,),))/100+1)^4)-1</f>
        <v/>
      </c>
      <c r="P86" s="32">
        <f>(((VLOOKUP(B86,'Data qoq'!$A:$AT,MATCH($P$1,'Data qoq'!$A$1:$AT$1,),))/100+1)^4)-1</f>
        <v/>
      </c>
      <c r="Q86" s="32">
        <f>(((VLOOKUP(B86,'Data qoq'!$A:$AT,MATCH($Q$1,'Data qoq'!$A$1:$AT$1,),))/100+1)^4)-1</f>
        <v/>
      </c>
      <c r="R86" s="32">
        <f>(((VLOOKUP(B86,'Data qoq'!$A:$AT,MATCH($R$1,'Data qoq'!$A$1:$AT$1,),))/100+1)^4)-1</f>
        <v/>
      </c>
      <c r="S86" s="32">
        <f>(((VLOOKUP(B86,'Data qoq'!$A:$AT,MATCH($S$1,'Data qoq'!$A$1:$AT$1,),))/100+1)^4)-1</f>
        <v/>
      </c>
      <c r="T86" s="32">
        <f>(((VLOOKUP(B86,'Data qoq'!$A:$AT,MATCH($T$1,'Data qoq'!$A$1:$AT$1,),))/100+1)^4)-1</f>
        <v/>
      </c>
      <c r="U86" s="32">
        <f>(((VLOOKUP(B86,'Data qoq'!$A:$AT,MATCH($U$1,'Data qoq'!$A$1:$AT$1,),))/100+1)^4)-1</f>
        <v/>
      </c>
      <c r="V86" s="32">
        <f>(((VLOOKUP(B86,'Data qoq'!$A:$AT,MATCH($V$1,'Data qoq'!$A$1:$AT$1,),))/100+1)^4)-1</f>
        <v/>
      </c>
      <c r="W86" s="32">
        <f>(((VLOOKUP(B86,'Data qoq'!$A:$AT,MATCH($W$1,'Data qoq'!$A$1:$AT$1,),))/100+1)^4)-1</f>
        <v/>
      </c>
      <c r="X86" s="32">
        <f>(((VLOOKUP(B86,'Data qoq'!$A:$AT,MATCH($X$1,'Data qoq'!$A$1:$AT$1,),))/100+1)^4)-1</f>
        <v/>
      </c>
      <c r="Y86" s="32">
        <f>(((VLOOKUP(B86,'Data qoq'!$A:$AT,MATCH($Y$1,'Data qoq'!$A$1:$AT$1,),))/100+1)^4)-1</f>
        <v/>
      </c>
      <c r="Z86" s="32">
        <f>(((VLOOKUP(B86,'Data qoq'!$A:$AU,MATCH($Z$1,'Data qoq'!$A$1:$AU$1,),))/100+1)^4)-1</f>
        <v/>
      </c>
      <c r="AA86" s="32">
        <f>(((VLOOKUP(B86,'Data qoq'!$A:$AU,MATCH($AA$1,'Data qoq'!$A$1:$AU$1,),))/100+1)^4)-1</f>
        <v/>
      </c>
      <c r="AC86" s="26">
        <f>B86</f>
        <v/>
      </c>
      <c r="AD86" s="31">
        <f>(VLOOKUP(AC86,B:Y,MATCH($AE$6,$B$1:$Y$1,),))-(VLOOKUP(AC86,B:Y,MATCH($AE$7,$B$1:$Y$1,),))</f>
        <v/>
      </c>
    </row>
    <row r="87" customFormat="1" s="74">
      <c r="A87" s="30" t="n">
        <v>43525</v>
      </c>
      <c r="B87" s="24" t="inlineStr">
        <is>
          <t>2019-Q1</t>
        </is>
      </c>
      <c r="C87" s="32">
        <f>(((VLOOKUP(B87,'Data qoq'!$A:$AT,MATCH($C$1,'Data qoq'!$A$1:$AT$1,),))/100+1)^4)-1</f>
        <v/>
      </c>
      <c r="D87" s="32">
        <f>(((VLOOKUP(B87,'Data qoq'!$A:$AT,MATCH($D$1,'Data qoq'!$A$1:$AT$1,),))/100+1)^4)-1</f>
        <v/>
      </c>
      <c r="E87" s="32">
        <f>(((VLOOKUP(B87,'Data qoq'!$A:$AT,MATCH($E$1,'Data qoq'!$A$1:$AT$1,),))/100+1)^4)-1</f>
        <v/>
      </c>
      <c r="F87" s="32">
        <f>(((VLOOKUP(B87,'Data qoq'!$A:$AT,MATCH($F$1,'Data qoq'!$A$1:$AT$1,),))/100+1)^4)-1</f>
        <v/>
      </c>
      <c r="G87" s="32">
        <f>(((VLOOKUP(B87,'Data qoq'!$A:$AT,MATCH($G$1,'Data qoq'!$A$1:$AT$1,),))/100+1)^4)-1</f>
        <v/>
      </c>
      <c r="H87" s="32">
        <f>(((VLOOKUP(B87,'Data qoq'!$A:$AT,MATCH($H$1,'Data qoq'!$A$1:$AT$1,),))/100+1)^4)-1</f>
        <v/>
      </c>
      <c r="I87" s="32">
        <f>(((VLOOKUP(B87,'Data qoq'!$A:$AT,MATCH($I$1,'Data qoq'!$A$1:$AT$1,),))/100+1)^4)-1</f>
        <v/>
      </c>
      <c r="J87" s="32">
        <f>(((VLOOKUP(B87,'Data qoq'!$A:$AT,MATCH($J$1,'Data qoq'!$A$1:$AT$1,),))/100+1)^4)-1</f>
        <v/>
      </c>
      <c r="K87" s="32">
        <f>(((VLOOKUP(B87,'Data qoq'!$A:$AT,MATCH($K$1,'Data qoq'!$A$1:$AT$1,),))/100+1)^4)-1</f>
        <v/>
      </c>
      <c r="L87" s="32">
        <f>(((VLOOKUP(B87,'Data qoq'!$A:$AT,MATCH($L$1,'Data qoq'!$A$1:$AT$1,),))/100+1)^4)-1</f>
        <v/>
      </c>
      <c r="M87" s="32">
        <f>(((VLOOKUP(B87,'Data qoq'!$A:$AT,MATCH($M$1,'Data qoq'!$A$1:$AT$1,),))/100+1)^4)-1</f>
        <v/>
      </c>
      <c r="N87" s="32">
        <f>(((VLOOKUP(B87,'Data qoq'!$A:$AT,MATCH($N$1,'Data qoq'!$A$1:$AT$1,),))/100+1)^4)-1</f>
        <v/>
      </c>
      <c r="O87" s="32">
        <f>(((VLOOKUP(B87,'Data qoq'!$A:$AT,MATCH($O$1,'Data qoq'!$A$1:$AT$1,),))/100+1)^4)-1</f>
        <v/>
      </c>
      <c r="P87" s="32">
        <f>(((VLOOKUP(B87,'Data qoq'!$A:$AT,MATCH($P$1,'Data qoq'!$A$1:$AT$1,),))/100+1)^4)-1</f>
        <v/>
      </c>
      <c r="Q87" s="32">
        <f>(((VLOOKUP(B87,'Data qoq'!$A:$AT,MATCH($Q$1,'Data qoq'!$A$1:$AT$1,),))/100+1)^4)-1</f>
        <v/>
      </c>
      <c r="R87" s="32">
        <f>(((VLOOKUP(B87,'Data qoq'!$A:$AT,MATCH($R$1,'Data qoq'!$A$1:$AT$1,),))/100+1)^4)-1</f>
        <v/>
      </c>
      <c r="S87" s="32">
        <f>(((VLOOKUP(B87,'Data qoq'!$A:$AT,MATCH($S$1,'Data qoq'!$A$1:$AT$1,),))/100+1)^4)-1</f>
        <v/>
      </c>
      <c r="T87" s="32">
        <f>(((VLOOKUP(B87,'Data qoq'!$A:$AT,MATCH($T$1,'Data qoq'!$A$1:$AT$1,),))/100+1)^4)-1</f>
        <v/>
      </c>
      <c r="U87" s="32">
        <f>(((VLOOKUP(B87,'Data qoq'!$A:$AT,MATCH($U$1,'Data qoq'!$A$1:$AT$1,),))/100+1)^4)-1</f>
        <v/>
      </c>
      <c r="V87" s="32">
        <f>(((VLOOKUP(B87,'Data qoq'!$A:$AT,MATCH($V$1,'Data qoq'!$A$1:$AT$1,),))/100+1)^4)-1</f>
        <v/>
      </c>
      <c r="W87" s="32">
        <f>(((VLOOKUP(B87,'Data qoq'!$A:$AT,MATCH($W$1,'Data qoq'!$A$1:$AT$1,),))/100+1)^4)-1</f>
        <v/>
      </c>
      <c r="X87" s="32">
        <f>(((VLOOKUP(B87,'Data qoq'!$A:$AT,MATCH($X$1,'Data qoq'!$A$1:$AT$1,),))/100+1)^4)-1</f>
        <v/>
      </c>
      <c r="Y87" s="32">
        <f>(((VLOOKUP(B87,'Data qoq'!$A:$AT,MATCH($Y$1,'Data qoq'!$A$1:$AT$1,),))/100+1)^4)-1</f>
        <v/>
      </c>
      <c r="Z87" s="32">
        <f>(((VLOOKUP(B87,'Data qoq'!$A:$AU,MATCH($Z$1,'Data qoq'!$A$1:$AU$1,),))/100+1)^4)-1</f>
        <v/>
      </c>
      <c r="AA87" s="32">
        <f>(((VLOOKUP(B87,'Data qoq'!$A:$AU,MATCH($AA$1,'Data qoq'!$A$1:$AU$1,),))/100+1)^4)-1</f>
        <v/>
      </c>
      <c r="AC87" s="26">
        <f>B87</f>
        <v/>
      </c>
      <c r="AD87" s="31">
        <f>(VLOOKUP(AC87,B:Y,MATCH($AE$6,$B$1:$Y$1,),))-(VLOOKUP(AC87,B:Y,MATCH($AE$7,$B$1:$Y$1,),))</f>
        <v/>
      </c>
    </row>
    <row r="88" customFormat="1" s="74">
      <c r="A88" s="30" t="n">
        <v>43617</v>
      </c>
      <c r="B88" s="24" t="inlineStr">
        <is>
          <t>2019-Q2</t>
        </is>
      </c>
      <c r="C88" s="32">
        <f>(((VLOOKUP(B88,'Data qoq'!$A:$AT,MATCH($C$1,'Data qoq'!$A$1:$AT$1,),))/100+1)^4)-1</f>
        <v/>
      </c>
      <c r="D88" s="32">
        <f>(((VLOOKUP(B88,'Data qoq'!$A:$AT,MATCH($D$1,'Data qoq'!$A$1:$AT$1,),))/100+1)^4)-1</f>
        <v/>
      </c>
      <c r="E88" s="32">
        <f>(((VLOOKUP(B88,'Data qoq'!$A:$AT,MATCH($E$1,'Data qoq'!$A$1:$AT$1,),))/100+1)^4)-1</f>
        <v/>
      </c>
      <c r="F88" s="32">
        <f>(((VLOOKUP(B88,'Data qoq'!$A:$AT,MATCH($F$1,'Data qoq'!$A$1:$AT$1,),))/100+1)^4)-1</f>
        <v/>
      </c>
      <c r="G88" s="32">
        <f>(((VLOOKUP(B88,'Data qoq'!$A:$AT,MATCH($G$1,'Data qoq'!$A$1:$AT$1,),))/100+1)^4)-1</f>
        <v/>
      </c>
      <c r="H88" s="32">
        <f>(((VLOOKUP(B88,'Data qoq'!$A:$AT,MATCH($H$1,'Data qoq'!$A$1:$AT$1,),))/100+1)^4)-1</f>
        <v/>
      </c>
      <c r="I88" s="32">
        <f>(((VLOOKUP(B88,'Data qoq'!$A:$AT,MATCH($I$1,'Data qoq'!$A$1:$AT$1,),))/100+1)^4)-1</f>
        <v/>
      </c>
      <c r="J88" s="32">
        <f>(((VLOOKUP(B88,'Data qoq'!$A:$AT,MATCH($J$1,'Data qoq'!$A$1:$AT$1,),))/100+1)^4)-1</f>
        <v/>
      </c>
      <c r="K88" s="32">
        <f>(((VLOOKUP(B88,'Data qoq'!$A:$AT,MATCH($K$1,'Data qoq'!$A$1:$AT$1,),))/100+1)^4)-1</f>
        <v/>
      </c>
      <c r="L88" s="32">
        <f>(((VLOOKUP(B88,'Data qoq'!$A:$AT,MATCH($L$1,'Data qoq'!$A$1:$AT$1,),))/100+1)^4)-1</f>
        <v/>
      </c>
      <c r="M88" s="32">
        <f>(((VLOOKUP(B88,'Data qoq'!$A:$AT,MATCH($M$1,'Data qoq'!$A$1:$AT$1,),))/100+1)^4)-1</f>
        <v/>
      </c>
      <c r="N88" s="32">
        <f>(((VLOOKUP(B88,'Data qoq'!$A:$AT,MATCH($N$1,'Data qoq'!$A$1:$AT$1,),))/100+1)^4)-1</f>
        <v/>
      </c>
      <c r="O88" s="32">
        <f>(((VLOOKUP(B88,'Data qoq'!$A:$AT,MATCH($O$1,'Data qoq'!$A$1:$AT$1,),))/100+1)^4)-1</f>
        <v/>
      </c>
      <c r="P88" s="32">
        <f>(((VLOOKUP(B88,'Data qoq'!$A:$AT,MATCH($P$1,'Data qoq'!$A$1:$AT$1,),))/100+1)^4)-1</f>
        <v/>
      </c>
      <c r="Q88" s="32">
        <f>(((VLOOKUP(B88,'Data qoq'!$A:$AT,MATCH($Q$1,'Data qoq'!$A$1:$AT$1,),))/100+1)^4)-1</f>
        <v/>
      </c>
      <c r="R88" s="32">
        <f>(((VLOOKUP(B88,'Data qoq'!$A:$AT,MATCH($R$1,'Data qoq'!$A$1:$AT$1,),))/100+1)^4)-1</f>
        <v/>
      </c>
      <c r="S88" s="32">
        <f>(((VLOOKUP(B88,'Data qoq'!$A:$AT,MATCH($S$1,'Data qoq'!$A$1:$AT$1,),))/100+1)^4)-1</f>
        <v/>
      </c>
      <c r="T88" s="32">
        <f>(((VLOOKUP(B88,'Data qoq'!$A:$AT,MATCH($T$1,'Data qoq'!$A$1:$AT$1,),))/100+1)^4)-1</f>
        <v/>
      </c>
      <c r="U88" s="32">
        <f>(((VLOOKUP(B88,'Data qoq'!$A:$AT,MATCH($U$1,'Data qoq'!$A$1:$AT$1,),))/100+1)^4)-1</f>
        <v/>
      </c>
      <c r="V88" s="32">
        <f>(((VLOOKUP(B88,'Data qoq'!$A:$AT,MATCH($V$1,'Data qoq'!$A$1:$AT$1,),))/100+1)^4)-1</f>
        <v/>
      </c>
      <c r="W88" s="32">
        <f>(((VLOOKUP(B88,'Data qoq'!$A:$AT,MATCH($W$1,'Data qoq'!$A$1:$AT$1,),))/100+1)^4)-1</f>
        <v/>
      </c>
      <c r="X88" s="32">
        <f>(((VLOOKUP(B88,'Data qoq'!$A:$AT,MATCH($X$1,'Data qoq'!$A$1:$AT$1,),))/100+1)^4)-1</f>
        <v/>
      </c>
      <c r="Y88" s="32">
        <f>(((VLOOKUP(B88,'Data qoq'!$A:$AT,MATCH($Y$1,'Data qoq'!$A$1:$AT$1,),))/100+1)^4)-1</f>
        <v/>
      </c>
      <c r="Z88" s="32">
        <f>(((VLOOKUP(B88,'Data qoq'!$A:$AU,MATCH($Z$1,'Data qoq'!$A$1:$AU$1,),))/100+1)^4)-1</f>
        <v/>
      </c>
      <c r="AA88" s="32">
        <f>(((VLOOKUP(B88,'Data qoq'!$A:$AU,MATCH($AA$1,'Data qoq'!$A$1:$AU$1,),))/100+1)^4)-1</f>
        <v/>
      </c>
      <c r="AC88" s="26">
        <f>B88</f>
        <v/>
      </c>
      <c r="AD88" s="31">
        <f>(VLOOKUP(AC88,B:Y,MATCH($AE$6,$B$1:$Y$1,),))-(VLOOKUP(AC88,B:Y,MATCH($AE$7,$B$1:$Y$1,),))</f>
        <v/>
      </c>
    </row>
    <row r="89" customFormat="1" s="74">
      <c r="A89" s="30" t="n">
        <v>43709</v>
      </c>
      <c r="B89" s="24" t="inlineStr">
        <is>
          <t>2019-Q3</t>
        </is>
      </c>
      <c r="C89" s="32">
        <f>(((VLOOKUP(B89,'Data qoq'!$A:$AT,MATCH($C$1,'Data qoq'!$A$1:$AT$1,),))/100+1)^4)-1</f>
        <v/>
      </c>
      <c r="D89" s="32">
        <f>(((VLOOKUP(B89,'Data qoq'!$A:$AT,MATCH($D$1,'Data qoq'!$A$1:$AT$1,),))/100+1)^4)-1</f>
        <v/>
      </c>
      <c r="E89" s="32">
        <f>(((VLOOKUP(B89,'Data qoq'!$A:$AT,MATCH($E$1,'Data qoq'!$A$1:$AT$1,),))/100+1)^4)-1</f>
        <v/>
      </c>
      <c r="F89" s="32">
        <f>(((VLOOKUP(B89,'Data qoq'!$A:$AT,MATCH($F$1,'Data qoq'!$A$1:$AT$1,),))/100+1)^4)-1</f>
        <v/>
      </c>
      <c r="G89" s="32">
        <f>(((VLOOKUP(B89,'Data qoq'!$A:$AT,MATCH($G$1,'Data qoq'!$A$1:$AT$1,),))/100+1)^4)-1</f>
        <v/>
      </c>
      <c r="H89" s="32">
        <f>(((VLOOKUP(B89,'Data qoq'!$A:$AT,MATCH($H$1,'Data qoq'!$A$1:$AT$1,),))/100+1)^4)-1</f>
        <v/>
      </c>
      <c r="I89" s="32">
        <f>(((VLOOKUP(B89,'Data qoq'!$A:$AT,MATCH($I$1,'Data qoq'!$A$1:$AT$1,),))/100+1)^4)-1</f>
        <v/>
      </c>
      <c r="J89" s="32">
        <f>(((VLOOKUP(B89,'Data qoq'!$A:$AT,MATCH($J$1,'Data qoq'!$A$1:$AT$1,),))/100+1)^4)-1</f>
        <v/>
      </c>
      <c r="K89" s="32">
        <f>(((VLOOKUP(B89,'Data qoq'!$A:$AT,MATCH($K$1,'Data qoq'!$A$1:$AT$1,),))/100+1)^4)-1</f>
        <v/>
      </c>
      <c r="L89" s="32">
        <f>(((VLOOKUP(B89,'Data qoq'!$A:$AT,MATCH($L$1,'Data qoq'!$A$1:$AT$1,),))/100+1)^4)-1</f>
        <v/>
      </c>
      <c r="M89" s="32">
        <f>(((VLOOKUP(B89,'Data qoq'!$A:$AT,MATCH($M$1,'Data qoq'!$A$1:$AT$1,),))/100+1)^4)-1</f>
        <v/>
      </c>
      <c r="N89" s="32">
        <f>(((VLOOKUP(B89,'Data qoq'!$A:$AT,MATCH($N$1,'Data qoq'!$A$1:$AT$1,),))/100+1)^4)-1</f>
        <v/>
      </c>
      <c r="O89" s="32">
        <f>(((VLOOKUP(B89,'Data qoq'!$A:$AT,MATCH($O$1,'Data qoq'!$A$1:$AT$1,),))/100+1)^4)-1</f>
        <v/>
      </c>
      <c r="P89" s="32">
        <f>(((VLOOKUP(B89,'Data qoq'!$A:$AT,MATCH($P$1,'Data qoq'!$A$1:$AT$1,),))/100+1)^4)-1</f>
        <v/>
      </c>
      <c r="Q89" s="32">
        <f>(((VLOOKUP(B89,'Data qoq'!$A:$AT,MATCH($Q$1,'Data qoq'!$A$1:$AT$1,),))/100+1)^4)-1</f>
        <v/>
      </c>
      <c r="R89" s="32">
        <f>(((VLOOKUP(B89,'Data qoq'!$A:$AT,MATCH($R$1,'Data qoq'!$A$1:$AT$1,),))/100+1)^4)-1</f>
        <v/>
      </c>
      <c r="S89" s="32">
        <f>(((VLOOKUP(B89,'Data qoq'!$A:$AT,MATCH($S$1,'Data qoq'!$A$1:$AT$1,),))/100+1)^4)-1</f>
        <v/>
      </c>
      <c r="T89" s="32">
        <f>(((VLOOKUP(B89,'Data qoq'!$A:$AT,MATCH($T$1,'Data qoq'!$A$1:$AT$1,),))/100+1)^4)-1</f>
        <v/>
      </c>
      <c r="U89" s="32">
        <f>(((VLOOKUP(B89,'Data qoq'!$A:$AT,MATCH($U$1,'Data qoq'!$A$1:$AT$1,),))/100+1)^4)-1</f>
        <v/>
      </c>
      <c r="V89" s="32">
        <f>(((VLOOKUP(B89,'Data qoq'!$A:$AT,MATCH($V$1,'Data qoq'!$A$1:$AT$1,),))/100+1)^4)-1</f>
        <v/>
      </c>
      <c r="W89" s="32">
        <f>(((VLOOKUP(B89,'Data qoq'!$A:$AT,MATCH($W$1,'Data qoq'!$A$1:$AT$1,),))/100+1)^4)-1</f>
        <v/>
      </c>
      <c r="X89" s="32">
        <f>(((VLOOKUP(B89,'Data qoq'!$A:$AT,MATCH($X$1,'Data qoq'!$A$1:$AT$1,),))/100+1)^4)-1</f>
        <v/>
      </c>
      <c r="Y89" s="32">
        <f>(((VLOOKUP(B89,'Data qoq'!$A:$AT,MATCH($Y$1,'Data qoq'!$A$1:$AT$1,),))/100+1)^4)-1</f>
        <v/>
      </c>
      <c r="Z89" s="32">
        <f>(((VLOOKUP(B89,'Data qoq'!$A:$AU,MATCH($Z$1,'Data qoq'!$A$1:$AU$1,),))/100+1)^4)-1</f>
        <v/>
      </c>
      <c r="AA89" s="32">
        <f>(((VLOOKUP(B89,'Data qoq'!$A:$AU,MATCH($AA$1,'Data qoq'!$A$1:$AU$1,),))/100+1)^4)-1</f>
        <v/>
      </c>
      <c r="AC89" s="26">
        <f>B89</f>
        <v/>
      </c>
      <c r="AD89" s="31">
        <f>(VLOOKUP(AC89,B:Y,MATCH($AE$6,$B$1:$Y$1,),))-(VLOOKUP(AC89,B:Y,MATCH($AE$7,$B$1:$Y$1,),))</f>
        <v/>
      </c>
    </row>
    <row r="90" customFormat="1" s="74">
      <c r="A90" s="30" t="n">
        <v>43800</v>
      </c>
      <c r="B90" s="24" t="inlineStr">
        <is>
          <t>2019-Q4</t>
        </is>
      </c>
      <c r="C90" s="32">
        <f>(((VLOOKUP(B90,'Data qoq'!$A:$AT,MATCH($C$1,'Data qoq'!$A$1:$AT$1,),))/100+1)^4)-1</f>
        <v/>
      </c>
      <c r="D90" s="32">
        <f>(((VLOOKUP(B90,'Data qoq'!$A:$AT,MATCH($D$1,'Data qoq'!$A$1:$AT$1,),))/100+1)^4)-1</f>
        <v/>
      </c>
      <c r="E90" s="32">
        <f>(((VLOOKUP(B90,'Data qoq'!$A:$AT,MATCH($E$1,'Data qoq'!$A$1:$AT$1,),))/100+1)^4)-1</f>
        <v/>
      </c>
      <c r="F90" s="32">
        <f>(((VLOOKUP(B90,'Data qoq'!$A:$AT,MATCH($F$1,'Data qoq'!$A$1:$AT$1,),))/100+1)^4)-1</f>
        <v/>
      </c>
      <c r="G90" s="32">
        <f>(((VLOOKUP(B90,'Data qoq'!$A:$AT,MATCH($G$1,'Data qoq'!$A$1:$AT$1,),))/100+1)^4)-1</f>
        <v/>
      </c>
      <c r="H90" s="32">
        <f>(((VLOOKUP(B90,'Data qoq'!$A:$AT,MATCH($H$1,'Data qoq'!$A$1:$AT$1,),))/100+1)^4)-1</f>
        <v/>
      </c>
      <c r="I90" s="32">
        <f>(((VLOOKUP(B90,'Data qoq'!$A:$AT,MATCH($I$1,'Data qoq'!$A$1:$AT$1,),))/100+1)^4)-1</f>
        <v/>
      </c>
      <c r="J90" s="32">
        <f>(((VLOOKUP(B90,'Data qoq'!$A:$AT,MATCH($J$1,'Data qoq'!$A$1:$AT$1,),))/100+1)^4)-1</f>
        <v/>
      </c>
      <c r="K90" s="32">
        <f>(((VLOOKUP(B90,'Data qoq'!$A:$AT,MATCH($K$1,'Data qoq'!$A$1:$AT$1,),))/100+1)^4)-1</f>
        <v/>
      </c>
      <c r="L90" s="32">
        <f>(((VLOOKUP(B90,'Data qoq'!$A:$AT,MATCH($L$1,'Data qoq'!$A$1:$AT$1,),))/100+1)^4)-1</f>
        <v/>
      </c>
      <c r="M90" s="32">
        <f>(((VLOOKUP(B90,'Data qoq'!$A:$AT,MATCH($M$1,'Data qoq'!$A$1:$AT$1,),))/100+1)^4)-1</f>
        <v/>
      </c>
      <c r="N90" s="32">
        <f>(((VLOOKUP(B90,'Data qoq'!$A:$AT,MATCH($N$1,'Data qoq'!$A$1:$AT$1,),))/100+1)^4)-1</f>
        <v/>
      </c>
      <c r="O90" s="32">
        <f>(((VLOOKUP(B90,'Data qoq'!$A:$AT,MATCH($O$1,'Data qoq'!$A$1:$AT$1,),))/100+1)^4)-1</f>
        <v/>
      </c>
      <c r="P90" s="32">
        <f>(((VLOOKUP(B90,'Data qoq'!$A:$AT,MATCH($P$1,'Data qoq'!$A$1:$AT$1,),))/100+1)^4)-1</f>
        <v/>
      </c>
      <c r="Q90" s="32">
        <f>(((VLOOKUP(B90,'Data qoq'!$A:$AT,MATCH($Q$1,'Data qoq'!$A$1:$AT$1,),))/100+1)^4)-1</f>
        <v/>
      </c>
      <c r="R90" s="32">
        <f>(((VLOOKUP(B90,'Data qoq'!$A:$AT,MATCH($R$1,'Data qoq'!$A$1:$AT$1,),))/100+1)^4)-1</f>
        <v/>
      </c>
      <c r="S90" s="32">
        <f>(((VLOOKUP(B90,'Data qoq'!$A:$AT,MATCH($S$1,'Data qoq'!$A$1:$AT$1,),))/100+1)^4)-1</f>
        <v/>
      </c>
      <c r="T90" s="32">
        <f>(((VLOOKUP(B90,'Data qoq'!$A:$AT,MATCH($T$1,'Data qoq'!$A$1:$AT$1,),))/100+1)^4)-1</f>
        <v/>
      </c>
      <c r="U90" s="32">
        <f>(((VLOOKUP(B90,'Data qoq'!$A:$AT,MATCH($U$1,'Data qoq'!$A$1:$AT$1,),))/100+1)^4)-1</f>
        <v/>
      </c>
      <c r="V90" s="32">
        <f>(((VLOOKUP(B90,'Data qoq'!$A:$AT,MATCH($V$1,'Data qoq'!$A$1:$AT$1,),))/100+1)^4)-1</f>
        <v/>
      </c>
      <c r="W90" s="32">
        <f>(((VLOOKUP(B90,'Data qoq'!$A:$AT,MATCH($W$1,'Data qoq'!$A$1:$AT$1,),))/100+1)^4)-1</f>
        <v/>
      </c>
      <c r="X90" s="32">
        <f>(((VLOOKUP(B90,'Data qoq'!$A:$AT,MATCH($X$1,'Data qoq'!$A$1:$AT$1,),))/100+1)^4)-1</f>
        <v/>
      </c>
      <c r="Y90" s="32">
        <f>(((VLOOKUP(B90,'Data qoq'!$A:$AT,MATCH($Y$1,'Data qoq'!$A$1:$AT$1,),))/100+1)^4)-1</f>
        <v/>
      </c>
      <c r="Z90" s="32">
        <f>(((VLOOKUP(B90,'Data qoq'!$A:$AU,MATCH($Z$1,'Data qoq'!$A$1:$AU$1,),))/100+1)^4)-1</f>
        <v/>
      </c>
      <c r="AA90" s="32">
        <f>(((VLOOKUP(B90,'Data qoq'!$A:$AU,MATCH($AA$1,'Data qoq'!$A$1:$AU$1,),))/100+1)^4)-1</f>
        <v/>
      </c>
      <c r="AC90" s="26">
        <f>B90</f>
        <v/>
      </c>
      <c r="AD90" s="31">
        <f>(VLOOKUP(AC90,B:Y,MATCH($AE$6,$B$1:$Y$1,),))-(VLOOKUP(AC90,B:Y,MATCH($AE$7,$B$1:$Y$1,),))</f>
        <v/>
      </c>
    </row>
    <row r="91" customFormat="1" s="74">
      <c r="A91" s="30" t="n">
        <v>43891</v>
      </c>
      <c r="B91" s="24" t="inlineStr">
        <is>
          <t>2020-Q1</t>
        </is>
      </c>
      <c r="C91" s="32">
        <f>(((VLOOKUP(B91,'Data qoq'!$A:$AT,MATCH($C$1,'Data qoq'!$A$1:$AT$1,),))/100+1)^4)-1</f>
        <v/>
      </c>
      <c r="D91" s="32">
        <f>(((VLOOKUP(B91,'Data qoq'!$A:$AT,MATCH($D$1,'Data qoq'!$A$1:$AT$1,),))/100+1)^4)-1</f>
        <v/>
      </c>
      <c r="E91" s="32">
        <f>(((VLOOKUP(B91,'Data qoq'!$A:$AT,MATCH($E$1,'Data qoq'!$A$1:$AT$1,),))/100+1)^4)-1</f>
        <v/>
      </c>
      <c r="F91" s="32">
        <f>(((VLOOKUP(B91,'Data qoq'!$A:$AT,MATCH($F$1,'Data qoq'!$A$1:$AT$1,),))/100+1)^4)-1</f>
        <v/>
      </c>
      <c r="G91" s="32">
        <f>(((VLOOKUP(B91,'Data qoq'!$A:$AT,MATCH($G$1,'Data qoq'!$A$1:$AT$1,),))/100+1)^4)-1</f>
        <v/>
      </c>
      <c r="H91" s="32">
        <f>(((VLOOKUP(B91,'Data qoq'!$A:$AT,MATCH($H$1,'Data qoq'!$A$1:$AT$1,),))/100+1)^4)-1</f>
        <v/>
      </c>
      <c r="I91" s="32">
        <f>(((VLOOKUP(B91,'Data qoq'!$A:$AT,MATCH($I$1,'Data qoq'!$A$1:$AT$1,),))/100+1)^4)-1</f>
        <v/>
      </c>
      <c r="J91" s="32">
        <f>(((VLOOKUP(B91,'Data qoq'!$A:$AT,MATCH($J$1,'Data qoq'!$A$1:$AT$1,),))/100+1)^4)-1</f>
        <v/>
      </c>
      <c r="K91" s="32">
        <f>(((VLOOKUP(B91,'Data qoq'!$A:$AT,MATCH($K$1,'Data qoq'!$A$1:$AT$1,),))/100+1)^4)-1</f>
        <v/>
      </c>
      <c r="L91" s="32">
        <f>(((VLOOKUP(B91,'Data qoq'!$A:$AT,MATCH($L$1,'Data qoq'!$A$1:$AT$1,),))/100+1)^4)-1</f>
        <v/>
      </c>
      <c r="M91" s="32">
        <f>(((VLOOKUP(B91,'Data qoq'!$A:$AT,MATCH($M$1,'Data qoq'!$A$1:$AT$1,),))/100+1)^4)-1</f>
        <v/>
      </c>
      <c r="N91" s="32">
        <f>(((VLOOKUP(B91,'Data qoq'!$A:$AT,MATCH($N$1,'Data qoq'!$A$1:$AT$1,),))/100+1)^4)-1</f>
        <v/>
      </c>
      <c r="O91" s="32">
        <f>(((VLOOKUP(B91,'Data qoq'!$A:$AT,MATCH($O$1,'Data qoq'!$A$1:$AT$1,),))/100+1)^4)-1</f>
        <v/>
      </c>
      <c r="P91" s="32">
        <f>(((VLOOKUP(B91,'Data qoq'!$A:$AT,MATCH($P$1,'Data qoq'!$A$1:$AT$1,),))/100+1)^4)-1</f>
        <v/>
      </c>
      <c r="Q91" s="32">
        <f>(((VLOOKUP(B91,'Data qoq'!$A:$AT,MATCH($Q$1,'Data qoq'!$A$1:$AT$1,),))/100+1)^4)-1</f>
        <v/>
      </c>
      <c r="R91" s="32">
        <f>(((VLOOKUP(B91,'Data qoq'!$A:$AT,MATCH($R$1,'Data qoq'!$A$1:$AT$1,),))/100+1)^4)-1</f>
        <v/>
      </c>
      <c r="S91" s="32">
        <f>(((VLOOKUP(B91,'Data qoq'!$A:$AT,MATCH($S$1,'Data qoq'!$A$1:$AT$1,),))/100+1)^4)-1</f>
        <v/>
      </c>
      <c r="T91" s="32">
        <f>(((VLOOKUP(B91,'Data qoq'!$A:$AT,MATCH($T$1,'Data qoq'!$A$1:$AT$1,),))/100+1)^4)-1</f>
        <v/>
      </c>
      <c r="U91" s="32">
        <f>(((VLOOKUP(B91,'Data qoq'!$A:$AT,MATCH($U$1,'Data qoq'!$A$1:$AT$1,),))/100+1)^4)-1</f>
        <v/>
      </c>
      <c r="V91" s="32">
        <f>(((VLOOKUP(B91,'Data qoq'!$A:$AT,MATCH($V$1,'Data qoq'!$A$1:$AT$1,),))/100+1)^4)-1</f>
        <v/>
      </c>
      <c r="W91" s="32">
        <f>(((VLOOKUP(B91,'Data qoq'!$A:$AT,MATCH($W$1,'Data qoq'!$A$1:$AT$1,),))/100+1)^4)-1</f>
        <v/>
      </c>
      <c r="X91" s="32">
        <f>(((VLOOKUP(B91,'Data qoq'!$A:$AT,MATCH($X$1,'Data qoq'!$A$1:$AT$1,),))/100+1)^4)-1</f>
        <v/>
      </c>
      <c r="Y91" s="32">
        <f>(((VLOOKUP(B91,'Data qoq'!$A:$AT,MATCH($Y$1,'Data qoq'!$A$1:$AT$1,),))/100+1)^4)-1</f>
        <v/>
      </c>
      <c r="Z91" s="32">
        <f>(((VLOOKUP(B91,'Data qoq'!$A:$AU,MATCH($Z$1,'Data qoq'!$A$1:$AU$1,),))/100+1)^4)-1</f>
        <v/>
      </c>
      <c r="AA91" s="32">
        <f>(((VLOOKUP(B91,'Data qoq'!$A:$AU,MATCH($AA$1,'Data qoq'!$A$1:$AU$1,),))/100+1)^4)-1</f>
        <v/>
      </c>
      <c r="AC91" s="26">
        <f>B91</f>
        <v/>
      </c>
      <c r="AD91" s="31">
        <f>(VLOOKUP(AC91,B:Y,MATCH($AE$6,$B$1:$Y$1,),))-(VLOOKUP(AC91,B:Y,MATCH($AE$7,$B$1:$Y$1,),))</f>
        <v/>
      </c>
    </row>
    <row r="92" customFormat="1" s="74">
      <c r="A92" s="30" t="n">
        <v>43983</v>
      </c>
      <c r="B92" s="24" t="inlineStr">
        <is>
          <t>2020-Q2</t>
        </is>
      </c>
      <c r="C92" s="32">
        <f>(((VLOOKUP(B92,'Data qoq'!$A:$AT,MATCH($C$1,'Data qoq'!$A$1:$AT$1,),))/100+1)^4)-1</f>
        <v/>
      </c>
      <c r="D92" s="32">
        <f>(((VLOOKUP(B92,'Data qoq'!$A:$AT,MATCH($D$1,'Data qoq'!$A$1:$AT$1,),))/100+1)^4)-1</f>
        <v/>
      </c>
      <c r="E92" s="32">
        <f>(((VLOOKUP(B92,'Data qoq'!$A:$AT,MATCH($E$1,'Data qoq'!$A$1:$AT$1,),))/100+1)^4)-1</f>
        <v/>
      </c>
      <c r="F92" s="32">
        <f>(((VLOOKUP(B92,'Data qoq'!$A:$AT,MATCH($F$1,'Data qoq'!$A$1:$AT$1,),))/100+1)^4)-1</f>
        <v/>
      </c>
      <c r="G92" s="32">
        <f>(((VLOOKUP(B92,'Data qoq'!$A:$AT,MATCH($G$1,'Data qoq'!$A$1:$AT$1,),))/100+1)^4)-1</f>
        <v/>
      </c>
      <c r="H92" s="32">
        <f>(((VLOOKUP(B92,'Data qoq'!$A:$AT,MATCH($H$1,'Data qoq'!$A$1:$AT$1,),))/100+1)^4)-1</f>
        <v/>
      </c>
      <c r="I92" s="32">
        <f>(((VLOOKUP(B92,'Data qoq'!$A:$AT,MATCH($I$1,'Data qoq'!$A$1:$AT$1,),))/100+1)^4)-1</f>
        <v/>
      </c>
      <c r="J92" s="32">
        <f>(((VLOOKUP(B92,'Data qoq'!$A:$AT,MATCH($J$1,'Data qoq'!$A$1:$AT$1,),))/100+1)^4)-1</f>
        <v/>
      </c>
      <c r="K92" s="32">
        <f>(((VLOOKUP(B92,'Data qoq'!$A:$AT,MATCH($K$1,'Data qoq'!$A$1:$AT$1,),))/100+1)^4)-1</f>
        <v/>
      </c>
      <c r="L92" s="32">
        <f>(((VLOOKUP(B92,'Data qoq'!$A:$AT,MATCH($L$1,'Data qoq'!$A$1:$AT$1,),))/100+1)^4)-1</f>
        <v/>
      </c>
      <c r="M92" s="32">
        <f>(((VLOOKUP(B92,'Data qoq'!$A:$AT,MATCH($M$1,'Data qoq'!$A$1:$AT$1,),))/100+1)^4)-1</f>
        <v/>
      </c>
      <c r="N92" s="32">
        <f>(((VLOOKUP(B92,'Data qoq'!$A:$AT,MATCH($N$1,'Data qoq'!$A$1:$AT$1,),))/100+1)^4)-1</f>
        <v/>
      </c>
      <c r="O92" s="32">
        <f>(((VLOOKUP(B92,'Data qoq'!$A:$AT,MATCH($O$1,'Data qoq'!$A$1:$AT$1,),))/100+1)^4)-1</f>
        <v/>
      </c>
      <c r="P92" s="32">
        <f>(((VLOOKUP(B92,'Data qoq'!$A:$AT,MATCH($P$1,'Data qoq'!$A$1:$AT$1,),))/100+1)^4)-1</f>
        <v/>
      </c>
      <c r="Q92" s="32">
        <f>(((VLOOKUP(B92,'Data qoq'!$A:$AT,MATCH($Q$1,'Data qoq'!$A$1:$AT$1,),))/100+1)^4)-1</f>
        <v/>
      </c>
      <c r="R92" s="32">
        <f>(((VLOOKUP(B92,'Data qoq'!$A:$AT,MATCH($R$1,'Data qoq'!$A$1:$AT$1,),))/100+1)^4)-1</f>
        <v/>
      </c>
      <c r="S92" s="32">
        <f>(((VLOOKUP(B92,'Data qoq'!$A:$AT,MATCH($S$1,'Data qoq'!$A$1:$AT$1,),))/100+1)^4)-1</f>
        <v/>
      </c>
      <c r="T92" s="32">
        <f>(((VLOOKUP(B92,'Data qoq'!$A:$AT,MATCH($T$1,'Data qoq'!$A$1:$AT$1,),))/100+1)^4)-1</f>
        <v/>
      </c>
      <c r="U92" s="32">
        <f>(((VLOOKUP(B92,'Data qoq'!$A:$AT,MATCH($U$1,'Data qoq'!$A$1:$AT$1,),))/100+1)^4)-1</f>
        <v/>
      </c>
      <c r="V92" s="32">
        <f>(((VLOOKUP(B92,'Data qoq'!$A:$AT,MATCH($V$1,'Data qoq'!$A$1:$AT$1,),))/100+1)^4)-1</f>
        <v/>
      </c>
      <c r="W92" s="32">
        <f>(((VLOOKUP(B92,'Data qoq'!$A:$AT,MATCH($W$1,'Data qoq'!$A$1:$AT$1,),))/100+1)^4)-1</f>
        <v/>
      </c>
      <c r="X92" s="32">
        <f>(((VLOOKUP(B92,'Data qoq'!$A:$AT,MATCH($X$1,'Data qoq'!$A$1:$AT$1,),))/100+1)^4)-1</f>
        <v/>
      </c>
      <c r="Y92" s="32">
        <f>(((VLOOKUP(B92,'Data qoq'!$A:$AT,MATCH($Y$1,'Data qoq'!$A$1:$AT$1,),))/100+1)^4)-1</f>
        <v/>
      </c>
      <c r="Z92" s="32">
        <f>(((VLOOKUP(B92,'Data qoq'!$A:$AU,MATCH($Z$1,'Data qoq'!$A$1:$AU$1,),))/100+1)^4)-1</f>
        <v/>
      </c>
      <c r="AA92" s="32">
        <f>(((VLOOKUP(B92,'Data qoq'!$A:$AU,MATCH($AA$1,'Data qoq'!$A$1:$AU$1,),))/100+1)^4)-1</f>
        <v/>
      </c>
      <c r="AC92" s="26">
        <f>B92</f>
        <v/>
      </c>
      <c r="AD92" s="31">
        <f>(VLOOKUP(AC92,B:Y,MATCH($AE$6,$B$1:$Y$1,),))-(VLOOKUP(AC92,B:Y,MATCH($AE$7,$B$1:$Y$1,),))</f>
        <v/>
      </c>
    </row>
    <row r="93" customFormat="1" s="74">
      <c r="A93" s="30" t="n">
        <v>44075</v>
      </c>
      <c r="B93" s="24" t="inlineStr">
        <is>
          <t>2020-Q3</t>
        </is>
      </c>
      <c r="C93" s="32">
        <f>(((VLOOKUP(B93,'Data qoq'!$A:$AT,MATCH($C$1,'Data qoq'!$A$1:$AT$1,),))/100+1)^4)-1</f>
        <v/>
      </c>
      <c r="D93" s="32">
        <f>(((VLOOKUP(B93,'Data qoq'!$A:$AT,MATCH($D$1,'Data qoq'!$A$1:$AT$1,),))/100+1)^4)-1</f>
        <v/>
      </c>
      <c r="E93" s="32">
        <f>(((VLOOKUP(B93,'Data qoq'!$A:$AT,MATCH($E$1,'Data qoq'!$A$1:$AT$1,),))/100+1)^4)-1</f>
        <v/>
      </c>
      <c r="F93" s="32">
        <f>(((VLOOKUP(B93,'Data qoq'!$A:$AT,MATCH($F$1,'Data qoq'!$A$1:$AT$1,),))/100+1)^4)-1</f>
        <v/>
      </c>
      <c r="G93" s="32">
        <f>(((VLOOKUP(B93,'Data qoq'!$A:$AT,MATCH($G$1,'Data qoq'!$A$1:$AT$1,),))/100+1)^4)-1</f>
        <v/>
      </c>
      <c r="H93" s="32">
        <f>(((VLOOKUP(B93,'Data qoq'!$A:$AT,MATCH($H$1,'Data qoq'!$A$1:$AT$1,),))/100+1)^4)-1</f>
        <v/>
      </c>
      <c r="I93" s="32">
        <f>(((VLOOKUP(B93,'Data qoq'!$A:$AT,MATCH($I$1,'Data qoq'!$A$1:$AT$1,),))/100+1)^4)-1</f>
        <v/>
      </c>
      <c r="J93" s="32">
        <f>(((VLOOKUP(B93,'Data qoq'!$A:$AT,MATCH($J$1,'Data qoq'!$A$1:$AT$1,),))/100+1)^4)-1</f>
        <v/>
      </c>
      <c r="K93" s="32">
        <f>(((VLOOKUP(B93,'Data qoq'!$A:$AT,MATCH($K$1,'Data qoq'!$A$1:$AT$1,),))/100+1)^4)-1</f>
        <v/>
      </c>
      <c r="L93" s="32">
        <f>(((VLOOKUP(B93,'Data qoq'!$A:$AT,MATCH($L$1,'Data qoq'!$A$1:$AT$1,),))/100+1)^4)-1</f>
        <v/>
      </c>
      <c r="M93" s="32">
        <f>(((VLOOKUP(B93,'Data qoq'!$A:$AT,MATCH($M$1,'Data qoq'!$A$1:$AT$1,),))/100+1)^4)-1</f>
        <v/>
      </c>
      <c r="N93" s="32">
        <f>(((VLOOKUP(B93,'Data qoq'!$A:$AT,MATCH($N$1,'Data qoq'!$A$1:$AT$1,),))/100+1)^4)-1</f>
        <v/>
      </c>
      <c r="O93" s="32">
        <f>(((VLOOKUP(B93,'Data qoq'!$A:$AT,MATCH($O$1,'Data qoq'!$A$1:$AT$1,),))/100+1)^4)-1</f>
        <v/>
      </c>
      <c r="P93" s="32">
        <f>(((VLOOKUP(B93,'Data qoq'!$A:$AT,MATCH($P$1,'Data qoq'!$A$1:$AT$1,),))/100+1)^4)-1</f>
        <v/>
      </c>
      <c r="Q93" s="32">
        <f>(((VLOOKUP(B93,'Data qoq'!$A:$AT,MATCH($Q$1,'Data qoq'!$A$1:$AT$1,),))/100+1)^4)-1</f>
        <v/>
      </c>
      <c r="R93" s="32">
        <f>(((VLOOKUP(B93,'Data qoq'!$A:$AT,MATCH($R$1,'Data qoq'!$A$1:$AT$1,),))/100+1)^4)-1</f>
        <v/>
      </c>
      <c r="S93" s="32">
        <f>(((VLOOKUP(B93,'Data qoq'!$A:$AT,MATCH($S$1,'Data qoq'!$A$1:$AT$1,),))/100+1)^4)-1</f>
        <v/>
      </c>
      <c r="T93" s="32">
        <f>(((VLOOKUP(B93,'Data qoq'!$A:$AT,MATCH($T$1,'Data qoq'!$A$1:$AT$1,),))/100+1)^4)-1</f>
        <v/>
      </c>
      <c r="U93" s="32">
        <f>(((VLOOKUP(B93,'Data qoq'!$A:$AT,MATCH($U$1,'Data qoq'!$A$1:$AT$1,),))/100+1)^4)-1</f>
        <v/>
      </c>
      <c r="V93" s="32">
        <f>(((VLOOKUP(B93,'Data qoq'!$A:$AT,MATCH($V$1,'Data qoq'!$A$1:$AT$1,),))/100+1)^4)-1</f>
        <v/>
      </c>
      <c r="W93" s="32">
        <f>(((VLOOKUP(B93,'Data qoq'!$A:$AT,MATCH($W$1,'Data qoq'!$A$1:$AT$1,),))/100+1)^4)-1</f>
        <v/>
      </c>
      <c r="X93" s="32">
        <f>(((VLOOKUP(B93,'Data qoq'!$A:$AT,MATCH($X$1,'Data qoq'!$A$1:$AT$1,),))/100+1)^4)-1</f>
        <v/>
      </c>
      <c r="Y93" s="32">
        <f>(((VLOOKUP(B93,'Data qoq'!$A:$AT,MATCH($Y$1,'Data qoq'!$A$1:$AT$1,),))/100+1)^4)-1</f>
        <v/>
      </c>
      <c r="Z93" s="32">
        <f>(((VLOOKUP(B93,'Data qoq'!$A:$AU,MATCH($Z$1,'Data qoq'!$A$1:$AU$1,),))/100+1)^4)-1</f>
        <v/>
      </c>
      <c r="AA93" s="32">
        <f>(((VLOOKUP(B93,'Data qoq'!$A:$AU,MATCH($AA$1,'Data qoq'!$A$1:$AU$1,),))/100+1)^4)-1</f>
        <v/>
      </c>
      <c r="AC93" s="26">
        <f>B93</f>
        <v/>
      </c>
      <c r="AD93" s="31">
        <f>(VLOOKUP(AC93,B:Y,MATCH($AE$6,$B$1:$Y$1,),))-(VLOOKUP(AC93,B:Y,MATCH($AE$7,$B$1:$Y$1,),))</f>
        <v/>
      </c>
    </row>
    <row r="94" customFormat="1" s="74">
      <c r="A94" s="30" t="n">
        <v>44166</v>
      </c>
      <c r="B94" s="24" t="inlineStr">
        <is>
          <t>2020-Q4</t>
        </is>
      </c>
      <c r="C94" s="32">
        <f>(((VLOOKUP(B94,'Data qoq'!$A:$AT,MATCH($C$1,'Data qoq'!$A$1:$AT$1,),))/100+1)^4)-1</f>
        <v/>
      </c>
      <c r="D94" s="32">
        <f>(((VLOOKUP(B94,'Data qoq'!$A:$AT,MATCH($D$1,'Data qoq'!$A$1:$AT$1,),))/100+1)^4)-1</f>
        <v/>
      </c>
      <c r="E94" s="32">
        <f>(((VLOOKUP(B94,'Data qoq'!$A:$AT,MATCH($E$1,'Data qoq'!$A$1:$AT$1,),))/100+1)^4)-1</f>
        <v/>
      </c>
      <c r="F94" s="32">
        <f>(((VLOOKUP(B94,'Data qoq'!$A:$AT,MATCH($F$1,'Data qoq'!$A$1:$AT$1,),))/100+1)^4)-1</f>
        <v/>
      </c>
      <c r="G94" s="32">
        <f>(((VLOOKUP(B94,'Data qoq'!$A:$AT,MATCH($G$1,'Data qoq'!$A$1:$AT$1,),))/100+1)^4)-1</f>
        <v/>
      </c>
      <c r="H94" s="32">
        <f>(((VLOOKUP(B94,'Data qoq'!$A:$AT,MATCH($H$1,'Data qoq'!$A$1:$AT$1,),))/100+1)^4)-1</f>
        <v/>
      </c>
      <c r="I94" s="32">
        <f>(((VLOOKUP(B94,'Data qoq'!$A:$AT,MATCH($I$1,'Data qoq'!$A$1:$AT$1,),))/100+1)^4)-1</f>
        <v/>
      </c>
      <c r="J94" s="32">
        <f>(((VLOOKUP(B94,'Data qoq'!$A:$AT,MATCH($J$1,'Data qoq'!$A$1:$AT$1,),))/100+1)^4)-1</f>
        <v/>
      </c>
      <c r="K94" s="32">
        <f>(((VLOOKUP(B94,'Data qoq'!$A:$AT,MATCH($K$1,'Data qoq'!$A$1:$AT$1,),))/100+1)^4)-1</f>
        <v/>
      </c>
      <c r="L94" s="32">
        <f>(((VLOOKUP(B94,'Data qoq'!$A:$AT,MATCH($L$1,'Data qoq'!$A$1:$AT$1,),))/100+1)^4)-1</f>
        <v/>
      </c>
      <c r="M94" s="32">
        <f>(((VLOOKUP(B94,'Data qoq'!$A:$AT,MATCH($M$1,'Data qoq'!$A$1:$AT$1,),))/100+1)^4)-1</f>
        <v/>
      </c>
      <c r="N94" s="32">
        <f>(((VLOOKUP(B94,'Data qoq'!$A:$AT,MATCH($N$1,'Data qoq'!$A$1:$AT$1,),))/100+1)^4)-1</f>
        <v/>
      </c>
      <c r="O94" s="32">
        <f>(((VLOOKUP(B94,'Data qoq'!$A:$AT,MATCH($O$1,'Data qoq'!$A$1:$AT$1,),))/100+1)^4)-1</f>
        <v/>
      </c>
      <c r="P94" s="32">
        <f>(((VLOOKUP(B94,'Data qoq'!$A:$AT,MATCH($P$1,'Data qoq'!$A$1:$AT$1,),))/100+1)^4)-1</f>
        <v/>
      </c>
      <c r="Q94" s="32">
        <f>(((VLOOKUP(B94,'Data qoq'!$A:$AT,MATCH($Q$1,'Data qoq'!$A$1:$AT$1,),))/100+1)^4)-1</f>
        <v/>
      </c>
      <c r="R94" s="32">
        <f>(((VLOOKUP(B94,'Data qoq'!$A:$AT,MATCH($R$1,'Data qoq'!$A$1:$AT$1,),))/100+1)^4)-1</f>
        <v/>
      </c>
      <c r="S94" s="32">
        <f>(((VLOOKUP(B94,'Data qoq'!$A:$AT,MATCH($S$1,'Data qoq'!$A$1:$AT$1,),))/100+1)^4)-1</f>
        <v/>
      </c>
      <c r="T94" s="32">
        <f>(((VLOOKUP(B94,'Data qoq'!$A:$AT,MATCH($T$1,'Data qoq'!$A$1:$AT$1,),))/100+1)^4)-1</f>
        <v/>
      </c>
      <c r="U94" s="32">
        <f>(((VLOOKUP(B94,'Data qoq'!$A:$AT,MATCH($U$1,'Data qoq'!$A$1:$AT$1,),))/100+1)^4)-1</f>
        <v/>
      </c>
      <c r="V94" s="32">
        <f>(((VLOOKUP(B94,'Data qoq'!$A:$AT,MATCH($V$1,'Data qoq'!$A$1:$AT$1,),))/100+1)^4)-1</f>
        <v/>
      </c>
      <c r="W94" s="32">
        <f>(((VLOOKUP(B94,'Data qoq'!$A:$AT,MATCH($W$1,'Data qoq'!$A$1:$AT$1,),))/100+1)^4)-1</f>
        <v/>
      </c>
      <c r="X94" s="32">
        <f>(((VLOOKUP(B94,'Data qoq'!$A:$AT,MATCH($X$1,'Data qoq'!$A$1:$AT$1,),))/100+1)^4)-1</f>
        <v/>
      </c>
      <c r="Y94" s="32">
        <f>(((VLOOKUP(B94,'Data qoq'!$A:$AT,MATCH($Y$1,'Data qoq'!$A$1:$AT$1,),))/100+1)^4)-1</f>
        <v/>
      </c>
      <c r="Z94" s="32">
        <f>(((VLOOKUP(B94,'Data qoq'!$A:$AU,MATCH($Z$1,'Data qoq'!$A$1:$AU$1,),))/100+1)^4)-1</f>
        <v/>
      </c>
      <c r="AA94" s="32">
        <f>(((VLOOKUP(B94,'Data qoq'!$A:$AU,MATCH($AA$1,'Data qoq'!$A$1:$AU$1,),))/100+1)^4)-1</f>
        <v/>
      </c>
      <c r="AC94" s="26">
        <f>B94</f>
        <v/>
      </c>
      <c r="AD94" s="31">
        <f>(VLOOKUP(AC94,B:Y,MATCH($AE$6,$B$1:$Y$1,),))-(VLOOKUP(AC94,B:Y,MATCH($AE$7,$B$1:$Y$1,),))</f>
        <v/>
      </c>
    </row>
    <row r="95" customFormat="1" s="74">
      <c r="A95" s="30" t="n">
        <v>44256</v>
      </c>
      <c r="B95" s="24" t="inlineStr">
        <is>
          <t>2021-Q1</t>
        </is>
      </c>
      <c r="C95" s="32">
        <f>(((VLOOKUP(B95,'Data qoq'!$A:$AT,MATCH($C$1,'Data qoq'!$A$1:$AT$1,),))/100+1)^4)-1</f>
        <v/>
      </c>
      <c r="D95" s="32">
        <f>(((VLOOKUP(B95,'Data qoq'!$A:$AT,MATCH($D$1,'Data qoq'!$A$1:$AT$1,),))/100+1)^4)-1</f>
        <v/>
      </c>
      <c r="E95" s="32">
        <f>(((VLOOKUP(B95,'Data qoq'!$A:$AT,MATCH($E$1,'Data qoq'!$A$1:$AT$1,),))/100+1)^4)-1</f>
        <v/>
      </c>
      <c r="F95" s="32">
        <f>(((VLOOKUP(B95,'Data qoq'!$A:$AT,MATCH($F$1,'Data qoq'!$A$1:$AT$1,),))/100+1)^4)-1</f>
        <v/>
      </c>
      <c r="G95" s="32">
        <f>(((VLOOKUP(B95,'Data qoq'!$A:$AT,MATCH($G$1,'Data qoq'!$A$1:$AT$1,),))/100+1)^4)-1</f>
        <v/>
      </c>
      <c r="H95" s="32">
        <f>(((VLOOKUP(B95,'Data qoq'!$A:$AT,MATCH($H$1,'Data qoq'!$A$1:$AT$1,),))/100+1)^4)-1</f>
        <v/>
      </c>
      <c r="I95" s="32">
        <f>(((VLOOKUP(B95,'Data qoq'!$A:$AT,MATCH($I$1,'Data qoq'!$A$1:$AT$1,),))/100+1)^4)-1</f>
        <v/>
      </c>
      <c r="J95" s="32">
        <f>(((VLOOKUP(B95,'Data qoq'!$A:$AT,MATCH($J$1,'Data qoq'!$A$1:$AT$1,),))/100+1)^4)-1</f>
        <v/>
      </c>
      <c r="K95" s="32">
        <f>(((VLOOKUP(B95,'Data qoq'!$A:$AT,MATCH($K$1,'Data qoq'!$A$1:$AT$1,),))/100+1)^4)-1</f>
        <v/>
      </c>
      <c r="L95" s="32">
        <f>(((VLOOKUP(B95,'Data qoq'!$A:$AT,MATCH($L$1,'Data qoq'!$A$1:$AT$1,),))/100+1)^4)-1</f>
        <v/>
      </c>
      <c r="M95" s="32">
        <f>(((VLOOKUP(B95,'Data qoq'!$A:$AT,MATCH($M$1,'Data qoq'!$A$1:$AT$1,),))/100+1)^4)-1</f>
        <v/>
      </c>
      <c r="N95" s="32">
        <f>(((VLOOKUP(B95,'Data qoq'!$A:$AT,MATCH($N$1,'Data qoq'!$A$1:$AT$1,),))/100+1)^4)-1</f>
        <v/>
      </c>
      <c r="O95" s="32">
        <f>(((VLOOKUP(B95,'Data qoq'!$A:$AT,MATCH($O$1,'Data qoq'!$A$1:$AT$1,),))/100+1)^4)-1</f>
        <v/>
      </c>
      <c r="P95" s="32">
        <f>(((VLOOKUP(B95,'Data qoq'!$A:$AT,MATCH($P$1,'Data qoq'!$A$1:$AT$1,),))/100+1)^4)-1</f>
        <v/>
      </c>
      <c r="Q95" s="32">
        <f>(((VLOOKUP(B95,'Data qoq'!$A:$AT,MATCH($Q$1,'Data qoq'!$A$1:$AT$1,),))/100+1)^4)-1</f>
        <v/>
      </c>
      <c r="R95" s="32">
        <f>(((VLOOKUP(B95,'Data qoq'!$A:$AT,MATCH($R$1,'Data qoq'!$A$1:$AT$1,),))/100+1)^4)-1</f>
        <v/>
      </c>
      <c r="S95" s="32">
        <f>(((VLOOKUP(B95,'Data qoq'!$A:$AT,MATCH($S$1,'Data qoq'!$A$1:$AT$1,),))/100+1)^4)-1</f>
        <v/>
      </c>
      <c r="T95" s="32">
        <f>(((VLOOKUP(B95,'Data qoq'!$A:$AT,MATCH($T$1,'Data qoq'!$A$1:$AT$1,),))/100+1)^4)-1</f>
        <v/>
      </c>
      <c r="U95" s="32">
        <f>(((VLOOKUP(B95,'Data qoq'!$A:$AT,MATCH($U$1,'Data qoq'!$A$1:$AT$1,),))/100+1)^4)-1</f>
        <v/>
      </c>
      <c r="V95" s="32">
        <f>(((VLOOKUP(B95,'Data qoq'!$A:$AT,MATCH($V$1,'Data qoq'!$A$1:$AT$1,),))/100+1)^4)-1</f>
        <v/>
      </c>
      <c r="W95" s="32">
        <f>(((VLOOKUP(B95,'Data qoq'!$A:$AT,MATCH($W$1,'Data qoq'!$A$1:$AT$1,),))/100+1)^4)-1</f>
        <v/>
      </c>
      <c r="X95" s="32">
        <f>(((VLOOKUP(B95,'Data qoq'!$A:$AT,MATCH($X$1,'Data qoq'!$A$1:$AT$1,),))/100+1)^4)-1</f>
        <v/>
      </c>
      <c r="Y95" s="32">
        <f>(((VLOOKUP(B95,'Data qoq'!$A:$AT,MATCH($Y$1,'Data qoq'!$A$1:$AT$1,),))/100+1)^4)-1</f>
        <v/>
      </c>
      <c r="Z95" s="32">
        <f>(((VLOOKUP(B95,'Data qoq'!$A:$AU,MATCH($Z$1,'Data qoq'!$A$1:$AU$1,),))/100+1)^4)-1</f>
        <v/>
      </c>
      <c r="AA95" s="32">
        <f>(((VLOOKUP(B95,'Data qoq'!$A:$AU,MATCH($AA$1,'Data qoq'!$A$1:$AU$1,),))/100+1)^4)-1</f>
        <v/>
      </c>
      <c r="AC95" s="26">
        <f>B95</f>
        <v/>
      </c>
      <c r="AD95" s="31">
        <f>(VLOOKUP(AC95,B:Y,MATCH($AE$6,$B$1:$Y$1,),))-(VLOOKUP(AC95,B:Y,MATCH($AE$7,$B$1:$Y$1,),))</f>
        <v/>
      </c>
    </row>
    <row r="96" customFormat="1" s="74">
      <c r="A96" s="30" t="n">
        <v>44348</v>
      </c>
      <c r="B96" s="24" t="inlineStr">
        <is>
          <t>2021-Q2</t>
        </is>
      </c>
      <c r="C96" s="32">
        <f>(((VLOOKUP(B96,'Data qoq'!$A:$AT,MATCH($C$1,'Data qoq'!$A$1:$AT$1,),))/100+1)^4)-1</f>
        <v/>
      </c>
      <c r="D96" s="32">
        <f>(((VLOOKUP(B96,'Data qoq'!$A:$AT,MATCH($D$1,'Data qoq'!$A$1:$AT$1,),))/100+1)^4)-1</f>
        <v/>
      </c>
      <c r="E96" s="32">
        <f>(((VLOOKUP(B96,'Data qoq'!$A:$AT,MATCH($E$1,'Data qoq'!$A$1:$AT$1,),))/100+1)^4)-1</f>
        <v/>
      </c>
      <c r="F96" s="32">
        <f>(((VLOOKUP(B96,'Data qoq'!$A:$AT,MATCH($F$1,'Data qoq'!$A$1:$AT$1,),))/100+1)^4)-1</f>
        <v/>
      </c>
      <c r="G96" s="32">
        <f>(((VLOOKUP(B96,'Data qoq'!$A:$AT,MATCH($G$1,'Data qoq'!$A$1:$AT$1,),))/100+1)^4)-1</f>
        <v/>
      </c>
      <c r="H96" s="32">
        <f>(((VLOOKUP(B96,'Data qoq'!$A:$AT,MATCH($H$1,'Data qoq'!$A$1:$AT$1,),))/100+1)^4)-1</f>
        <v/>
      </c>
      <c r="I96" s="32">
        <f>(((VLOOKUP(B96,'Data qoq'!$A:$AT,MATCH($I$1,'Data qoq'!$A$1:$AT$1,),))/100+1)^4)-1</f>
        <v/>
      </c>
      <c r="J96" s="32">
        <f>(((VLOOKUP(B96,'Data qoq'!$A:$AT,MATCH($J$1,'Data qoq'!$A$1:$AT$1,),))/100+1)^4)-1</f>
        <v/>
      </c>
      <c r="K96" s="32">
        <f>(((VLOOKUP(B96,'Data qoq'!$A:$AT,MATCH($K$1,'Data qoq'!$A$1:$AT$1,),))/100+1)^4)-1</f>
        <v/>
      </c>
      <c r="L96" s="32">
        <f>(((VLOOKUP(B96,'Data qoq'!$A:$AT,MATCH($L$1,'Data qoq'!$A$1:$AT$1,),))/100+1)^4)-1</f>
        <v/>
      </c>
      <c r="M96" s="32">
        <f>(((VLOOKUP(B96,'Data qoq'!$A:$AT,MATCH($M$1,'Data qoq'!$A$1:$AT$1,),))/100+1)^4)-1</f>
        <v/>
      </c>
      <c r="N96" s="32">
        <f>(((VLOOKUP(B96,'Data qoq'!$A:$AT,MATCH($N$1,'Data qoq'!$A$1:$AT$1,),))/100+1)^4)-1</f>
        <v/>
      </c>
      <c r="O96" s="32">
        <f>(((VLOOKUP(B96,'Data qoq'!$A:$AT,MATCH($O$1,'Data qoq'!$A$1:$AT$1,),))/100+1)^4)-1</f>
        <v/>
      </c>
      <c r="P96" s="32">
        <f>(((VLOOKUP(B96,'Data qoq'!$A:$AT,MATCH($P$1,'Data qoq'!$A$1:$AT$1,),))/100+1)^4)-1</f>
        <v/>
      </c>
      <c r="Q96" s="32">
        <f>(((VLOOKUP(B96,'Data qoq'!$A:$AT,MATCH($Q$1,'Data qoq'!$A$1:$AT$1,),))/100+1)^4)-1</f>
        <v/>
      </c>
      <c r="R96" s="32">
        <f>(((VLOOKUP(B96,'Data qoq'!$A:$AT,MATCH($R$1,'Data qoq'!$A$1:$AT$1,),))/100+1)^4)-1</f>
        <v/>
      </c>
      <c r="S96" s="32">
        <f>(((VLOOKUP(B96,'Data qoq'!$A:$AT,MATCH($S$1,'Data qoq'!$A$1:$AT$1,),))/100+1)^4)-1</f>
        <v/>
      </c>
      <c r="T96" s="32">
        <f>(((VLOOKUP(B96,'Data qoq'!$A:$AT,MATCH($T$1,'Data qoq'!$A$1:$AT$1,),))/100+1)^4)-1</f>
        <v/>
      </c>
      <c r="U96" s="32">
        <f>(((VLOOKUP(B96,'Data qoq'!$A:$AT,MATCH($U$1,'Data qoq'!$A$1:$AT$1,),))/100+1)^4)-1</f>
        <v/>
      </c>
      <c r="V96" s="32">
        <f>(((VLOOKUP(B96,'Data qoq'!$A:$AT,MATCH($V$1,'Data qoq'!$A$1:$AT$1,),))/100+1)^4)-1</f>
        <v/>
      </c>
      <c r="W96" s="32">
        <f>(((VLOOKUP(B96,'Data qoq'!$A:$AT,MATCH($W$1,'Data qoq'!$A$1:$AT$1,),))/100+1)^4)-1</f>
        <v/>
      </c>
      <c r="X96" s="32">
        <f>(((VLOOKUP(B96,'Data qoq'!$A:$AT,MATCH($X$1,'Data qoq'!$A$1:$AT$1,),))/100+1)^4)-1</f>
        <v/>
      </c>
      <c r="Y96" s="32">
        <f>(((VLOOKUP(B96,'Data qoq'!$A:$AT,MATCH($Y$1,'Data qoq'!$A$1:$AT$1,),))/100+1)^4)-1</f>
        <v/>
      </c>
      <c r="Z96" s="32">
        <f>(((VLOOKUP(B96,'Data qoq'!$A:$AU,MATCH($Z$1,'Data qoq'!$A$1:$AU$1,),))/100+1)^4)-1</f>
        <v/>
      </c>
      <c r="AA96" s="32">
        <f>(((VLOOKUP(B96,'Data qoq'!$A:$AU,MATCH($AA$1,'Data qoq'!$A$1:$AU$1,),))/100+1)^4)-1</f>
        <v/>
      </c>
      <c r="AC96" s="26">
        <f>B96</f>
        <v/>
      </c>
      <c r="AD96" s="31">
        <f>(VLOOKUP(AC96,B:Y,MATCH($AE$6,$B$1:$Y$1,),))-(VLOOKUP(AC96,B:Y,MATCH($AE$7,$B$1:$Y$1,),))</f>
        <v/>
      </c>
    </row>
    <row r="97" customFormat="1" s="74">
      <c r="A97" s="30" t="n">
        <v>44440</v>
      </c>
      <c r="B97" s="24" t="inlineStr">
        <is>
          <t>2021-Q3</t>
        </is>
      </c>
      <c r="C97" s="32">
        <f>(((VLOOKUP(B97,'Data qoq'!$A:$AT,MATCH($C$1,'Data qoq'!$A$1:$AT$1,),))/100+1)^4)-1</f>
        <v/>
      </c>
      <c r="D97" s="32">
        <f>(((VLOOKUP(B97,'Data qoq'!$A:$AT,MATCH($D$1,'Data qoq'!$A$1:$AT$1,),))/100+1)^4)-1</f>
        <v/>
      </c>
      <c r="E97" s="32">
        <f>(((VLOOKUP(B97,'Data qoq'!$A:$AT,MATCH($E$1,'Data qoq'!$A$1:$AT$1,),))/100+1)^4)-1</f>
        <v/>
      </c>
      <c r="F97" s="32">
        <f>(((VLOOKUP(B97,'Data qoq'!$A:$AT,MATCH($F$1,'Data qoq'!$A$1:$AT$1,),))/100+1)^4)-1</f>
        <v/>
      </c>
      <c r="G97" s="32">
        <f>(((VLOOKUP(B97,'Data qoq'!$A:$AT,MATCH($G$1,'Data qoq'!$A$1:$AT$1,),))/100+1)^4)-1</f>
        <v/>
      </c>
      <c r="H97" s="32">
        <f>(((VLOOKUP(B97,'Data qoq'!$A:$AT,MATCH($H$1,'Data qoq'!$A$1:$AT$1,),))/100+1)^4)-1</f>
        <v/>
      </c>
      <c r="I97" s="32">
        <f>(((VLOOKUP(B97,'Data qoq'!$A:$AT,MATCH($I$1,'Data qoq'!$A$1:$AT$1,),))/100+1)^4)-1</f>
        <v/>
      </c>
      <c r="J97" s="32">
        <f>(((VLOOKUP(B97,'Data qoq'!$A:$AT,MATCH($J$1,'Data qoq'!$A$1:$AT$1,),))/100+1)^4)-1</f>
        <v/>
      </c>
      <c r="K97" s="32">
        <f>(((VLOOKUP(B97,'Data qoq'!$A:$AT,MATCH($K$1,'Data qoq'!$A$1:$AT$1,),))/100+1)^4)-1</f>
        <v/>
      </c>
      <c r="L97" s="32">
        <f>(((VLOOKUP(B97,'Data qoq'!$A:$AT,MATCH($L$1,'Data qoq'!$A$1:$AT$1,),))/100+1)^4)-1</f>
        <v/>
      </c>
      <c r="M97" s="32">
        <f>(((VLOOKUP(B97,'Data qoq'!$A:$AT,MATCH($M$1,'Data qoq'!$A$1:$AT$1,),))/100+1)^4)-1</f>
        <v/>
      </c>
      <c r="N97" s="32">
        <f>(((VLOOKUP(B97,'Data qoq'!$A:$AT,MATCH($N$1,'Data qoq'!$A$1:$AT$1,),))/100+1)^4)-1</f>
        <v/>
      </c>
      <c r="O97" s="32">
        <f>(((VLOOKUP(B97,'Data qoq'!$A:$AT,MATCH($O$1,'Data qoq'!$A$1:$AT$1,),))/100+1)^4)-1</f>
        <v/>
      </c>
      <c r="P97" s="32">
        <f>(((VLOOKUP(B97,'Data qoq'!$A:$AT,MATCH($P$1,'Data qoq'!$A$1:$AT$1,),))/100+1)^4)-1</f>
        <v/>
      </c>
      <c r="Q97" s="32">
        <f>(((VLOOKUP(B97,'Data qoq'!$A:$AT,MATCH($Q$1,'Data qoq'!$A$1:$AT$1,),))/100+1)^4)-1</f>
        <v/>
      </c>
      <c r="R97" s="32">
        <f>(((VLOOKUP(B97,'Data qoq'!$A:$AT,MATCH($R$1,'Data qoq'!$A$1:$AT$1,),))/100+1)^4)-1</f>
        <v/>
      </c>
      <c r="S97" s="32">
        <f>(((VLOOKUP(B97,'Data qoq'!$A:$AT,MATCH($S$1,'Data qoq'!$A$1:$AT$1,),))/100+1)^4)-1</f>
        <v/>
      </c>
      <c r="T97" s="32">
        <f>(((VLOOKUP(B97,'Data qoq'!$A:$AT,MATCH($T$1,'Data qoq'!$A$1:$AT$1,),))/100+1)^4)-1</f>
        <v/>
      </c>
      <c r="U97" s="32">
        <f>(((VLOOKUP(B97,'Data qoq'!$A:$AT,MATCH($U$1,'Data qoq'!$A$1:$AT$1,),))/100+1)^4)-1</f>
        <v/>
      </c>
      <c r="V97" s="32">
        <f>(((VLOOKUP(B97,'Data qoq'!$A:$AT,MATCH($V$1,'Data qoq'!$A$1:$AT$1,),))/100+1)^4)-1</f>
        <v/>
      </c>
      <c r="W97" s="32">
        <f>(((VLOOKUP(B97,'Data qoq'!$A:$AT,MATCH($W$1,'Data qoq'!$A$1:$AT$1,),))/100+1)^4)-1</f>
        <v/>
      </c>
      <c r="X97" s="32">
        <f>(((VLOOKUP(B97,'Data qoq'!$A:$AT,MATCH($X$1,'Data qoq'!$A$1:$AT$1,),))/100+1)^4)-1</f>
        <v/>
      </c>
      <c r="Y97" s="32">
        <f>(((VLOOKUP(B97,'Data qoq'!$A:$AT,MATCH($Y$1,'Data qoq'!$A$1:$AT$1,),))/100+1)^4)-1</f>
        <v/>
      </c>
      <c r="Z97" s="32">
        <f>(((VLOOKUP(B97,'Data qoq'!$A:$AU,MATCH($Z$1,'Data qoq'!$A$1:$AU$1,),))/100+1)^4)-1</f>
        <v/>
      </c>
      <c r="AA97" s="32">
        <f>(((VLOOKUP(B97,'Data qoq'!$A:$AU,MATCH($AA$1,'Data qoq'!$A$1:$AU$1,),))/100+1)^4)-1</f>
        <v/>
      </c>
      <c r="AC97" s="26">
        <f>B97</f>
        <v/>
      </c>
      <c r="AD97" s="31">
        <f>(VLOOKUP(AC97,B:Y,MATCH($AE$6,$B$1:$Y$1,),))-(VLOOKUP(AC97,B:Y,MATCH($AE$7,$B$1:$Y$1,),))</f>
        <v/>
      </c>
    </row>
    <row r="98" customFormat="1" s="74">
      <c r="A98" s="30" t="n">
        <v>44531</v>
      </c>
      <c r="B98" s="24" t="inlineStr">
        <is>
          <t>2021-Q4</t>
        </is>
      </c>
      <c r="C98" s="32">
        <f>(((VLOOKUP(B98,'Data qoq'!$A:$AT,MATCH($C$1,'Data qoq'!$A$1:$AT$1,),))/100+1)^4)-1</f>
        <v/>
      </c>
      <c r="D98" s="32">
        <f>(((VLOOKUP(B98,'Data qoq'!$A:$AT,MATCH($D$1,'Data qoq'!$A$1:$AT$1,),))/100+1)^4)-1</f>
        <v/>
      </c>
      <c r="E98" s="32">
        <f>(((VLOOKUP(B98,'Data qoq'!$A:$AT,MATCH($E$1,'Data qoq'!$A$1:$AT$1,),))/100+1)^4)-1</f>
        <v/>
      </c>
      <c r="F98" s="32">
        <f>(((VLOOKUP(B98,'Data qoq'!$A:$AT,MATCH($F$1,'Data qoq'!$A$1:$AT$1,),))/100+1)^4)-1</f>
        <v/>
      </c>
      <c r="G98" s="32">
        <f>(((VLOOKUP(B98,'Data qoq'!$A:$AT,MATCH($G$1,'Data qoq'!$A$1:$AT$1,),))/100+1)^4)-1</f>
        <v/>
      </c>
      <c r="H98" s="32">
        <f>(((VLOOKUP(B98,'Data qoq'!$A:$AT,MATCH($H$1,'Data qoq'!$A$1:$AT$1,),))/100+1)^4)-1</f>
        <v/>
      </c>
      <c r="I98" s="32">
        <f>(((VLOOKUP(B98,'Data qoq'!$A:$AT,MATCH($I$1,'Data qoq'!$A$1:$AT$1,),))/100+1)^4)-1</f>
        <v/>
      </c>
      <c r="J98" s="32">
        <f>(((VLOOKUP(B98,'Data qoq'!$A:$AT,MATCH($J$1,'Data qoq'!$A$1:$AT$1,),))/100+1)^4)-1</f>
        <v/>
      </c>
      <c r="K98" s="32">
        <f>(((VLOOKUP(B98,'Data qoq'!$A:$AT,MATCH($K$1,'Data qoq'!$A$1:$AT$1,),))/100+1)^4)-1</f>
        <v/>
      </c>
      <c r="L98" s="32">
        <f>(((VLOOKUP(B98,'Data qoq'!$A:$AT,MATCH($L$1,'Data qoq'!$A$1:$AT$1,),))/100+1)^4)-1</f>
        <v/>
      </c>
      <c r="M98" s="32">
        <f>(((VLOOKUP(B98,'Data qoq'!$A:$AT,MATCH($M$1,'Data qoq'!$A$1:$AT$1,),))/100+1)^4)-1</f>
        <v/>
      </c>
      <c r="N98" s="32">
        <f>(((VLOOKUP(B98,'Data qoq'!$A:$AT,MATCH($N$1,'Data qoq'!$A$1:$AT$1,),))/100+1)^4)-1</f>
        <v/>
      </c>
      <c r="O98" s="32">
        <f>(((VLOOKUP(B98,'Data qoq'!$A:$AT,MATCH($O$1,'Data qoq'!$A$1:$AT$1,),))/100+1)^4)-1</f>
        <v/>
      </c>
      <c r="P98" s="32">
        <f>(((VLOOKUP(B98,'Data qoq'!$A:$AT,MATCH($P$1,'Data qoq'!$A$1:$AT$1,),))/100+1)^4)-1</f>
        <v/>
      </c>
      <c r="Q98" s="32">
        <f>(((VLOOKUP(B98,'Data qoq'!$A:$AT,MATCH($Q$1,'Data qoq'!$A$1:$AT$1,),))/100+1)^4)-1</f>
        <v/>
      </c>
      <c r="R98" s="32">
        <f>(((VLOOKUP(B98,'Data qoq'!$A:$AT,MATCH($R$1,'Data qoq'!$A$1:$AT$1,),))/100+1)^4)-1</f>
        <v/>
      </c>
      <c r="S98" s="32">
        <f>(((VLOOKUP(B98,'Data qoq'!$A:$AT,MATCH($S$1,'Data qoq'!$A$1:$AT$1,),))/100+1)^4)-1</f>
        <v/>
      </c>
      <c r="T98" s="32">
        <f>(((VLOOKUP(B98,'Data qoq'!$A:$AT,MATCH($T$1,'Data qoq'!$A$1:$AT$1,),))/100+1)^4)-1</f>
        <v/>
      </c>
      <c r="U98" s="32">
        <f>(((VLOOKUP(B98,'Data qoq'!$A:$AT,MATCH($U$1,'Data qoq'!$A$1:$AT$1,),))/100+1)^4)-1</f>
        <v/>
      </c>
      <c r="V98" s="32">
        <f>(((VLOOKUP(B98,'Data qoq'!$A:$AT,MATCH($V$1,'Data qoq'!$A$1:$AT$1,),))/100+1)^4)-1</f>
        <v/>
      </c>
      <c r="W98" s="32">
        <f>(((VLOOKUP(B98,'Data qoq'!$A:$AT,MATCH($W$1,'Data qoq'!$A$1:$AT$1,),))/100+1)^4)-1</f>
        <v/>
      </c>
      <c r="X98" s="32">
        <f>(((VLOOKUP(B98,'Data qoq'!$A:$AT,MATCH($X$1,'Data qoq'!$A$1:$AT$1,),))/100+1)^4)-1</f>
        <v/>
      </c>
      <c r="Y98" s="32">
        <f>(((VLOOKUP(B98,'Data qoq'!$A:$AT,MATCH($Y$1,'Data qoq'!$A$1:$AT$1,),))/100+1)^4)-1</f>
        <v/>
      </c>
      <c r="Z98" s="32">
        <f>(((VLOOKUP(B98,'Data qoq'!$A:$AU,MATCH($Z$1,'Data qoq'!$A$1:$AU$1,),))/100+1)^4)-1</f>
        <v/>
      </c>
      <c r="AA98" s="32">
        <f>(((VLOOKUP(B98,'Data qoq'!$A:$AU,MATCH($AA$1,'Data qoq'!$A$1:$AU$1,),))/100+1)^4)-1</f>
        <v/>
      </c>
      <c r="AC98" s="26">
        <f>B98</f>
        <v/>
      </c>
      <c r="AD98" s="31">
        <f>(VLOOKUP(AC98,B:Y,MATCH($AE$6,$B$1:$Y$1,),))-(VLOOKUP(AC98,B:Y,MATCH($AE$7,$B$1:$Y$1,),))</f>
        <v/>
      </c>
    </row>
    <row r="99" customFormat="1" s="74"/>
    <row r="100" customFormat="1" s="74"/>
    <row r="101" customFormat="1" s="74"/>
    <row r="102" customFormat="1" s="74"/>
    <row r="103" customFormat="1" s="74"/>
    <row r="104" customFormat="1" s="74"/>
    <row r="105" customFormat="1" s="74"/>
    <row r="106" customFormat="1" s="74"/>
    <row r="107" customFormat="1" s="74"/>
    <row r="108" customFormat="1" s="74"/>
    <row r="109" customFormat="1" s="74"/>
    <row r="110" customFormat="1" s="74"/>
    <row r="111" customFormat="1" s="74"/>
    <row r="112" customFormat="1" s="74"/>
    <row r="113" customFormat="1" s="74"/>
    <row r="114" customFormat="1" s="74"/>
    <row r="115" customFormat="1" s="74"/>
    <row r="116" customFormat="1" s="74"/>
    <row r="117" customFormat="1" s="74"/>
    <row r="118" customFormat="1" s="74"/>
    <row r="119" customFormat="1" s="74"/>
    <row r="120" customFormat="1" s="74"/>
    <row r="121" customFormat="1" s="74"/>
    <row r="122" customFormat="1" s="74"/>
    <row r="123" customFormat="1" s="74"/>
    <row r="124" customFormat="1" s="74"/>
    <row r="125" customFormat="1" s="74"/>
    <row r="126" customFormat="1" s="74"/>
    <row r="127" customFormat="1" s="74"/>
    <row r="128" customFormat="1" s="74"/>
    <row r="129" customFormat="1" s="74"/>
    <row r="130" customFormat="1" s="74"/>
    <row r="131" customFormat="1" s="74"/>
    <row r="132" customFormat="1" s="74"/>
    <row r="133" customFormat="1" s="74"/>
    <row r="134" customFormat="1" s="74"/>
    <row r="135" customFormat="1" s="74"/>
    <row r="136" customFormat="1" s="74"/>
    <row r="137" customFormat="1" s="74"/>
    <row r="138" customFormat="1" s="74"/>
    <row r="139" customFormat="1" s="74"/>
    <row r="140" customFormat="1" s="74"/>
    <row r="141" customFormat="1" s="74"/>
    <row r="142" customFormat="1" s="74"/>
    <row r="143" customFormat="1" s="74"/>
    <row r="144" customFormat="1" s="74"/>
    <row r="145" customFormat="1" s="74"/>
    <row r="146" customFormat="1" s="74"/>
    <row r="147" customFormat="1" s="74"/>
    <row r="148" customFormat="1" s="74"/>
    <row r="149" customFormat="1" s="74"/>
    <row r="150" customFormat="1" s="74"/>
    <row r="151" customFormat="1" s="74"/>
    <row r="152" customFormat="1" s="74"/>
    <row r="153" customFormat="1" s="74"/>
    <row r="154" customFormat="1" s="74"/>
    <row r="155" customFormat="1" s="74"/>
    <row r="156" customFormat="1" s="74"/>
    <row r="157" customFormat="1" s="74"/>
    <row r="158" customFormat="1" s="74"/>
    <row r="159" customFormat="1" s="74"/>
    <row r="160" customFormat="1" s="74"/>
    <row r="161" customFormat="1" s="74"/>
    <row r="162" customFormat="1" s="74"/>
    <row r="163" customFormat="1" s="74"/>
    <row r="164" customFormat="1" s="74"/>
    <row r="165" customFormat="1" s="74"/>
    <row r="166" customFormat="1" s="74"/>
    <row r="167" customFormat="1" s="74"/>
    <row r="168" customFormat="1" s="74"/>
    <row r="169" customFormat="1" s="74"/>
    <row r="170" customFormat="1" s="74"/>
    <row r="171" customFormat="1" s="74"/>
    <row r="172" customFormat="1" s="74"/>
    <row r="173" customFormat="1" s="74"/>
    <row r="174" customFormat="1" s="74"/>
    <row r="175" customFormat="1" s="74"/>
    <row r="176" customFormat="1" s="74"/>
    <row r="177" customFormat="1" s="74"/>
    <row r="178" customFormat="1" s="74"/>
    <row r="179" customFormat="1" s="74"/>
    <row r="180" customFormat="1" s="74"/>
    <row r="181" customFormat="1" s="74"/>
    <row r="182" customFormat="1" s="74"/>
    <row r="183" customFormat="1" s="74"/>
    <row r="184" customFormat="1" s="74"/>
    <row r="185" customFormat="1" s="74"/>
    <row r="186" customFormat="1" s="74"/>
    <row r="187" customFormat="1" s="74"/>
    <row r="188" customFormat="1" s="74"/>
    <row r="189" customFormat="1" s="74"/>
    <row r="190" customFormat="1" s="74"/>
    <row r="191" customFormat="1" s="74"/>
    <row r="192" customFormat="1" s="74"/>
    <row r="193" customFormat="1" s="74"/>
    <row r="194" customFormat="1" s="74"/>
    <row r="195" customFormat="1" s="74"/>
    <row r="196" customFormat="1" s="74"/>
    <row r="197" customFormat="1" s="74"/>
    <row r="198" customFormat="1" s="74"/>
    <row r="199" customFormat="1" s="74"/>
    <row r="200" customFormat="1" s="74"/>
    <row r="201" customFormat="1" s="74"/>
    <row r="202" customFormat="1" s="74"/>
    <row r="203" customFormat="1" s="74"/>
    <row r="204" customFormat="1" s="74"/>
    <row r="205" customFormat="1" s="74"/>
    <row r="206" customFormat="1" s="74"/>
    <row r="207" customFormat="1" s="74"/>
    <row r="208" customFormat="1" s="74"/>
    <row r="209" customFormat="1" s="74"/>
    <row r="210" customFormat="1" s="74"/>
    <row r="211" customFormat="1" s="74"/>
    <row r="212" customFormat="1" s="74"/>
    <row r="213" customFormat="1" s="74"/>
    <row r="214" customFormat="1" s="74"/>
    <row r="215" customFormat="1" s="74"/>
    <row r="216" customFormat="1" s="74"/>
    <row r="217" customFormat="1" s="74"/>
    <row r="218" customFormat="1" s="74"/>
    <row r="219" customFormat="1" s="74"/>
    <row r="220" customFormat="1" s="74"/>
    <row r="221" customFormat="1" s="74"/>
    <row r="222" customFormat="1" s="74"/>
    <row r="223" customFormat="1" s="74"/>
    <row r="224" customFormat="1" s="74"/>
    <row r="225" customFormat="1" s="74"/>
    <row r="226" customFormat="1" s="74"/>
    <row r="227" customFormat="1" s="74"/>
    <row r="228" customFormat="1" s="74"/>
    <row r="229" customFormat="1" s="74"/>
    <row r="230" customFormat="1" s="74"/>
    <row r="231" customFormat="1" s="74"/>
    <row r="232" customFormat="1" s="74"/>
    <row r="233" customFormat="1" s="74"/>
    <row r="234" customFormat="1" s="74"/>
    <row r="235" customFormat="1" s="74"/>
    <row r="236" customFormat="1" s="74"/>
    <row r="237" customFormat="1" s="74"/>
    <row r="238" customFormat="1" s="74"/>
    <row r="239" customFormat="1" s="74"/>
    <row r="240" customFormat="1" s="74"/>
    <row r="241" customFormat="1" s="74"/>
    <row r="242" customFormat="1" s="74"/>
    <row r="243" customFormat="1" s="74"/>
    <row r="244" customFormat="1" s="74"/>
    <row r="245" customFormat="1" s="74"/>
    <row r="246" customFormat="1" s="74"/>
    <row r="247" customFormat="1" s="74"/>
    <row r="248" customFormat="1" s="74"/>
    <row r="249" customFormat="1" s="74"/>
    <row r="250" customFormat="1" s="74"/>
    <row r="251" customFormat="1" s="74"/>
    <row r="252" customFormat="1" s="74"/>
    <row r="253" customFormat="1" s="74"/>
    <row r="254" customFormat="1" s="74"/>
    <row r="255" customFormat="1" s="74"/>
    <row r="256" customFormat="1" s="74"/>
    <row r="257" customFormat="1" s="74"/>
    <row r="258" customFormat="1" s="74"/>
    <row r="259" customFormat="1" s="74"/>
    <row r="260" customFormat="1" s="74"/>
    <row r="261" customFormat="1" s="74"/>
    <row r="262" customFormat="1" s="74"/>
    <row r="263" customFormat="1" s="74"/>
    <row r="264" customFormat="1" s="74"/>
    <row r="265" customFormat="1" s="74"/>
    <row r="266" customFormat="1" s="74"/>
    <row r="267" customFormat="1" s="74"/>
    <row r="268" customFormat="1" s="74"/>
    <row r="269" customFormat="1" s="74"/>
    <row r="270" customFormat="1" s="74"/>
    <row r="271" customFormat="1" s="74"/>
    <row r="272" customFormat="1" s="74"/>
    <row r="273" customFormat="1" s="74"/>
    <row r="274" customFormat="1" s="74"/>
    <row r="275" customFormat="1" s="74"/>
    <row r="276" customFormat="1" s="74"/>
    <row r="277" customFormat="1" s="74"/>
    <row r="278" customFormat="1" s="74"/>
    <row r="279" customFormat="1" s="74"/>
    <row r="280" customFormat="1" s="74"/>
    <row r="281" customFormat="1" s="74"/>
    <row r="282" customFormat="1" s="74"/>
    <row r="283" customFormat="1" s="74"/>
    <row r="284" customFormat="1" s="74"/>
    <row r="285" customFormat="1" s="74"/>
    <row r="286" customFormat="1" s="74"/>
    <row r="287" customFormat="1" s="74"/>
    <row r="288" customFormat="1" s="74"/>
    <row r="289" customFormat="1" s="74"/>
    <row r="290" customFormat="1" s="74"/>
    <row r="291" customFormat="1" s="74"/>
    <row r="292" customFormat="1" s="74"/>
    <row r="293" customFormat="1" s="74"/>
    <row r="294" customFormat="1" s="74"/>
    <row r="295" customFormat="1" s="74"/>
    <row r="296" customFormat="1" s="74"/>
    <row r="297" customFormat="1" s="74"/>
    <row r="298" customFormat="1" s="74"/>
    <row r="299" customFormat="1" s="74"/>
    <row r="300" customFormat="1" s="74"/>
    <row r="301" customFormat="1" s="74"/>
    <row r="302" customFormat="1" s="74"/>
    <row r="303" customFormat="1" s="74"/>
    <row r="304" customFormat="1" s="74"/>
    <row r="305" customFormat="1" s="74"/>
    <row r="306" customFormat="1" s="74"/>
    <row r="307" customFormat="1" s="74"/>
    <row r="308" customFormat="1" s="74"/>
    <row r="309" customFormat="1" s="74"/>
    <row r="310" customFormat="1" s="74"/>
    <row r="311" customFormat="1" s="74"/>
    <row r="312" customFormat="1" s="74"/>
    <row r="313" customFormat="1" s="74"/>
    <row r="314" customFormat="1" s="74"/>
    <row r="315" customFormat="1" s="74"/>
    <row r="316" customFormat="1" s="74"/>
    <row r="317" customFormat="1" s="74"/>
    <row r="318" customFormat="1" s="74"/>
    <row r="319" customFormat="1" s="74"/>
    <row r="320" customFormat="1" s="74"/>
    <row r="321" customFormat="1" s="74"/>
    <row r="322" customFormat="1" s="74"/>
    <row r="323" customFormat="1" s="74"/>
    <row r="324" customFormat="1" s="74"/>
    <row r="325" customFormat="1" s="74"/>
    <row r="326" customFormat="1" s="74"/>
    <row r="327" customFormat="1" s="74"/>
    <row r="328" customFormat="1" s="74"/>
    <row r="329" customFormat="1" s="74"/>
    <row r="330" customFormat="1" s="74"/>
    <row r="331" customFormat="1" s="74"/>
    <row r="332" customFormat="1" s="74"/>
    <row r="333" customFormat="1" s="74"/>
    <row r="334" customFormat="1" s="74"/>
    <row r="335" customFormat="1" s="74"/>
    <row r="336" customFormat="1" s="74"/>
    <row r="337" customFormat="1" s="74"/>
    <row r="338" customFormat="1" s="74"/>
    <row r="339" customFormat="1" s="74"/>
    <row r="340" customFormat="1" s="74"/>
    <row r="341" customFormat="1" s="74"/>
    <row r="342" customFormat="1" s="74"/>
    <row r="343" customFormat="1" s="74"/>
    <row r="344" customFormat="1" s="74"/>
    <row r="345" customFormat="1" s="74"/>
    <row r="346" customFormat="1" s="74"/>
    <row r="347" customFormat="1" s="74"/>
    <row r="348" customFormat="1" s="74"/>
    <row r="349" customFormat="1" s="74"/>
    <row r="350" customFormat="1" s="74"/>
    <row r="351" customFormat="1" s="74"/>
    <row r="352" customFormat="1" s="74"/>
    <row r="353" customFormat="1" s="74"/>
    <row r="354" customFormat="1" s="74"/>
    <row r="355" customFormat="1" s="74"/>
    <row r="356" customFormat="1" s="74"/>
    <row r="357" customFormat="1" s="74"/>
    <row r="358" customFormat="1" s="74"/>
    <row r="359" customFormat="1" s="74"/>
    <row r="360" customFormat="1" s="74"/>
    <row r="361" customFormat="1" s="74"/>
    <row r="362" customFormat="1" s="74"/>
    <row r="363" customFormat="1" s="74"/>
    <row r="364" customFormat="1" s="74"/>
    <row r="365" customFormat="1" s="74"/>
    <row r="366" customFormat="1" s="74"/>
    <row r="367" customFormat="1" s="74"/>
    <row r="368" customFormat="1" s="74"/>
    <row r="369" customFormat="1" s="74"/>
    <row r="370" customFormat="1" s="74"/>
    <row r="371" customFormat="1" s="74"/>
    <row r="372" customFormat="1" s="74"/>
    <row r="373" customFormat="1" s="74"/>
    <row r="374" customFormat="1" s="74"/>
    <row r="375" customFormat="1" s="74"/>
    <row r="376" customFormat="1" s="74"/>
    <row r="377" customFormat="1" s="74"/>
  </sheetData>
  <conditionalFormatting sqref="C11:C98">
    <cfRule type="colorScale" priority="26">
      <colorScale>
        <cfvo type="min"/>
        <cfvo type="percentile" val="50"/>
        <cfvo type="max"/>
        <color rgb="FFF8696B"/>
        <color rgb="FFFFEB84"/>
        <color rgb="FF63BE7B"/>
      </colorScale>
    </cfRule>
  </conditionalFormatting>
  <conditionalFormatting sqref="D11:D98">
    <cfRule type="colorScale" priority="27">
      <colorScale>
        <cfvo type="min"/>
        <cfvo type="percentile" val="50"/>
        <cfvo type="max"/>
        <color rgb="FFF8696B"/>
        <color rgb="FFFFEB84"/>
        <color rgb="FF63BE7B"/>
      </colorScale>
    </cfRule>
  </conditionalFormatting>
  <conditionalFormatting sqref="E11:E98">
    <cfRule type="colorScale" priority="28">
      <colorScale>
        <cfvo type="min"/>
        <cfvo type="percentile" val="50"/>
        <cfvo type="max"/>
        <color rgb="FFF8696B"/>
        <color rgb="FFFFEB84"/>
        <color rgb="FF63BE7B"/>
      </colorScale>
    </cfRule>
  </conditionalFormatting>
  <conditionalFormatting sqref="F11:F98">
    <cfRule type="colorScale" priority="29">
      <colorScale>
        <cfvo type="min"/>
        <cfvo type="percentile" val="50"/>
        <cfvo type="max"/>
        <color rgb="FFF8696B"/>
        <color rgb="FFFFEB84"/>
        <color rgb="FF63BE7B"/>
      </colorScale>
    </cfRule>
  </conditionalFormatting>
  <conditionalFormatting sqref="G11:G98">
    <cfRule type="colorScale" priority="30">
      <colorScale>
        <cfvo type="min"/>
        <cfvo type="percentile" val="50"/>
        <cfvo type="max"/>
        <color rgb="FFF8696B"/>
        <color rgb="FFFFEB84"/>
        <color rgb="FF63BE7B"/>
      </colorScale>
    </cfRule>
  </conditionalFormatting>
  <conditionalFormatting sqref="H11:H98">
    <cfRule type="colorScale" priority="31">
      <colorScale>
        <cfvo type="min"/>
        <cfvo type="percentile" val="50"/>
        <cfvo type="max"/>
        <color rgb="FFF8696B"/>
        <color rgb="FFFFEB84"/>
        <color rgb="FF63BE7B"/>
      </colorScale>
    </cfRule>
  </conditionalFormatting>
  <conditionalFormatting sqref="I11:I98">
    <cfRule type="colorScale" priority="32">
      <colorScale>
        <cfvo type="min"/>
        <cfvo type="percentile" val="50"/>
        <cfvo type="max"/>
        <color rgb="FFF8696B"/>
        <color rgb="FFFFEB84"/>
        <color rgb="FF63BE7B"/>
      </colorScale>
    </cfRule>
  </conditionalFormatting>
  <conditionalFormatting sqref="J11:J98">
    <cfRule type="colorScale" priority="33">
      <colorScale>
        <cfvo type="min"/>
        <cfvo type="percentile" val="50"/>
        <cfvo type="max"/>
        <color rgb="FFF8696B"/>
        <color rgb="FFFFEB84"/>
        <color rgb="FF63BE7B"/>
      </colorScale>
    </cfRule>
  </conditionalFormatting>
  <conditionalFormatting sqref="K11:K98">
    <cfRule type="colorScale" priority="34">
      <colorScale>
        <cfvo type="min"/>
        <cfvo type="percentile" val="50"/>
        <cfvo type="max"/>
        <color rgb="FFF8696B"/>
        <color rgb="FFFFEB84"/>
        <color rgb="FF63BE7B"/>
      </colorScale>
    </cfRule>
  </conditionalFormatting>
  <conditionalFormatting sqref="L11:L98">
    <cfRule type="colorScale" priority="35">
      <colorScale>
        <cfvo type="min"/>
        <cfvo type="percentile" val="50"/>
        <cfvo type="max"/>
        <color rgb="FFF8696B"/>
        <color rgb="FFFFEB84"/>
        <color rgb="FF63BE7B"/>
      </colorScale>
    </cfRule>
  </conditionalFormatting>
  <conditionalFormatting sqref="M11:M98">
    <cfRule type="colorScale" priority="36">
      <colorScale>
        <cfvo type="min"/>
        <cfvo type="percentile" val="50"/>
        <cfvo type="max"/>
        <color rgb="FFF8696B"/>
        <color rgb="FFFFEB84"/>
        <color rgb="FF63BE7B"/>
      </colorScale>
    </cfRule>
  </conditionalFormatting>
  <conditionalFormatting sqref="N11:N98">
    <cfRule type="colorScale" priority="37">
      <colorScale>
        <cfvo type="min"/>
        <cfvo type="percentile" val="50"/>
        <cfvo type="max"/>
        <color rgb="FFF8696B"/>
        <color rgb="FFFFEB84"/>
        <color rgb="FF63BE7B"/>
      </colorScale>
    </cfRule>
  </conditionalFormatting>
  <conditionalFormatting sqref="O11:O98">
    <cfRule type="colorScale" priority="38">
      <colorScale>
        <cfvo type="min"/>
        <cfvo type="percentile" val="50"/>
        <cfvo type="max"/>
        <color rgb="FFF8696B"/>
        <color rgb="FFFFEB84"/>
        <color rgb="FF63BE7B"/>
      </colorScale>
    </cfRule>
  </conditionalFormatting>
  <conditionalFormatting sqref="P11:P98">
    <cfRule type="colorScale" priority="39">
      <colorScale>
        <cfvo type="min"/>
        <cfvo type="percentile" val="50"/>
        <cfvo type="max"/>
        <color rgb="FFF8696B"/>
        <color rgb="FFFFEB84"/>
        <color rgb="FF63BE7B"/>
      </colorScale>
    </cfRule>
  </conditionalFormatting>
  <conditionalFormatting sqref="Q11:Q98">
    <cfRule type="colorScale" priority="40">
      <colorScale>
        <cfvo type="min"/>
        <cfvo type="percentile" val="50"/>
        <cfvo type="max"/>
        <color rgb="FFF8696B"/>
        <color rgb="FFFFEB84"/>
        <color rgb="FF63BE7B"/>
      </colorScale>
    </cfRule>
  </conditionalFormatting>
  <conditionalFormatting sqref="R11:R98">
    <cfRule type="colorScale" priority="41">
      <colorScale>
        <cfvo type="min"/>
        <cfvo type="percentile" val="50"/>
        <cfvo type="max"/>
        <color rgb="FFF8696B"/>
        <color rgb="FFFFEB84"/>
        <color rgb="FF63BE7B"/>
      </colorScale>
    </cfRule>
  </conditionalFormatting>
  <conditionalFormatting sqref="S11:S98">
    <cfRule type="colorScale" priority="42">
      <colorScale>
        <cfvo type="min"/>
        <cfvo type="percentile" val="50"/>
        <cfvo type="max"/>
        <color rgb="FFF8696B"/>
        <color rgb="FFFFEB84"/>
        <color rgb="FF63BE7B"/>
      </colorScale>
    </cfRule>
  </conditionalFormatting>
  <conditionalFormatting sqref="T11:T98">
    <cfRule type="colorScale" priority="43">
      <colorScale>
        <cfvo type="min"/>
        <cfvo type="percentile" val="50"/>
        <cfvo type="max"/>
        <color rgb="FFF8696B"/>
        <color rgb="FFFFEB84"/>
        <color rgb="FF63BE7B"/>
      </colorScale>
    </cfRule>
  </conditionalFormatting>
  <conditionalFormatting sqref="U11:U98">
    <cfRule type="colorScale" priority="44">
      <colorScale>
        <cfvo type="min"/>
        <cfvo type="percentile" val="50"/>
        <cfvo type="max"/>
        <color rgb="FFF8696B"/>
        <color rgb="FFFFEB84"/>
        <color rgb="FF63BE7B"/>
      </colorScale>
    </cfRule>
  </conditionalFormatting>
  <conditionalFormatting sqref="V11:V98">
    <cfRule type="colorScale" priority="45">
      <colorScale>
        <cfvo type="min"/>
        <cfvo type="percentile" val="50"/>
        <cfvo type="max"/>
        <color rgb="FFF8696B"/>
        <color rgb="FFFFEB84"/>
        <color rgb="FF63BE7B"/>
      </colorScale>
    </cfRule>
  </conditionalFormatting>
  <conditionalFormatting sqref="W11:W98">
    <cfRule type="colorScale" priority="46">
      <colorScale>
        <cfvo type="min"/>
        <cfvo type="percentile" val="50"/>
        <cfvo type="max"/>
        <color rgb="FFF8696B"/>
        <color rgb="FFFFEB84"/>
        <color rgb="FF63BE7B"/>
      </colorScale>
    </cfRule>
  </conditionalFormatting>
  <conditionalFormatting sqref="X11:X98">
    <cfRule type="colorScale" priority="47">
      <colorScale>
        <cfvo type="min"/>
        <cfvo type="percentile" val="50"/>
        <cfvo type="max"/>
        <color rgb="FFF8696B"/>
        <color rgb="FFFFEB84"/>
        <color rgb="FF63BE7B"/>
      </colorScale>
    </cfRule>
  </conditionalFormatting>
  <conditionalFormatting sqref="Y11:Y98">
    <cfRule type="colorScale" priority="48">
      <colorScale>
        <cfvo type="min"/>
        <cfvo type="percentile" val="50"/>
        <cfvo type="max"/>
        <color rgb="FFF8696B"/>
        <color rgb="FFFFEB84"/>
        <color rgb="FF63BE7B"/>
      </colorScale>
    </cfRule>
  </conditionalFormatting>
  <conditionalFormatting sqref="Z11:Z98">
    <cfRule type="colorScale" priority="49">
      <colorScale>
        <cfvo type="min"/>
        <cfvo type="percentile" val="50"/>
        <cfvo type="max"/>
        <color rgb="FFF8696B"/>
        <color rgb="FFFFEB84"/>
        <color rgb="FF63BE7B"/>
      </colorScale>
    </cfRule>
  </conditionalFormatting>
  <conditionalFormatting sqref="AA11:AA98">
    <cfRule type="colorScale" priority="50">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1">
    <tabColor rgb="FF7030A0"/>
    <outlinePr summaryBelow="1" summaryRight="1"/>
    <pageSetUpPr/>
  </sheetPr>
  <dimension ref="B2:H31"/>
  <sheetViews>
    <sheetView zoomScale="180" zoomScaleNormal="180" workbookViewId="0">
      <selection activeCell="C2" sqref="C2"/>
    </sheetView>
  </sheetViews>
  <sheetFormatPr baseColWidth="10" defaultColWidth="9.1640625" defaultRowHeight="15"/>
  <cols>
    <col width="9.1640625" customWidth="1" style="74" min="1" max="1"/>
    <col width="31.83203125" customWidth="1" style="74" min="2" max="2"/>
    <col width="13.83203125" customWidth="1" style="74" min="3" max="3"/>
    <col width="12.33203125" customWidth="1" style="74" min="4" max="4"/>
    <col width="18.33203125" customWidth="1" style="74" min="5" max="5"/>
    <col width="9.1640625" customWidth="1" style="74" min="6" max="18"/>
    <col width="9.1640625" customWidth="1" style="74" min="19" max="16384"/>
  </cols>
  <sheetData>
    <row r="1" ht="16" customHeight="1" s="68" thickBot="1"/>
    <row r="2" ht="17" customHeight="1" s="68" thickBot="1">
      <c r="B2" s="60" t="inlineStr">
        <is>
          <t>Country Name</t>
        </is>
      </c>
      <c r="C2" s="61" t="inlineStr">
        <is>
          <t>% World GDP</t>
        </is>
      </c>
      <c r="D2" s="60" t="inlineStr">
        <is>
          <t xml:space="preserve">GDP y/y </t>
        </is>
      </c>
      <c r="E2" s="62" t="inlineStr">
        <is>
          <t xml:space="preserve">GDP q/q </t>
        </is>
      </c>
    </row>
    <row r="3" ht="16" customHeight="1" s="68">
      <c r="B3" s="69" t="inlineStr">
        <is>
          <t>United States</t>
        </is>
      </c>
      <c r="C3" s="71">
        <f>VLOOKUP(B3,'Data World GDP'!$A$2:$L$182,2,FALSE)/$C$31</f>
        <v/>
      </c>
      <c r="D3" s="33">
        <f>VLOOKUP(B3,'Data World GDP'!$A$2:$L$182,3,FALSE)</f>
        <v/>
      </c>
      <c r="E3" s="33">
        <f>VLOOKUP(B3,'Data World GDP'!$A$2:$L$182,4,FALSE)</f>
        <v/>
      </c>
    </row>
    <row r="4" ht="16" customHeight="1" s="68">
      <c r="B4" s="69" t="inlineStr">
        <is>
          <t>China</t>
        </is>
      </c>
      <c r="C4" s="71">
        <f>VLOOKUP(B4,'Data World GDP'!$A$2:$L$182,2,FALSE)/$C$31</f>
        <v/>
      </c>
      <c r="D4" s="33">
        <f>VLOOKUP(B4,'Data World GDP'!$A$2:$L$182,3,FALSE)</f>
        <v/>
      </c>
      <c r="E4" s="33">
        <f>VLOOKUP(B4,'Data World GDP'!$A$2:$L$182,4,FALSE)</f>
        <v/>
      </c>
    </row>
    <row r="5" ht="16" customHeight="1" s="68">
      <c r="B5" s="69" t="inlineStr">
        <is>
          <t>Euro Area</t>
        </is>
      </c>
      <c r="C5" s="71">
        <f>VLOOKUP(B5,'Data World GDP'!$A$2:$L$182,2,FALSE)/$C$31</f>
        <v/>
      </c>
      <c r="D5" s="33">
        <f>VLOOKUP(B5,'Data World GDP'!$A$2:$L$182,3,FALSE)</f>
        <v/>
      </c>
      <c r="E5" s="33">
        <f>VLOOKUP(B5,'Data World GDP'!$A$2:$L$182,4,FALSE)</f>
        <v/>
      </c>
    </row>
    <row r="6" ht="16" customHeight="1" s="68">
      <c r="B6" s="69" t="inlineStr">
        <is>
          <t>Japan</t>
        </is>
      </c>
      <c r="C6" s="71">
        <f>VLOOKUP(B6,'Data World GDP'!$A$2:$L$182,2,FALSE)/$C$31</f>
        <v/>
      </c>
      <c r="D6" s="33">
        <f>VLOOKUP(B6,'Data World GDP'!$A$2:$L$182,3,FALSE)</f>
        <v/>
      </c>
      <c r="E6" s="33">
        <f>VLOOKUP(B6,'Data World GDP'!$A$2:$L$182,4,FALSE)</f>
        <v/>
      </c>
    </row>
    <row r="7" ht="16" customHeight="1" s="68">
      <c r="B7" s="69" t="inlineStr">
        <is>
          <t>Germany</t>
        </is>
      </c>
      <c r="C7" s="71">
        <f>VLOOKUP(B7,'Data World GDP'!$A$2:$L$182,2,FALSE)/$C$31</f>
        <v/>
      </c>
      <c r="D7" s="33">
        <f>VLOOKUP(B7,'Data World GDP'!$A$2:$L$182,3,FALSE)</f>
        <v/>
      </c>
      <c r="E7" s="33">
        <f>VLOOKUP(B7,'Data World GDP'!$A$2:$L$182,4,FALSE)</f>
        <v/>
      </c>
    </row>
    <row r="8" ht="16" customHeight="1" s="68">
      <c r="B8" s="69" t="inlineStr">
        <is>
          <t>United Kingdom</t>
        </is>
      </c>
      <c r="C8" s="71">
        <f>VLOOKUP(B8,'Data World GDP'!$A$2:$L$182,2,FALSE)/$C$31</f>
        <v/>
      </c>
      <c r="D8" s="33">
        <f>VLOOKUP(B8,'Data World GDP'!$A$2:$L$182,3,FALSE)</f>
        <v/>
      </c>
      <c r="E8" s="33">
        <f>VLOOKUP(B8,'Data World GDP'!$A$2:$L$182,4,FALSE)</f>
        <v/>
      </c>
    </row>
    <row r="9" ht="16" customHeight="1" s="68">
      <c r="B9" s="69" t="inlineStr">
        <is>
          <t>India</t>
        </is>
      </c>
      <c r="C9" s="71">
        <f>VLOOKUP(B9,'Data World GDP'!$A$2:$L$182,2,FALSE)/$C$31</f>
        <v/>
      </c>
      <c r="D9" s="33">
        <f>VLOOKUP(B9,'Data World GDP'!$A$2:$L$182,3,FALSE)</f>
        <v/>
      </c>
      <c r="E9" s="33">
        <f>VLOOKUP(B9,'Data World GDP'!$A$2:$L$182,4,FALSE)</f>
        <v/>
      </c>
    </row>
    <row r="10" ht="16" customHeight="1" s="68">
      <c r="B10" s="69" t="inlineStr">
        <is>
          <t>France</t>
        </is>
      </c>
      <c r="C10" s="71">
        <f>VLOOKUP(B10,'Data World GDP'!$A$2:$L$182,2,FALSE)/$C$31</f>
        <v/>
      </c>
      <c r="D10" s="33">
        <f>VLOOKUP(B10,'Data World GDP'!$A$2:$L$182,3,FALSE)</f>
        <v/>
      </c>
      <c r="E10" s="33">
        <f>VLOOKUP(B10,'Data World GDP'!$A$2:$L$182,4,FALSE)</f>
        <v/>
      </c>
    </row>
    <row r="11" ht="16" customHeight="1" s="68">
      <c r="B11" s="69" t="inlineStr">
        <is>
          <t>Brazil</t>
        </is>
      </c>
      <c r="C11" s="71">
        <f>VLOOKUP(B11,'Data World GDP'!$A$2:$L$182,2,FALSE)/$C$31</f>
        <v/>
      </c>
      <c r="D11" s="33">
        <f>VLOOKUP(B11,'Data World GDP'!$A$2:$L$182,3,FALSE)</f>
        <v/>
      </c>
      <c r="E11" s="33">
        <f>VLOOKUP(B11,'Data World GDP'!$A$2:$L$182,4,FALSE)</f>
        <v/>
      </c>
    </row>
    <row r="12" ht="16" customHeight="1" s="68">
      <c r="B12" s="69" t="inlineStr">
        <is>
          <t>Italy</t>
        </is>
      </c>
      <c r="C12" s="71">
        <f>VLOOKUP(B12,'Data World GDP'!$A$2:$L$182,2,FALSE)/$C$31</f>
        <v/>
      </c>
      <c r="D12" s="33">
        <f>VLOOKUP(B12,'Data World GDP'!$A$2:$L$182,3,FALSE)</f>
        <v/>
      </c>
      <c r="E12" s="33">
        <f>VLOOKUP(B12,'Data World GDP'!$A$2:$L$182,4,FALSE)</f>
        <v/>
      </c>
    </row>
    <row r="13" ht="16" customHeight="1" s="68">
      <c r="B13" s="69" t="inlineStr">
        <is>
          <t>Canada</t>
        </is>
      </c>
      <c r="C13" s="71">
        <f>VLOOKUP(B13,'Data World GDP'!$A$2:$L$182,2,FALSE)/$C$31</f>
        <v/>
      </c>
      <c r="D13" s="33">
        <f>VLOOKUP(B13,'Data World GDP'!$A$2:$L$182,3,FALSE)</f>
        <v/>
      </c>
      <c r="E13" s="33">
        <f>VLOOKUP(B13,'Data World GDP'!$A$2:$L$182,4,FALSE)</f>
        <v/>
      </c>
    </row>
    <row r="14" ht="16" customHeight="1" s="68">
      <c r="B14" s="69" t="inlineStr">
        <is>
          <t>Russia</t>
        </is>
      </c>
      <c r="C14" s="71">
        <f>VLOOKUP(B14,'Data World GDP'!$A$2:$L$182,2,FALSE)/$C$31</f>
        <v/>
      </c>
      <c r="D14" s="33">
        <f>VLOOKUP(B14,'Data World GDP'!$A$2:$L$182,3,FALSE)</f>
        <v/>
      </c>
      <c r="E14" s="33">
        <f>VLOOKUP(B14,'Data World GDP'!$A$2:$L$182,4,FALSE)</f>
        <v/>
      </c>
    </row>
    <row r="15" ht="16" customHeight="1" s="68">
      <c r="B15" s="69" t="inlineStr">
        <is>
          <t>South Korea</t>
        </is>
      </c>
      <c r="C15" s="71">
        <f>VLOOKUP(B15,'Data World GDP'!$A$2:$L$182,2,FALSE)/$C$31</f>
        <v/>
      </c>
      <c r="D15" s="33">
        <f>VLOOKUP(B15,'Data World GDP'!$A$2:$L$182,3,FALSE)</f>
        <v/>
      </c>
      <c r="E15" s="33">
        <f>VLOOKUP(B15,'Data World GDP'!$A$2:$L$182,4,FALSE)</f>
        <v/>
      </c>
    </row>
    <row r="16" ht="16" customHeight="1" s="68">
      <c r="B16" s="69" t="inlineStr">
        <is>
          <t>Australia</t>
        </is>
      </c>
      <c r="C16" s="71">
        <f>VLOOKUP(B16,'Data World GDP'!$A$2:$L$182,2,FALSE)/$C$31</f>
        <v/>
      </c>
      <c r="D16" s="33">
        <f>VLOOKUP(B16,'Data World GDP'!$A$2:$L$182,3,FALSE)</f>
        <v/>
      </c>
      <c r="E16" s="33">
        <f>VLOOKUP(B16,'Data World GDP'!$A$2:$L$182,4,FALSE)</f>
        <v/>
      </c>
    </row>
    <row r="17" ht="16" customHeight="1" s="68">
      <c r="B17" s="69" t="inlineStr">
        <is>
          <t>Spain</t>
        </is>
      </c>
      <c r="C17" s="71">
        <f>VLOOKUP(B17,'Data World GDP'!$A$2:$L$182,2,FALSE)/$C$31</f>
        <v/>
      </c>
      <c r="D17" s="33">
        <f>VLOOKUP(B17,'Data World GDP'!$A$2:$L$182,3,FALSE)</f>
        <v/>
      </c>
      <c r="E17" s="33">
        <f>VLOOKUP(B17,'Data World GDP'!$A$2:$L$182,4,FALSE)</f>
        <v/>
      </c>
    </row>
    <row r="18" ht="16" customHeight="1" s="68">
      <c r="B18" s="69" t="inlineStr">
        <is>
          <t>Mexico</t>
        </is>
      </c>
      <c r="C18" s="71">
        <f>VLOOKUP(B18,'Data World GDP'!$A$2:$L$182,2,FALSE)/$C$31</f>
        <v/>
      </c>
      <c r="D18" s="33">
        <f>VLOOKUP(B18,'Data World GDP'!$A$2:$L$182,3,FALSE)</f>
        <v/>
      </c>
      <c r="E18" s="33">
        <f>VLOOKUP(B18,'Data World GDP'!$A$2:$L$182,4,FALSE)</f>
        <v/>
      </c>
    </row>
    <row r="19" ht="16" customHeight="1" s="68">
      <c r="B19" s="69" t="inlineStr">
        <is>
          <t>Indonesia</t>
        </is>
      </c>
      <c r="C19" s="71">
        <f>VLOOKUP(B19,'Data World GDP'!$A$2:$L$182,2,FALSE)/$C$31</f>
        <v/>
      </c>
      <c r="D19" s="33">
        <f>VLOOKUP(B19,'Data World GDP'!$A$2:$L$182,3,FALSE)</f>
        <v/>
      </c>
      <c r="E19" s="33">
        <f>VLOOKUP(B19,'Data World GDP'!$A$2:$L$182,4,FALSE)</f>
        <v/>
      </c>
    </row>
    <row r="20" ht="16" customHeight="1" s="68">
      <c r="B20" s="69" t="inlineStr">
        <is>
          <t>Turkey</t>
        </is>
      </c>
      <c r="C20" s="71">
        <f>VLOOKUP(B20,'Data World GDP'!$A$2:$L$182,2,FALSE)/$C$31</f>
        <v/>
      </c>
      <c r="D20" s="33">
        <f>VLOOKUP(B20,'Data World GDP'!$A$2:$L$182,3,FALSE)</f>
        <v/>
      </c>
      <c r="E20" s="33">
        <f>VLOOKUP(B20,'Data World GDP'!$A$2:$L$182,4,FALSE)</f>
        <v/>
      </c>
    </row>
    <row r="21" ht="16" customHeight="1" s="68">
      <c r="B21" s="69" t="inlineStr">
        <is>
          <t>Taiwan</t>
        </is>
      </c>
      <c r="C21" s="71">
        <f>VLOOKUP(B21,'Data World GDP'!$A$2:$L$182,2,FALSE)/$C$31</f>
        <v/>
      </c>
      <c r="D21" s="33">
        <f>VLOOKUP(B21,'Data World GDP'!$A$2:$L$182,3,FALSE)</f>
        <v/>
      </c>
      <c r="E21" s="33">
        <f>VLOOKUP(B21,'Data World GDP'!$A$2:$L$182,4,FALSE)</f>
        <v/>
      </c>
    </row>
    <row r="22" ht="16" customHeight="1" s="68">
      <c r="B22" s="69" t="inlineStr">
        <is>
          <t>Poland</t>
        </is>
      </c>
      <c r="C22" s="71">
        <f>VLOOKUP(B22,'Data World GDP'!$A$2:$L$182,2,FALSE)/$C$31</f>
        <v/>
      </c>
      <c r="D22" s="33">
        <f>VLOOKUP(B22,'Data World GDP'!$A$2:$L$182,3,FALSE)</f>
        <v/>
      </c>
      <c r="E22" s="33">
        <f>VLOOKUP(B22,'Data World GDP'!$A$2:$L$182,4,FALSE)</f>
        <v/>
      </c>
    </row>
    <row r="23" ht="16" customHeight="1" s="68">
      <c r="B23" s="69" t="inlineStr">
        <is>
          <t>Ireland</t>
        </is>
      </c>
      <c r="C23" s="71">
        <f>VLOOKUP(B23,'Data World GDP'!$A$2:$L$182,2,FALSE)/$C$31</f>
        <v/>
      </c>
      <c r="D23" s="33">
        <f>VLOOKUP(B23,'Data World GDP'!$A$2:$L$182,3,FALSE)</f>
        <v/>
      </c>
      <c r="E23" s="33">
        <f>VLOOKUP(B23,'Data World GDP'!$A$2:$L$182,4,FALSE)</f>
        <v/>
      </c>
    </row>
    <row r="24" ht="16" customHeight="1" s="68">
      <c r="B24" s="69" t="inlineStr">
        <is>
          <t>Denmark</t>
        </is>
      </c>
      <c r="C24" s="71">
        <f>VLOOKUP(B24,'Data World GDP'!$A$2:$L$182,2,FALSE)/$C$31</f>
        <v/>
      </c>
      <c r="D24" s="33">
        <f>VLOOKUP(B24,'Data World GDP'!$A$2:$L$182,3,FALSE)</f>
        <v/>
      </c>
      <c r="E24" s="33">
        <f>VLOOKUP(B24,'Data World GDP'!$A$2:$L$182,4,FALSE)</f>
        <v/>
      </c>
      <c r="H24" s="63" t="inlineStr">
        <is>
          <t>https://tradingeconomics.com/</t>
        </is>
      </c>
    </row>
    <row r="25" ht="16" customHeight="1" s="68">
      <c r="B25" s="69" t="inlineStr">
        <is>
          <t>Czech Republic</t>
        </is>
      </c>
      <c r="C25" s="71">
        <f>VLOOKUP(B25,'Data World GDP'!$A$2:$L$182,2,FALSE)/$C$31</f>
        <v/>
      </c>
      <c r="D25" s="33">
        <f>VLOOKUP(B25,'Data World GDP'!$A$2:$L$182,3,FALSE)</f>
        <v/>
      </c>
      <c r="E25" s="33">
        <f>VLOOKUP(B25,'Data World GDP'!$A$2:$L$182,4,FALSE)</f>
        <v/>
      </c>
      <c r="H25" s="74" t="inlineStr">
        <is>
          <t>Expand Table: + Button</t>
        </is>
      </c>
    </row>
    <row r="26" ht="16" customHeight="1" s="68">
      <c r="B26" s="69" t="inlineStr">
        <is>
          <t>New Zealand</t>
        </is>
      </c>
      <c r="C26" s="71">
        <f>VLOOKUP(B26,'Data World GDP'!$A$2:$L$182,2,FALSE)/$C$31</f>
        <v/>
      </c>
      <c r="D26" s="33">
        <f>VLOOKUP(B26,'Data World GDP'!$A$2:$L$182,3,FALSE)</f>
        <v/>
      </c>
      <c r="E26" s="33">
        <f>VLOOKUP(B26,'Data World GDP'!$A$2:$L$182,4,FALSE)</f>
        <v/>
      </c>
      <c r="H26" s="74" t="inlineStr">
        <is>
          <t>Copy And paste in B33 without hyperlinks</t>
        </is>
      </c>
    </row>
    <row r="27" ht="17" customHeight="1" s="68" thickBot="1">
      <c r="B27" s="70" t="inlineStr">
        <is>
          <t>Greece</t>
        </is>
      </c>
      <c r="C27" s="71">
        <f>VLOOKUP(B27,'Data World GDP'!$A$2:$L$182,2,FALSE)/$C$31</f>
        <v/>
      </c>
      <c r="D27" s="34">
        <f>VLOOKUP(B27,'Data World GDP'!$A$2:$L$182,3,FALSE)</f>
        <v/>
      </c>
      <c r="E27" s="34">
        <f>VLOOKUP(B27,'Data World GDP'!$A$2:$L$182,4,FALSE)</f>
        <v/>
      </c>
    </row>
    <row r="31">
      <c r="B31" s="74" t="inlineStr">
        <is>
          <t>Total GDP</t>
        </is>
      </c>
      <c r="C31" s="74">
        <f>SUM('Data World GDP'!$A$2:$B$182)</f>
        <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xmlns:r="http://schemas.openxmlformats.org/officeDocument/2006/relationships" ref="H24" r:id="rId1"/>
  </hyperlinks>
  <pageMargins left="0.7" right="0.7" top="0.75" bottom="0.75" header="0.3" footer="0.3"/>
  <pageSetup orientation="portrait" paperSize="9"/>
</worksheet>
</file>

<file path=xl/worksheets/sheet9.xml><?xml version="1.0" encoding="utf-8"?>
<worksheet xmlns="http://schemas.openxmlformats.org/spreadsheetml/2006/main">
  <sheetPr codeName="Sheet8">
    <tabColor rgb="FFFFC000"/>
    <outlinePr summaryBelow="1" summaryRight="1"/>
    <pageSetUpPr/>
  </sheetPr>
  <dimension ref="A1:V435"/>
  <sheetViews>
    <sheetView zoomScale="160" zoomScaleNormal="160" workbookViewId="0">
      <pane ySplit="1" topLeftCell="A264" activePane="bottomLeft" state="frozen"/>
      <selection pane="bottomLeft" activeCell="F299" sqref="F299"/>
    </sheetView>
  </sheetViews>
  <sheetFormatPr baseColWidth="10" defaultColWidth="8.83203125" defaultRowHeight="15"/>
  <cols>
    <col width="9.1640625" customWidth="1" style="36" min="1" max="1"/>
    <col width="12.6640625" bestFit="1" customWidth="1" style="35" min="2" max="2"/>
    <col width="11.6640625" customWidth="1" style="37" min="3" max="3"/>
    <col width="11.6640625" customWidth="1" style="48" min="4" max="4"/>
    <col width="9.1640625" customWidth="1" style="74" min="5" max="48"/>
  </cols>
  <sheetData>
    <row r="1" ht="32" customHeight="1" s="68">
      <c r="A1" s="39" t="inlineStr">
        <is>
          <t>Data</t>
        </is>
      </c>
      <c r="B1" s="45" t="inlineStr">
        <is>
          <t>USA</t>
        </is>
      </c>
      <c r="C1" s="40" t="inlineStr">
        <is>
          <t>Quarter Change</t>
        </is>
      </c>
      <c r="D1" s="46" t="n"/>
      <c r="E1" s="47" t="inlineStr">
        <is>
          <t>Change Country in B2</t>
        </is>
      </c>
      <c r="F1" s="46" t="n"/>
      <c r="G1" s="46" t="n"/>
      <c r="H1" s="46" t="n"/>
      <c r="J1" s="74">
        <f>B1&amp;" GDP % yoy"</f>
        <v/>
      </c>
    </row>
    <row r="2">
      <c r="A2" s="42" t="n">
        <v>17349</v>
      </c>
      <c r="B2" s="43">
        <f>VLOOKUP(A2,'Data yoy'!$B:$AW,MATCH($B$1,'Data yoy'!$B$1:$AW$1,0),FALSE)</f>
        <v/>
      </c>
      <c r="C2" s="44" t="n"/>
      <c r="D2" s="46" t="n"/>
      <c r="E2" s="46" t="n"/>
      <c r="F2" s="46" t="n"/>
      <c r="G2" s="46" t="n"/>
      <c r="H2" s="46" t="n"/>
      <c r="J2" s="74">
        <f>B1&amp;" "&amp;C1</f>
        <v/>
      </c>
      <c r="V2" s="74" t="inlineStr">
        <is>
          <t>AUT</t>
        </is>
      </c>
    </row>
    <row r="3">
      <c r="A3" s="42" t="n">
        <v>17441</v>
      </c>
      <c r="B3" s="43">
        <f>VLOOKUP(A3,'Data yoy'!$B:$AW,MATCH($B$1,'Data yoy'!$B$1:$AW$1,0),FALSE)</f>
        <v/>
      </c>
      <c r="C3" s="43">
        <f>Table13456789101112131415161734[[#This Row],[USA]]-B2</f>
        <v/>
      </c>
      <c r="D3" s="46" t="n"/>
      <c r="E3" s="46" t="n"/>
      <c r="F3" s="46" t="n"/>
      <c r="G3" s="46" t="n"/>
      <c r="H3" s="46" t="n"/>
      <c r="J3" s="74">
        <f>J2&amp;" 2000-"</f>
        <v/>
      </c>
      <c r="V3" s="74" t="inlineStr">
        <is>
          <t>BEL</t>
        </is>
      </c>
    </row>
    <row r="4">
      <c r="A4" s="42" t="n">
        <v>17533</v>
      </c>
      <c r="B4" s="43">
        <f>VLOOKUP(A4,'Data yoy'!$B:$AW,MATCH($B$1,'Data yoy'!$B$1:$AW$1,0),FALSE)</f>
        <v/>
      </c>
      <c r="C4" s="43">
        <f>Table13456789101112131415161734[[#This Row],[USA]]-B3</f>
        <v/>
      </c>
      <c r="D4" s="46" t="n"/>
      <c r="E4" s="46" t="n"/>
      <c r="F4" s="46" t="n"/>
      <c r="G4" s="46" t="n"/>
      <c r="H4" s="46" t="n"/>
      <c r="V4" s="74" t="inlineStr">
        <is>
          <t>CAN</t>
        </is>
      </c>
    </row>
    <row r="5">
      <c r="A5" s="42" t="n">
        <v>17624</v>
      </c>
      <c r="B5" s="43">
        <f>VLOOKUP(A5,'Data yoy'!$B:$AW,MATCH($B$1,'Data yoy'!$B$1:$AW$1,0),FALSE)</f>
        <v/>
      </c>
      <c r="C5" s="43">
        <f>Table13456789101112131415161734[[#This Row],[USA]]-B4</f>
        <v/>
      </c>
      <c r="D5" s="46" t="n"/>
      <c r="E5" s="46" t="n"/>
      <c r="F5" s="46" t="n"/>
      <c r="G5" s="46" t="n"/>
      <c r="H5" s="46" t="n"/>
      <c r="V5" s="74" t="inlineStr">
        <is>
          <t>CHL</t>
        </is>
      </c>
    </row>
    <row r="6">
      <c r="A6" s="42" t="n">
        <v>17715</v>
      </c>
      <c r="B6" s="43">
        <f>VLOOKUP(A6,'Data yoy'!$B:$AW,MATCH($B$1,'Data yoy'!$B$1:$AW$1,0),FALSE)</f>
        <v/>
      </c>
      <c r="C6" s="43">
        <f>Table13456789101112131415161734[[#This Row],[USA]]-B5</f>
        <v/>
      </c>
      <c r="D6" s="46" t="n"/>
      <c r="E6" s="46" t="n"/>
      <c r="F6" s="46" t="n"/>
      <c r="G6" s="46" t="n"/>
      <c r="H6" s="46" t="n"/>
      <c r="V6" s="74" t="inlineStr">
        <is>
          <t>CZE</t>
        </is>
      </c>
    </row>
    <row r="7">
      <c r="A7" s="42" t="n">
        <v>17807</v>
      </c>
      <c r="B7" s="43">
        <f>VLOOKUP(A7,'Data yoy'!$B:$AW,MATCH($B$1,'Data yoy'!$B$1:$AW$1,0),FALSE)</f>
        <v/>
      </c>
      <c r="C7" s="43">
        <f>Table13456789101112131415161734[[#This Row],[USA]]-B6</f>
        <v/>
      </c>
      <c r="D7" s="46" t="n"/>
      <c r="E7" s="46" t="n"/>
      <c r="F7" s="46" t="n"/>
      <c r="G7" s="46" t="n"/>
      <c r="H7" s="46" t="n"/>
      <c r="V7" s="74" t="inlineStr">
        <is>
          <t>DEU</t>
        </is>
      </c>
    </row>
    <row r="8">
      <c r="A8" s="42" t="n">
        <v>17899</v>
      </c>
      <c r="B8" s="43">
        <f>VLOOKUP(A8,'Data yoy'!$B:$AW,MATCH($B$1,'Data yoy'!$B$1:$AW$1,0),FALSE)</f>
        <v/>
      </c>
      <c r="C8" s="43">
        <f>Table13456789101112131415161734[[#This Row],[USA]]-B7</f>
        <v/>
      </c>
      <c r="D8" s="46" t="n"/>
      <c r="E8" s="46" t="n"/>
      <c r="F8" s="46" t="n"/>
      <c r="G8" s="46" t="n"/>
      <c r="H8" s="46" t="n"/>
      <c r="V8" s="74" t="inlineStr">
        <is>
          <t>DNK</t>
        </is>
      </c>
    </row>
    <row r="9">
      <c r="A9" s="42" t="n">
        <v>17989</v>
      </c>
      <c r="B9" s="43">
        <f>VLOOKUP(A9,'Data yoy'!$B:$AW,MATCH($B$1,'Data yoy'!$B$1:$AW$1,0),FALSE)</f>
        <v/>
      </c>
      <c r="C9" s="43">
        <f>Table13456789101112131415161734[[#This Row],[USA]]-B8</f>
        <v/>
      </c>
      <c r="D9" s="46" t="n"/>
      <c r="E9" s="46" t="n"/>
      <c r="F9" s="46" t="n"/>
      <c r="G9" s="46" t="n"/>
      <c r="H9" s="46" t="n"/>
      <c r="V9" s="74" t="inlineStr">
        <is>
          <t>ESP</t>
        </is>
      </c>
    </row>
    <row r="10">
      <c r="A10" s="42" t="n">
        <v>18080</v>
      </c>
      <c r="B10" s="43">
        <f>VLOOKUP(A10,'Data yoy'!$B:$AW,MATCH($B$1,'Data yoy'!$B$1:$AW$1,0),FALSE)</f>
        <v/>
      </c>
      <c r="C10" s="43">
        <f>Table13456789101112131415161734[[#This Row],[USA]]-B9</f>
        <v/>
      </c>
      <c r="D10" s="46" t="n"/>
      <c r="E10" s="46" t="n"/>
      <c r="F10" s="46" t="n"/>
      <c r="G10" s="46" t="n"/>
      <c r="H10" s="46" t="n"/>
      <c r="V10" s="74" t="inlineStr">
        <is>
          <t>EST</t>
        </is>
      </c>
    </row>
    <row r="11">
      <c r="A11" s="42" t="n">
        <v>18172</v>
      </c>
      <c r="B11" s="43">
        <f>VLOOKUP(A11,'Data yoy'!$B:$AW,MATCH($B$1,'Data yoy'!$B$1:$AW$1,0),FALSE)</f>
        <v/>
      </c>
      <c r="C11" s="43">
        <f>Table13456789101112131415161734[[#This Row],[USA]]-B10</f>
        <v/>
      </c>
      <c r="D11" s="46" t="n"/>
      <c r="E11" s="46" t="n"/>
      <c r="F11" s="46" t="n"/>
      <c r="G11" s="46" t="n"/>
      <c r="H11" s="46" t="n"/>
      <c r="V11" s="74" t="inlineStr">
        <is>
          <t>FIN</t>
        </is>
      </c>
    </row>
    <row r="12">
      <c r="A12" s="42" t="n">
        <v>18264</v>
      </c>
      <c r="B12" s="43">
        <f>VLOOKUP(A12,'Data yoy'!$B:$AW,MATCH($B$1,'Data yoy'!$B$1:$AW$1,0),FALSE)</f>
        <v/>
      </c>
      <c r="C12" s="43">
        <f>Table13456789101112131415161734[[#This Row],[USA]]-B11</f>
        <v/>
      </c>
      <c r="D12" s="27" t="n"/>
      <c r="V12" s="74" t="inlineStr">
        <is>
          <t>FRA</t>
        </is>
      </c>
    </row>
    <row r="13">
      <c r="A13" s="42" t="n">
        <v>18354</v>
      </c>
      <c r="B13" s="43">
        <f>VLOOKUP(A13,'Data yoy'!$B:$AW,MATCH($B$1,'Data yoy'!$B$1:$AW$1,0),FALSE)</f>
        <v/>
      </c>
      <c r="C13" s="43">
        <f>Table13456789101112131415161734[[#This Row],[USA]]-B12</f>
        <v/>
      </c>
      <c r="D13" s="27" t="n"/>
      <c r="V13" s="74" t="inlineStr">
        <is>
          <t>GBR</t>
        </is>
      </c>
    </row>
    <row r="14">
      <c r="A14" s="42" t="n">
        <v>18445</v>
      </c>
      <c r="B14" s="43">
        <f>VLOOKUP(A14,'Data yoy'!$B:$AW,MATCH($B$1,'Data yoy'!$B$1:$AW$1,0),FALSE)</f>
        <v/>
      </c>
      <c r="C14" s="43">
        <f>Table13456789101112131415161734[[#This Row],[USA]]-B13</f>
        <v/>
      </c>
      <c r="D14" s="27" t="n"/>
      <c r="V14" s="74" t="inlineStr">
        <is>
          <t>GRC</t>
        </is>
      </c>
    </row>
    <row r="15">
      <c r="A15" s="42" t="n">
        <v>18537</v>
      </c>
      <c r="B15" s="43">
        <f>VLOOKUP(A15,'Data yoy'!$B:$AW,MATCH($B$1,'Data yoy'!$B$1:$AW$1,0),FALSE)</f>
        <v/>
      </c>
      <c r="C15" s="43">
        <f>Table13456789101112131415161734[[#This Row],[USA]]-B14</f>
        <v/>
      </c>
      <c r="D15" s="27" t="n"/>
      <c r="V15" s="74" t="inlineStr">
        <is>
          <t>HUN</t>
        </is>
      </c>
    </row>
    <row r="16">
      <c r="A16" s="42" t="n">
        <v>18629</v>
      </c>
      <c r="B16" s="43">
        <f>VLOOKUP(A16,'Data yoy'!$B:$AW,MATCH($B$1,'Data yoy'!$B$1:$AW$1,0),FALSE)</f>
        <v/>
      </c>
      <c r="C16" s="43">
        <f>Table13456789101112131415161734[[#This Row],[USA]]-B15</f>
        <v/>
      </c>
      <c r="D16" s="27" t="n"/>
      <c r="V16" s="74" t="inlineStr">
        <is>
          <t>IRL</t>
        </is>
      </c>
    </row>
    <row r="17">
      <c r="A17" s="42" t="n">
        <v>18719</v>
      </c>
      <c r="B17" s="43">
        <f>VLOOKUP(A17,'Data yoy'!$B:$AW,MATCH($B$1,'Data yoy'!$B$1:$AW$1,0),FALSE)</f>
        <v/>
      </c>
      <c r="C17" s="43">
        <f>Table13456789101112131415161734[[#This Row],[USA]]-B16</f>
        <v/>
      </c>
      <c r="D17" s="27" t="n"/>
      <c r="V17" s="74" t="inlineStr">
        <is>
          <t>ISL</t>
        </is>
      </c>
    </row>
    <row r="18">
      <c r="A18" s="42" t="n">
        <v>18810</v>
      </c>
      <c r="B18" s="43">
        <f>VLOOKUP(A18,'Data yoy'!$B:$AW,MATCH($B$1,'Data yoy'!$B$1:$AW$1,0),FALSE)</f>
        <v/>
      </c>
      <c r="C18" s="43">
        <f>Table13456789101112131415161734[[#This Row],[USA]]-B17</f>
        <v/>
      </c>
      <c r="D18" s="27" t="n"/>
      <c r="V18" s="74" t="inlineStr">
        <is>
          <t>ISR</t>
        </is>
      </c>
    </row>
    <row r="19">
      <c r="A19" s="42" t="n">
        <v>18902</v>
      </c>
      <c r="B19" s="43">
        <f>VLOOKUP(A19,'Data yoy'!$B:$AW,MATCH($B$1,'Data yoy'!$B$1:$AW$1,0),FALSE)</f>
        <v/>
      </c>
      <c r="C19" s="43">
        <f>Table13456789101112131415161734[[#This Row],[USA]]-B18</f>
        <v/>
      </c>
      <c r="D19" s="27" t="n"/>
      <c r="V19" s="74" t="inlineStr">
        <is>
          <t>ITA</t>
        </is>
      </c>
    </row>
    <row r="20">
      <c r="A20" s="42" t="n">
        <v>18994</v>
      </c>
      <c r="B20" s="43">
        <f>VLOOKUP(A20,'Data yoy'!$B:$AW,MATCH($B$1,'Data yoy'!$B$1:$AW$1,0),FALSE)</f>
        <v/>
      </c>
      <c r="C20" s="43">
        <f>Table13456789101112131415161734[[#This Row],[USA]]-B19</f>
        <v/>
      </c>
      <c r="D20" s="27" t="n"/>
      <c r="V20" s="74" t="inlineStr">
        <is>
          <t>JPN</t>
        </is>
      </c>
    </row>
    <row r="21">
      <c r="A21" s="42" t="n">
        <v>19085</v>
      </c>
      <c r="B21" s="43">
        <f>VLOOKUP(A21,'Data yoy'!$B:$AW,MATCH($B$1,'Data yoy'!$B$1:$AW$1,0),FALSE)</f>
        <v/>
      </c>
      <c r="C21" s="43">
        <f>Table13456789101112131415161734[[#This Row],[USA]]-B20</f>
        <v/>
      </c>
      <c r="D21" s="27" t="n"/>
      <c r="V21" s="74" t="inlineStr">
        <is>
          <t>KOR</t>
        </is>
      </c>
    </row>
    <row r="22">
      <c r="A22" s="42" t="n">
        <v>19176</v>
      </c>
      <c r="B22" s="43">
        <f>VLOOKUP(A22,'Data yoy'!$B:$AW,MATCH($B$1,'Data yoy'!$B$1:$AW$1,0),FALSE)</f>
        <v/>
      </c>
      <c r="C22" s="43">
        <f>Table13456789101112131415161734[[#This Row],[USA]]-B21</f>
        <v/>
      </c>
      <c r="D22" s="27" t="n"/>
      <c r="V22" s="74" t="inlineStr">
        <is>
          <t>LUX</t>
        </is>
      </c>
    </row>
    <row r="23">
      <c r="A23" s="42" t="n">
        <v>19268</v>
      </c>
      <c r="B23" s="43">
        <f>VLOOKUP(A23,'Data yoy'!$B:$AW,MATCH($B$1,'Data yoy'!$B$1:$AW$1,0),FALSE)</f>
        <v/>
      </c>
      <c r="C23" s="43">
        <f>Table13456789101112131415161734[[#This Row],[USA]]-B22</f>
        <v/>
      </c>
      <c r="D23" s="27" t="n"/>
      <c r="V23" s="74" t="inlineStr">
        <is>
          <t>LVA</t>
        </is>
      </c>
    </row>
    <row r="24">
      <c r="A24" s="42" t="n">
        <v>19360</v>
      </c>
      <c r="B24" s="43">
        <f>VLOOKUP(A24,'Data yoy'!$B:$AW,MATCH($B$1,'Data yoy'!$B$1:$AW$1,0),FALSE)</f>
        <v/>
      </c>
      <c r="C24" s="43">
        <f>Table13456789101112131415161734[[#This Row],[USA]]-B23</f>
        <v/>
      </c>
      <c r="D24" s="27" t="n"/>
      <c r="V24" s="74" t="inlineStr">
        <is>
          <t>MEX</t>
        </is>
      </c>
    </row>
    <row r="25">
      <c r="A25" s="42" t="n">
        <v>19450</v>
      </c>
      <c r="B25" s="43">
        <f>VLOOKUP(A25,'Data yoy'!$B:$AW,MATCH($B$1,'Data yoy'!$B$1:$AW$1,0),FALSE)</f>
        <v/>
      </c>
      <c r="C25" s="43">
        <f>Table13456789101112131415161734[[#This Row],[USA]]-B24</f>
        <v/>
      </c>
      <c r="D25" s="27" t="n"/>
      <c r="V25" s="74" t="inlineStr">
        <is>
          <t>NLD</t>
        </is>
      </c>
    </row>
    <row r="26">
      <c r="A26" s="42" t="n">
        <v>19541</v>
      </c>
      <c r="B26" s="43">
        <f>VLOOKUP(A26,'Data yoy'!$B:$AW,MATCH($B$1,'Data yoy'!$B$1:$AW$1,0),FALSE)</f>
        <v/>
      </c>
      <c r="C26" s="43">
        <f>Table13456789101112131415161734[[#This Row],[USA]]-B25</f>
        <v/>
      </c>
      <c r="D26" s="27" t="n"/>
      <c r="V26" s="74" t="inlineStr">
        <is>
          <t>NOR</t>
        </is>
      </c>
    </row>
    <row r="27">
      <c r="A27" s="42" t="n">
        <v>19633</v>
      </c>
      <c r="B27" s="43">
        <f>VLOOKUP(A27,'Data yoy'!$B:$AW,MATCH($B$1,'Data yoy'!$B$1:$AW$1,0),FALSE)</f>
        <v/>
      </c>
      <c r="C27" s="43">
        <f>Table13456789101112131415161734[[#This Row],[USA]]-B26</f>
        <v/>
      </c>
      <c r="D27" s="27" t="n"/>
      <c r="V27" s="74" t="inlineStr">
        <is>
          <t>OECD</t>
        </is>
      </c>
    </row>
    <row r="28">
      <c r="A28" s="42" t="n">
        <v>19725</v>
      </c>
      <c r="B28" s="43">
        <f>VLOOKUP(A28,'Data yoy'!$B:$AW,MATCH($B$1,'Data yoy'!$B$1:$AW$1,0),FALSE)</f>
        <v/>
      </c>
      <c r="C28" s="43">
        <f>Table13456789101112131415161734[[#This Row],[USA]]-B27</f>
        <v/>
      </c>
      <c r="D28" s="27" t="n"/>
      <c r="V28" s="74" t="inlineStr">
        <is>
          <t>POL</t>
        </is>
      </c>
    </row>
    <row r="29">
      <c r="A29" s="42" t="n">
        <v>19815</v>
      </c>
      <c r="B29" s="43">
        <f>VLOOKUP(A29,'Data yoy'!$B:$AW,MATCH($B$1,'Data yoy'!$B$1:$AW$1,0),FALSE)</f>
        <v/>
      </c>
      <c r="C29" s="43">
        <f>Table13456789101112131415161734[[#This Row],[USA]]-B28</f>
        <v/>
      </c>
      <c r="D29" s="27" t="n"/>
      <c r="V29" s="74" t="inlineStr">
        <is>
          <t>PRT</t>
        </is>
      </c>
    </row>
    <row r="30">
      <c r="A30" s="42" t="n">
        <v>19906</v>
      </c>
      <c r="B30" s="43">
        <f>VLOOKUP(A30,'Data yoy'!$B:$AW,MATCH($B$1,'Data yoy'!$B$1:$AW$1,0),FALSE)</f>
        <v/>
      </c>
      <c r="C30" s="43">
        <f>Table13456789101112131415161734[[#This Row],[USA]]-B29</f>
        <v/>
      </c>
      <c r="D30" s="27" t="n"/>
      <c r="V30" s="74" t="inlineStr">
        <is>
          <t>SVK</t>
        </is>
      </c>
    </row>
    <row r="31">
      <c r="A31" s="42" t="n">
        <v>19998</v>
      </c>
      <c r="B31" s="43">
        <f>VLOOKUP(A31,'Data yoy'!$B:$AW,MATCH($B$1,'Data yoy'!$B$1:$AW$1,0),FALSE)</f>
        <v/>
      </c>
      <c r="C31" s="43">
        <f>Table13456789101112131415161734[[#This Row],[USA]]-B30</f>
        <v/>
      </c>
      <c r="D31" s="27" t="n"/>
      <c r="V31" s="74" t="inlineStr">
        <is>
          <t>SVN</t>
        </is>
      </c>
    </row>
    <row r="32">
      <c r="A32" s="42" t="n">
        <v>20090</v>
      </c>
      <c r="B32" s="43">
        <f>VLOOKUP(A32,'Data yoy'!$B:$AW,MATCH($B$1,'Data yoy'!$B$1:$AW$1,0),FALSE)</f>
        <v/>
      </c>
      <c r="C32" s="43">
        <f>Table13456789101112131415161734[[#This Row],[USA]]-B31</f>
        <v/>
      </c>
      <c r="D32" s="27" t="n"/>
      <c r="V32" s="74" t="inlineStr">
        <is>
          <t>SWE</t>
        </is>
      </c>
    </row>
    <row r="33">
      <c r="A33" s="42" t="n">
        <v>20180</v>
      </c>
      <c r="B33" s="43">
        <f>VLOOKUP(A33,'Data yoy'!$B:$AW,MATCH($B$1,'Data yoy'!$B$1:$AW$1,0),FALSE)</f>
        <v/>
      </c>
      <c r="C33" s="43">
        <f>Table13456789101112131415161734[[#This Row],[USA]]-B32</f>
        <v/>
      </c>
      <c r="D33" s="27" t="n"/>
      <c r="V33" s="74" t="inlineStr">
        <is>
          <t>TUR</t>
        </is>
      </c>
    </row>
    <row r="34">
      <c r="A34" s="42" t="n">
        <v>20271</v>
      </c>
      <c r="B34" s="43">
        <f>VLOOKUP(A34,'Data yoy'!$B:$AW,MATCH($B$1,'Data yoy'!$B$1:$AW$1,0),FALSE)</f>
        <v/>
      </c>
      <c r="C34" s="43">
        <f>Table13456789101112131415161734[[#This Row],[USA]]-B33</f>
        <v/>
      </c>
      <c r="D34" s="27" t="n"/>
      <c r="V34" s="74" t="inlineStr">
        <is>
          <t>USA</t>
        </is>
      </c>
    </row>
    <row r="35">
      <c r="A35" s="42" t="n">
        <v>20363</v>
      </c>
      <c r="B35" s="43">
        <f>VLOOKUP(A35,'Data yoy'!$B:$AW,MATCH($B$1,'Data yoy'!$B$1:$AW$1,0),FALSE)</f>
        <v/>
      </c>
      <c r="C35" s="43">
        <f>Table13456789101112131415161734[[#This Row],[USA]]-B34</f>
        <v/>
      </c>
      <c r="D35" s="27" t="n"/>
      <c r="V35" s="74" t="inlineStr">
        <is>
          <t>EA19</t>
        </is>
      </c>
    </row>
    <row r="36">
      <c r="A36" s="42" t="n">
        <v>20455</v>
      </c>
      <c r="B36" s="43">
        <f>VLOOKUP(A36,'Data yoy'!$B:$AW,MATCH($B$1,'Data yoy'!$B$1:$AW$1,0),FALSE)</f>
        <v/>
      </c>
      <c r="C36" s="43">
        <f>Table13456789101112131415161734[[#This Row],[USA]]-B35</f>
        <v/>
      </c>
      <c r="D36" s="27" t="n"/>
      <c r="V36" t="inlineStr">
        <is>
          <t>EU27_2020</t>
        </is>
      </c>
    </row>
    <row r="37">
      <c r="A37" s="42" t="n">
        <v>20546</v>
      </c>
      <c r="B37" s="43">
        <f>VLOOKUP(A37,'Data yoy'!$B:$AW,MATCH($B$1,'Data yoy'!$B$1:$AW$1,0),FALSE)</f>
        <v/>
      </c>
      <c r="C37" s="43">
        <f>Table13456789101112131415161734[[#This Row],[USA]]-B36</f>
        <v/>
      </c>
      <c r="D37" s="27" t="n"/>
      <c r="V37" s="74" t="inlineStr">
        <is>
          <t>G-7</t>
        </is>
      </c>
    </row>
    <row r="38">
      <c r="A38" s="42" t="n">
        <v>20637</v>
      </c>
      <c r="B38" s="43">
        <f>VLOOKUP(A38,'Data yoy'!$B:$AW,MATCH($B$1,'Data yoy'!$B$1:$AW$1,0),FALSE)</f>
        <v/>
      </c>
      <c r="C38" s="43">
        <f>Table13456789101112131415161734[[#This Row],[USA]]-B37</f>
        <v/>
      </c>
      <c r="D38" s="27" t="n"/>
      <c r="V38" s="74" t="inlineStr">
        <is>
          <t>CHE</t>
        </is>
      </c>
    </row>
    <row r="39">
      <c r="A39" s="42" t="n">
        <v>20729</v>
      </c>
      <c r="B39" s="43">
        <f>VLOOKUP(A39,'Data yoy'!$B:$AW,MATCH($B$1,'Data yoy'!$B$1:$AW$1,0),FALSE)</f>
        <v/>
      </c>
      <c r="C39" s="43">
        <f>Table13456789101112131415161734[[#This Row],[USA]]-B38</f>
        <v/>
      </c>
      <c r="D39" s="27" t="n"/>
      <c r="V39" s="74" t="inlineStr">
        <is>
          <t>IND</t>
        </is>
      </c>
    </row>
    <row r="40">
      <c r="A40" s="42" t="n">
        <v>20821</v>
      </c>
      <c r="B40" s="43">
        <f>VLOOKUP(A40,'Data yoy'!$B:$AW,MATCH($B$1,'Data yoy'!$B$1:$AW$1,0),FALSE)</f>
        <v/>
      </c>
      <c r="C40" s="43">
        <f>Table13456789101112131415161734[[#This Row],[USA]]-B39</f>
        <v/>
      </c>
      <c r="D40" s="27" t="n"/>
      <c r="V40" s="74" t="inlineStr">
        <is>
          <t>ZAF</t>
        </is>
      </c>
    </row>
    <row r="41">
      <c r="A41" s="42" t="n">
        <v>20911</v>
      </c>
      <c r="B41" s="43">
        <f>VLOOKUP(A41,'Data yoy'!$B:$AW,MATCH($B$1,'Data yoy'!$B$1:$AW$1,0),FALSE)</f>
        <v/>
      </c>
      <c r="C41" s="43">
        <f>Table13456789101112131415161734[[#This Row],[USA]]-B40</f>
        <v/>
      </c>
      <c r="D41" s="27" t="n"/>
      <c r="V41" s="74" t="inlineStr">
        <is>
          <t>RUS</t>
        </is>
      </c>
    </row>
    <row r="42">
      <c r="A42" s="42" t="n">
        <v>21002</v>
      </c>
      <c r="B42" s="43">
        <f>VLOOKUP(A42,'Data yoy'!$B:$AW,MATCH($B$1,'Data yoy'!$B$1:$AW$1,0),FALSE)</f>
        <v/>
      </c>
      <c r="C42" s="43">
        <f>Table13456789101112131415161734[[#This Row],[USA]]-B41</f>
        <v/>
      </c>
      <c r="D42" s="27" t="n"/>
    </row>
    <row r="43">
      <c r="A43" s="42" t="n">
        <v>21094</v>
      </c>
      <c r="B43" s="43">
        <f>VLOOKUP(A43,'Data yoy'!$B:$AW,MATCH($B$1,'Data yoy'!$B$1:$AW$1,0),FALSE)</f>
        <v/>
      </c>
      <c r="C43" s="43">
        <f>Table13456789101112131415161734[[#This Row],[USA]]-B42</f>
        <v/>
      </c>
      <c r="D43" s="27" t="n"/>
    </row>
    <row r="44">
      <c r="A44" s="42" t="n">
        <v>21186</v>
      </c>
      <c r="B44" s="43">
        <f>VLOOKUP(A44,'Data yoy'!$B:$AW,MATCH($B$1,'Data yoy'!$B$1:$AW$1,0),FALSE)</f>
        <v/>
      </c>
      <c r="C44" s="43">
        <f>Table13456789101112131415161734[[#This Row],[USA]]-B43</f>
        <v/>
      </c>
      <c r="D44" s="27" t="n"/>
    </row>
    <row r="45">
      <c r="A45" s="42" t="n">
        <v>21276</v>
      </c>
      <c r="B45" s="43">
        <f>VLOOKUP(A45,'Data yoy'!$B:$AW,MATCH($B$1,'Data yoy'!$B$1:$AW$1,0),FALSE)</f>
        <v/>
      </c>
      <c r="C45" s="43">
        <f>Table13456789101112131415161734[[#This Row],[USA]]-B44</f>
        <v/>
      </c>
      <c r="D45" s="27" t="n"/>
    </row>
    <row r="46">
      <c r="A46" s="42" t="n">
        <v>21367</v>
      </c>
      <c r="B46" s="43">
        <f>VLOOKUP(A46,'Data yoy'!$B:$AW,MATCH($B$1,'Data yoy'!$B$1:$AW$1,0),FALSE)</f>
        <v/>
      </c>
      <c r="C46" s="43">
        <f>Table13456789101112131415161734[[#This Row],[USA]]-B45</f>
        <v/>
      </c>
      <c r="D46" s="27" t="n"/>
    </row>
    <row r="47">
      <c r="A47" s="42" t="n">
        <v>21459</v>
      </c>
      <c r="B47" s="43">
        <f>VLOOKUP(A47,'Data yoy'!$B:$AW,MATCH($B$1,'Data yoy'!$B$1:$AW$1,0),FALSE)</f>
        <v/>
      </c>
      <c r="C47" s="43">
        <f>Table13456789101112131415161734[[#This Row],[USA]]-B46</f>
        <v/>
      </c>
      <c r="D47" s="27" t="n"/>
    </row>
    <row r="48">
      <c r="A48" s="42" t="n">
        <v>21551</v>
      </c>
      <c r="B48" s="43">
        <f>VLOOKUP(A48,'Data yoy'!$B:$AW,MATCH($B$1,'Data yoy'!$B$1:$AW$1,0),FALSE)</f>
        <v/>
      </c>
      <c r="C48" s="43">
        <f>Table13456789101112131415161734[[#This Row],[USA]]-B47</f>
        <v/>
      </c>
      <c r="D48" s="27" t="n"/>
    </row>
    <row r="49">
      <c r="A49" s="42" t="n">
        <v>21641</v>
      </c>
      <c r="B49" s="43">
        <f>VLOOKUP(A49,'Data yoy'!$B:$AW,MATCH($B$1,'Data yoy'!$B$1:$AW$1,0),FALSE)</f>
        <v/>
      </c>
      <c r="C49" s="43">
        <f>Table13456789101112131415161734[[#This Row],[USA]]-B48</f>
        <v/>
      </c>
      <c r="D49" s="27" t="n"/>
    </row>
    <row r="50">
      <c r="A50" s="42" t="n">
        <v>21732</v>
      </c>
      <c r="B50" s="43">
        <f>VLOOKUP(A50,'Data yoy'!$B:$AW,MATCH($B$1,'Data yoy'!$B$1:$AW$1,0),FALSE)</f>
        <v/>
      </c>
      <c r="C50" s="43">
        <f>Table13456789101112131415161734[[#This Row],[USA]]-B49</f>
        <v/>
      </c>
      <c r="D50" s="27" t="n"/>
    </row>
    <row r="51">
      <c r="A51" s="42" t="n">
        <v>21824</v>
      </c>
      <c r="B51" s="43">
        <f>VLOOKUP(A51,'Data yoy'!$B:$AW,MATCH($B$1,'Data yoy'!$B$1:$AW$1,0),FALSE)</f>
        <v/>
      </c>
      <c r="C51" s="43">
        <f>Table13456789101112131415161734[[#This Row],[USA]]-B50</f>
        <v/>
      </c>
      <c r="D51" s="27" t="n"/>
    </row>
    <row r="52">
      <c r="A52" s="42" t="n">
        <v>21916</v>
      </c>
      <c r="B52" s="43">
        <f>VLOOKUP(A52,'Data yoy'!$B:$AW,MATCH($B$1,'Data yoy'!$B$1:$AW$1,0),FALSE)</f>
        <v/>
      </c>
      <c r="C52" s="43">
        <f>Table13456789101112131415161734[[#This Row],[USA]]-B51</f>
        <v/>
      </c>
      <c r="D52" s="27" t="n"/>
    </row>
    <row r="53">
      <c r="A53" s="42" t="n">
        <v>22007</v>
      </c>
      <c r="B53" s="43">
        <f>VLOOKUP(A53,'Data yoy'!$B:$AW,MATCH($B$1,'Data yoy'!$B$1:$AW$1,0),FALSE)</f>
        <v/>
      </c>
      <c r="C53" s="43">
        <f>Table13456789101112131415161734[[#This Row],[USA]]-B52</f>
        <v/>
      </c>
      <c r="D53" s="27" t="n"/>
    </row>
    <row r="54">
      <c r="A54" s="42" t="n">
        <v>22098</v>
      </c>
      <c r="B54" s="43">
        <f>VLOOKUP(A54,'Data yoy'!$B:$AW,MATCH($B$1,'Data yoy'!$B$1:$AW$1,0),FALSE)</f>
        <v/>
      </c>
      <c r="C54" s="43">
        <f>Table13456789101112131415161734[[#This Row],[USA]]-B53</f>
        <v/>
      </c>
      <c r="D54" s="27" t="n"/>
    </row>
    <row r="55">
      <c r="A55" s="42" t="n">
        <v>22190</v>
      </c>
      <c r="B55" s="43">
        <f>VLOOKUP(A55,'Data yoy'!$B:$AW,MATCH($B$1,'Data yoy'!$B$1:$AW$1,0),FALSE)</f>
        <v/>
      </c>
      <c r="C55" s="43">
        <f>Table13456789101112131415161734[[#This Row],[USA]]-B54</f>
        <v/>
      </c>
      <c r="D55" s="27" t="n"/>
    </row>
    <row r="56">
      <c r="A56" s="42" t="n">
        <v>22282</v>
      </c>
      <c r="B56" s="43">
        <f>VLOOKUP(A56,'Data yoy'!$B:$AW,MATCH($B$1,'Data yoy'!$B$1:$AW$1,0),FALSE)</f>
        <v/>
      </c>
      <c r="C56" s="43">
        <f>Table13456789101112131415161734[[#This Row],[USA]]-B55</f>
        <v/>
      </c>
      <c r="D56" s="27" t="n"/>
    </row>
    <row r="57">
      <c r="A57" s="42" t="n">
        <v>22372</v>
      </c>
      <c r="B57" s="43">
        <f>VLOOKUP(A57,'Data yoy'!$B:$AW,MATCH($B$1,'Data yoy'!$B$1:$AW$1,0),FALSE)</f>
        <v/>
      </c>
      <c r="C57" s="43">
        <f>Table13456789101112131415161734[[#This Row],[USA]]-B56</f>
        <v/>
      </c>
      <c r="D57" s="27" t="n"/>
    </row>
    <row r="58">
      <c r="A58" s="42" t="n">
        <v>22463</v>
      </c>
      <c r="B58" s="43">
        <f>VLOOKUP(A58,'Data yoy'!$B:$AW,MATCH($B$1,'Data yoy'!$B$1:$AW$1,0),FALSE)</f>
        <v/>
      </c>
      <c r="C58" s="43">
        <f>Table13456789101112131415161734[[#This Row],[USA]]-B57</f>
        <v/>
      </c>
      <c r="D58" s="27" t="n"/>
    </row>
    <row r="59">
      <c r="A59" s="42" t="n">
        <v>22555</v>
      </c>
      <c r="B59" s="43">
        <f>VLOOKUP(A59,'Data yoy'!$B:$AW,MATCH($B$1,'Data yoy'!$B$1:$AW$1,0),FALSE)</f>
        <v/>
      </c>
      <c r="C59" s="43">
        <f>Table13456789101112131415161734[[#This Row],[USA]]-B58</f>
        <v/>
      </c>
      <c r="D59" s="27" t="n"/>
    </row>
    <row r="60">
      <c r="A60" s="42" t="n">
        <v>22647</v>
      </c>
      <c r="B60" s="43">
        <f>VLOOKUP(A60,'Data yoy'!$B:$AW,MATCH($B$1,'Data yoy'!$B$1:$AW$1,0),FALSE)</f>
        <v/>
      </c>
      <c r="C60" s="43">
        <f>Table13456789101112131415161734[[#This Row],[USA]]-B59</f>
        <v/>
      </c>
      <c r="D60" s="27" t="n"/>
    </row>
    <row r="61">
      <c r="A61" s="42" t="n">
        <v>22737</v>
      </c>
      <c r="B61" s="43">
        <f>VLOOKUP(A61,'Data yoy'!$B:$AW,MATCH($B$1,'Data yoy'!$B$1:$AW$1,0),FALSE)</f>
        <v/>
      </c>
      <c r="C61" s="43">
        <f>Table13456789101112131415161734[[#This Row],[USA]]-B60</f>
        <v/>
      </c>
      <c r="D61" s="27" t="n"/>
    </row>
    <row r="62">
      <c r="A62" s="42" t="n">
        <v>22828</v>
      </c>
      <c r="B62" s="43">
        <f>VLOOKUP(A62,'Data yoy'!$B:$AW,MATCH($B$1,'Data yoy'!$B$1:$AW$1,0),FALSE)</f>
        <v/>
      </c>
      <c r="C62" s="43">
        <f>Table13456789101112131415161734[[#This Row],[USA]]-B61</f>
        <v/>
      </c>
      <c r="D62" s="27" t="n"/>
    </row>
    <row r="63">
      <c r="A63" s="42" t="n">
        <v>22920</v>
      </c>
      <c r="B63" s="43">
        <f>VLOOKUP(A63,'Data yoy'!$B:$AW,MATCH($B$1,'Data yoy'!$B$1:$AW$1,0),FALSE)</f>
        <v/>
      </c>
      <c r="C63" s="43">
        <f>Table13456789101112131415161734[[#This Row],[USA]]-B62</f>
        <v/>
      </c>
      <c r="D63" s="27" t="n"/>
    </row>
    <row r="64">
      <c r="A64" s="42" t="n">
        <v>23012</v>
      </c>
      <c r="B64" s="43">
        <f>VLOOKUP(A64,'Data yoy'!$B:$AW,MATCH($B$1,'Data yoy'!$B$1:$AW$1,0),FALSE)</f>
        <v/>
      </c>
      <c r="C64" s="43">
        <f>Table13456789101112131415161734[[#This Row],[USA]]-B63</f>
        <v/>
      </c>
      <c r="D64" s="27" t="n"/>
    </row>
    <row r="65">
      <c r="A65" s="42" t="n">
        <v>23102</v>
      </c>
      <c r="B65" s="43">
        <f>VLOOKUP(A65,'Data yoy'!$B:$AW,MATCH($B$1,'Data yoy'!$B$1:$AW$1,0),FALSE)</f>
        <v/>
      </c>
      <c r="C65" s="43">
        <f>Table13456789101112131415161734[[#This Row],[USA]]-B64</f>
        <v/>
      </c>
      <c r="D65" s="27" t="n"/>
    </row>
    <row r="66">
      <c r="A66" s="42" t="n">
        <v>23193</v>
      </c>
      <c r="B66" s="43">
        <f>VLOOKUP(A66,'Data yoy'!$B:$AW,MATCH($B$1,'Data yoy'!$B$1:$AW$1,0),FALSE)</f>
        <v/>
      </c>
      <c r="C66" s="43">
        <f>Table13456789101112131415161734[[#This Row],[USA]]-B65</f>
        <v/>
      </c>
      <c r="D66" s="27" t="n"/>
    </row>
    <row r="67">
      <c r="A67" s="42" t="n">
        <v>23285</v>
      </c>
      <c r="B67" s="43">
        <f>VLOOKUP(A67,'Data yoy'!$B:$AW,MATCH($B$1,'Data yoy'!$B$1:$AW$1,0),FALSE)</f>
        <v/>
      </c>
      <c r="C67" s="43">
        <f>Table13456789101112131415161734[[#This Row],[USA]]-B66</f>
        <v/>
      </c>
      <c r="D67" s="27" t="n"/>
    </row>
    <row r="68">
      <c r="A68" s="42" t="n">
        <v>23377</v>
      </c>
      <c r="B68" s="43">
        <f>VLOOKUP(A68,'Data yoy'!$B:$AW,MATCH($B$1,'Data yoy'!$B$1:$AW$1,0),FALSE)</f>
        <v/>
      </c>
      <c r="C68" s="43">
        <f>Table13456789101112131415161734[[#This Row],[USA]]-B67</f>
        <v/>
      </c>
      <c r="D68" s="27" t="n"/>
    </row>
    <row r="69">
      <c r="A69" s="42" t="n">
        <v>23468</v>
      </c>
      <c r="B69" s="43">
        <f>VLOOKUP(A69,'Data yoy'!$B:$AW,MATCH($B$1,'Data yoy'!$B$1:$AW$1,0),FALSE)</f>
        <v/>
      </c>
      <c r="C69" s="43">
        <f>Table13456789101112131415161734[[#This Row],[USA]]-B68</f>
        <v/>
      </c>
      <c r="D69" s="27" t="n"/>
    </row>
    <row r="70">
      <c r="A70" s="42" t="n">
        <v>23559</v>
      </c>
      <c r="B70" s="43">
        <f>VLOOKUP(A70,'Data yoy'!$B:$AW,MATCH($B$1,'Data yoy'!$B$1:$AW$1,0),FALSE)</f>
        <v/>
      </c>
      <c r="C70" s="43">
        <f>Table13456789101112131415161734[[#This Row],[USA]]-B69</f>
        <v/>
      </c>
      <c r="D70" s="27" t="n"/>
    </row>
    <row r="71">
      <c r="A71" s="42" t="n">
        <v>23651</v>
      </c>
      <c r="B71" s="43">
        <f>VLOOKUP(A71,'Data yoy'!$B:$AW,MATCH($B$1,'Data yoy'!$B$1:$AW$1,0),FALSE)</f>
        <v/>
      </c>
      <c r="C71" s="43">
        <f>Table13456789101112131415161734[[#This Row],[USA]]-B70</f>
        <v/>
      </c>
      <c r="D71" s="27" t="n"/>
    </row>
    <row r="72">
      <c r="A72" s="42" t="n">
        <v>23743</v>
      </c>
      <c r="B72" s="43">
        <f>VLOOKUP(A72,'Data yoy'!$B:$AW,MATCH($B$1,'Data yoy'!$B$1:$AW$1,0),FALSE)</f>
        <v/>
      </c>
      <c r="C72" s="43">
        <f>Table13456789101112131415161734[[#This Row],[USA]]-B71</f>
        <v/>
      </c>
      <c r="D72" s="27" t="n"/>
    </row>
    <row r="73">
      <c r="A73" s="42" t="n">
        <v>23833</v>
      </c>
      <c r="B73" s="43">
        <f>VLOOKUP(A73,'Data yoy'!$B:$AW,MATCH($B$1,'Data yoy'!$B$1:$AW$1,0),FALSE)</f>
        <v/>
      </c>
      <c r="C73" s="43">
        <f>Table13456789101112131415161734[[#This Row],[USA]]-B72</f>
        <v/>
      </c>
      <c r="D73" s="27" t="n"/>
    </row>
    <row r="74">
      <c r="A74" s="42" t="n">
        <v>23924</v>
      </c>
      <c r="B74" s="43">
        <f>VLOOKUP(A74,'Data yoy'!$B:$AW,MATCH($B$1,'Data yoy'!$B$1:$AW$1,0),FALSE)</f>
        <v/>
      </c>
      <c r="C74" s="43">
        <f>Table13456789101112131415161734[[#This Row],[USA]]-B73</f>
        <v/>
      </c>
      <c r="D74" s="27" t="n"/>
    </row>
    <row r="75">
      <c r="A75" s="42" t="n">
        <v>24016</v>
      </c>
      <c r="B75" s="43">
        <f>VLOOKUP(A75,'Data yoy'!$B:$AW,MATCH($B$1,'Data yoy'!$B$1:$AW$1,0),FALSE)</f>
        <v/>
      </c>
      <c r="C75" s="43">
        <f>Table13456789101112131415161734[[#This Row],[USA]]-B74</f>
        <v/>
      </c>
      <c r="D75" s="27" t="n"/>
    </row>
    <row r="76">
      <c r="A76" s="42" t="n">
        <v>24108</v>
      </c>
      <c r="B76" s="43">
        <f>VLOOKUP(A76,'Data yoy'!$B:$AW,MATCH($B$1,'Data yoy'!$B$1:$AW$1,0),FALSE)</f>
        <v/>
      </c>
      <c r="C76" s="43">
        <f>Table13456789101112131415161734[[#This Row],[USA]]-B75</f>
        <v/>
      </c>
      <c r="D76" s="27" t="n"/>
    </row>
    <row r="77">
      <c r="A77" s="42" t="n">
        <v>24198</v>
      </c>
      <c r="B77" s="43">
        <f>VLOOKUP(A77,'Data yoy'!$B:$AW,MATCH($B$1,'Data yoy'!$B$1:$AW$1,0),FALSE)</f>
        <v/>
      </c>
      <c r="C77" s="43">
        <f>Table13456789101112131415161734[[#This Row],[USA]]-B76</f>
        <v/>
      </c>
      <c r="D77" s="27" t="n"/>
    </row>
    <row r="78">
      <c r="A78" s="42" t="n">
        <v>24289</v>
      </c>
      <c r="B78" s="43">
        <f>VLOOKUP(A78,'Data yoy'!$B:$AW,MATCH($B$1,'Data yoy'!$B$1:$AW$1,0),FALSE)</f>
        <v/>
      </c>
      <c r="C78" s="43">
        <f>Table13456789101112131415161734[[#This Row],[USA]]-B77</f>
        <v/>
      </c>
      <c r="D78" s="27" t="n"/>
    </row>
    <row r="79">
      <c r="A79" s="42" t="n">
        <v>24381</v>
      </c>
      <c r="B79" s="43">
        <f>VLOOKUP(A79,'Data yoy'!$B:$AW,MATCH($B$1,'Data yoy'!$B$1:$AW$1,0),FALSE)</f>
        <v/>
      </c>
      <c r="C79" s="43">
        <f>Table13456789101112131415161734[[#This Row],[USA]]-B78</f>
        <v/>
      </c>
      <c r="D79" s="27" t="n"/>
    </row>
    <row r="80">
      <c r="A80" s="42" t="n">
        <v>24473</v>
      </c>
      <c r="B80" s="43">
        <f>VLOOKUP(A80,'Data yoy'!$B:$AW,MATCH($B$1,'Data yoy'!$B$1:$AW$1,0),FALSE)</f>
        <v/>
      </c>
      <c r="C80" s="43">
        <f>Table13456789101112131415161734[[#This Row],[USA]]-B79</f>
        <v/>
      </c>
      <c r="D80" s="27" t="n"/>
    </row>
    <row r="81">
      <c r="A81" s="42" t="n">
        <v>24563</v>
      </c>
      <c r="B81" s="43">
        <f>VLOOKUP(A81,'Data yoy'!$B:$AW,MATCH($B$1,'Data yoy'!$B$1:$AW$1,0),FALSE)</f>
        <v/>
      </c>
      <c r="C81" s="43">
        <f>Table13456789101112131415161734[[#This Row],[USA]]-B80</f>
        <v/>
      </c>
      <c r="D81" s="27" t="n"/>
    </row>
    <row r="82">
      <c r="A82" s="42" t="n">
        <v>24654</v>
      </c>
      <c r="B82" s="43">
        <f>VLOOKUP(A82,'Data yoy'!$B:$AW,MATCH($B$1,'Data yoy'!$B$1:$AW$1,0),FALSE)</f>
        <v/>
      </c>
      <c r="C82" s="43">
        <f>Table13456789101112131415161734[[#This Row],[USA]]-B81</f>
        <v/>
      </c>
      <c r="D82" s="27" t="n"/>
    </row>
    <row r="83">
      <c r="A83" s="42" t="n">
        <v>24746</v>
      </c>
      <c r="B83" s="43">
        <f>VLOOKUP(A83,'Data yoy'!$B:$AW,MATCH($B$1,'Data yoy'!$B$1:$AW$1,0),FALSE)</f>
        <v/>
      </c>
      <c r="C83" s="43">
        <f>Table13456789101112131415161734[[#This Row],[USA]]-B82</f>
        <v/>
      </c>
      <c r="D83" s="27" t="n"/>
    </row>
    <row r="84">
      <c r="A84" s="42" t="n">
        <v>24838</v>
      </c>
      <c r="B84" s="43">
        <f>VLOOKUP(A84,'Data yoy'!$B:$AW,MATCH($B$1,'Data yoy'!$B$1:$AW$1,0),FALSE)</f>
        <v/>
      </c>
      <c r="C84" s="43">
        <f>Table13456789101112131415161734[[#This Row],[USA]]-B83</f>
        <v/>
      </c>
      <c r="D84" s="27" t="n"/>
    </row>
    <row r="85">
      <c r="A85" s="42" t="n">
        <v>24929</v>
      </c>
      <c r="B85" s="43">
        <f>VLOOKUP(A85,'Data yoy'!$B:$AW,MATCH($B$1,'Data yoy'!$B$1:$AW$1,0),FALSE)</f>
        <v/>
      </c>
      <c r="C85" s="43">
        <f>Table13456789101112131415161734[[#This Row],[USA]]-B84</f>
        <v/>
      </c>
      <c r="D85" s="27" t="n"/>
    </row>
    <row r="86">
      <c r="A86" s="42" t="n">
        <v>25020</v>
      </c>
      <c r="B86" s="43">
        <f>VLOOKUP(A86,'Data yoy'!$B:$AW,MATCH($B$1,'Data yoy'!$B$1:$AW$1,0),FALSE)</f>
        <v/>
      </c>
      <c r="C86" s="43">
        <f>Table13456789101112131415161734[[#This Row],[USA]]-B85</f>
        <v/>
      </c>
      <c r="D86" s="27" t="n"/>
    </row>
    <row r="87">
      <c r="A87" s="42" t="n">
        <v>25112</v>
      </c>
      <c r="B87" s="43">
        <f>VLOOKUP(A87,'Data yoy'!$B:$AW,MATCH($B$1,'Data yoy'!$B$1:$AW$1,0),FALSE)</f>
        <v/>
      </c>
      <c r="C87" s="43">
        <f>Table13456789101112131415161734[[#This Row],[USA]]-B86</f>
        <v/>
      </c>
      <c r="D87" s="27" t="n"/>
    </row>
    <row r="88">
      <c r="A88" s="42" t="n">
        <v>25204</v>
      </c>
      <c r="B88" s="43">
        <f>VLOOKUP(A88,'Data yoy'!$B:$AW,MATCH($B$1,'Data yoy'!$B$1:$AW$1,0),FALSE)</f>
        <v/>
      </c>
      <c r="C88" s="43">
        <f>Table13456789101112131415161734[[#This Row],[USA]]-B87</f>
        <v/>
      </c>
      <c r="D88" s="27" t="n"/>
    </row>
    <row r="89">
      <c r="A89" s="42" t="n">
        <v>25294</v>
      </c>
      <c r="B89" s="43">
        <f>VLOOKUP(A89,'Data yoy'!$B:$AW,MATCH($B$1,'Data yoy'!$B$1:$AW$1,0),FALSE)</f>
        <v/>
      </c>
      <c r="C89" s="43">
        <f>Table13456789101112131415161734[[#This Row],[USA]]-B88</f>
        <v/>
      </c>
      <c r="D89" s="27" t="n"/>
    </row>
    <row r="90">
      <c r="A90" s="42" t="n">
        <v>25385</v>
      </c>
      <c r="B90" s="43">
        <f>VLOOKUP(A90,'Data yoy'!$B:$AW,MATCH($B$1,'Data yoy'!$B$1:$AW$1,0),FALSE)</f>
        <v/>
      </c>
      <c r="C90" s="43">
        <f>Table13456789101112131415161734[[#This Row],[USA]]-B89</f>
        <v/>
      </c>
      <c r="D90" s="27" t="n"/>
    </row>
    <row r="91">
      <c r="A91" s="42" t="n">
        <v>25477</v>
      </c>
      <c r="B91" s="43">
        <f>VLOOKUP(A91,'Data yoy'!$B:$AW,MATCH($B$1,'Data yoy'!$B$1:$AW$1,0),FALSE)</f>
        <v/>
      </c>
      <c r="C91" s="43">
        <f>Table13456789101112131415161734[[#This Row],[USA]]-B90</f>
        <v/>
      </c>
      <c r="D91" s="27" t="n"/>
    </row>
    <row r="92">
      <c r="A92" s="42" t="n">
        <v>25569</v>
      </c>
      <c r="B92" s="43">
        <f>VLOOKUP(A92,'Data yoy'!$B:$AW,MATCH($B$1,'Data yoy'!$B$1:$AW$1,0),FALSE)</f>
        <v/>
      </c>
      <c r="C92" s="43">
        <f>Table13456789101112131415161734[[#This Row],[USA]]-B91</f>
        <v/>
      </c>
      <c r="D92" s="27" t="n"/>
    </row>
    <row r="93">
      <c r="A93" s="42" t="n">
        <v>25659</v>
      </c>
      <c r="B93" s="43">
        <f>VLOOKUP(A93,'Data yoy'!$B:$AW,MATCH($B$1,'Data yoy'!$B$1:$AW$1,0),FALSE)</f>
        <v/>
      </c>
      <c r="C93" s="43">
        <f>Table13456789101112131415161734[[#This Row],[USA]]-B92</f>
        <v/>
      </c>
      <c r="D93" s="27" t="n"/>
    </row>
    <row r="94">
      <c r="A94" s="42" t="n">
        <v>25750</v>
      </c>
      <c r="B94" s="43">
        <f>VLOOKUP(A94,'Data yoy'!$B:$AW,MATCH($B$1,'Data yoy'!$B$1:$AW$1,0),FALSE)</f>
        <v/>
      </c>
      <c r="C94" s="43">
        <f>Table13456789101112131415161734[[#This Row],[USA]]-B93</f>
        <v/>
      </c>
      <c r="D94" s="27" t="n"/>
    </row>
    <row r="95">
      <c r="A95" s="42" t="n">
        <v>25842</v>
      </c>
      <c r="B95" s="43">
        <f>VLOOKUP(A95,'Data yoy'!$B:$AW,MATCH($B$1,'Data yoy'!$B$1:$AW$1,0),FALSE)</f>
        <v/>
      </c>
      <c r="C95" s="43">
        <f>Table13456789101112131415161734[[#This Row],[USA]]-B94</f>
        <v/>
      </c>
      <c r="D95" s="27" t="n"/>
    </row>
    <row r="96">
      <c r="A96" s="42" t="n">
        <v>25934</v>
      </c>
      <c r="B96" s="43">
        <f>VLOOKUP(A96,'Data yoy'!$B:$AW,MATCH($B$1,'Data yoy'!$B$1:$AW$1,0),FALSE)</f>
        <v/>
      </c>
      <c r="C96" s="43">
        <f>Table13456789101112131415161734[[#This Row],[USA]]-B95</f>
        <v/>
      </c>
      <c r="D96" s="27" t="n"/>
    </row>
    <row r="97">
      <c r="A97" s="42" t="n">
        <v>26024</v>
      </c>
      <c r="B97" s="43">
        <f>VLOOKUP(A97,'Data yoy'!$B:$AW,MATCH($B$1,'Data yoy'!$B$1:$AW$1,0),FALSE)</f>
        <v/>
      </c>
      <c r="C97" s="43">
        <f>Table13456789101112131415161734[[#This Row],[USA]]-B96</f>
        <v/>
      </c>
      <c r="D97" s="27" t="n"/>
    </row>
    <row r="98">
      <c r="A98" s="42" t="n">
        <v>26115</v>
      </c>
      <c r="B98" s="43">
        <f>VLOOKUP(A98,'Data yoy'!$B:$AW,MATCH($B$1,'Data yoy'!$B$1:$AW$1,0),FALSE)</f>
        <v/>
      </c>
      <c r="C98" s="43">
        <f>Table13456789101112131415161734[[#This Row],[USA]]-B97</f>
        <v/>
      </c>
      <c r="D98" s="27" t="n"/>
    </row>
    <row r="99">
      <c r="A99" s="42" t="n">
        <v>26207</v>
      </c>
      <c r="B99" s="43">
        <f>VLOOKUP(A99,'Data yoy'!$B:$AW,MATCH($B$1,'Data yoy'!$B$1:$AW$1,0),FALSE)</f>
        <v/>
      </c>
      <c r="C99" s="43">
        <f>Table13456789101112131415161734[[#This Row],[USA]]-B98</f>
        <v/>
      </c>
      <c r="D99" s="27" t="n"/>
    </row>
    <row r="100">
      <c r="A100" s="42" t="n">
        <v>26299</v>
      </c>
      <c r="B100" s="43">
        <f>VLOOKUP(A100,'Data yoy'!$B:$AW,MATCH($B$1,'Data yoy'!$B$1:$AW$1,0),FALSE)</f>
        <v/>
      </c>
      <c r="C100" s="43">
        <f>Table13456789101112131415161734[[#This Row],[USA]]-B99</f>
        <v/>
      </c>
      <c r="D100" s="27" t="n"/>
    </row>
    <row r="101">
      <c r="A101" s="42" t="n">
        <v>26390</v>
      </c>
      <c r="B101" s="43">
        <f>VLOOKUP(A101,'Data yoy'!$B:$AW,MATCH($B$1,'Data yoy'!$B$1:$AW$1,0),FALSE)</f>
        <v/>
      </c>
      <c r="C101" s="43">
        <f>Table13456789101112131415161734[[#This Row],[USA]]-B100</f>
        <v/>
      </c>
      <c r="D101" s="27" t="n"/>
    </row>
    <row r="102">
      <c r="A102" s="42" t="n">
        <v>26481</v>
      </c>
      <c r="B102" s="43">
        <f>VLOOKUP(A102,'Data yoy'!$B:$AW,MATCH($B$1,'Data yoy'!$B$1:$AW$1,0),FALSE)</f>
        <v/>
      </c>
      <c r="C102" s="43">
        <f>Table13456789101112131415161734[[#This Row],[USA]]-B101</f>
        <v/>
      </c>
      <c r="D102" s="27" t="n"/>
    </row>
    <row r="103">
      <c r="A103" s="42" t="n">
        <v>26573</v>
      </c>
      <c r="B103" s="43">
        <f>VLOOKUP(A103,'Data yoy'!$B:$AW,MATCH($B$1,'Data yoy'!$B$1:$AW$1,0),FALSE)</f>
        <v/>
      </c>
      <c r="C103" s="43">
        <f>Table13456789101112131415161734[[#This Row],[USA]]-B102</f>
        <v/>
      </c>
      <c r="D103" s="27" t="n"/>
    </row>
    <row r="104">
      <c r="A104" s="42" t="n">
        <v>26665</v>
      </c>
      <c r="B104" s="43">
        <f>VLOOKUP(A104,'Data yoy'!$B:$AW,MATCH($B$1,'Data yoy'!$B$1:$AW$1,0),FALSE)</f>
        <v/>
      </c>
      <c r="C104" s="43">
        <f>Table13456789101112131415161734[[#This Row],[USA]]-B103</f>
        <v/>
      </c>
      <c r="D104" s="27" t="n"/>
    </row>
    <row r="105">
      <c r="A105" s="42" t="n">
        <v>26755</v>
      </c>
      <c r="B105" s="43">
        <f>VLOOKUP(A105,'Data yoy'!$B:$AW,MATCH($B$1,'Data yoy'!$B$1:$AW$1,0),FALSE)</f>
        <v/>
      </c>
      <c r="C105" s="43">
        <f>Table13456789101112131415161734[[#This Row],[USA]]-B104</f>
        <v/>
      </c>
      <c r="D105" s="27" t="n"/>
    </row>
    <row r="106">
      <c r="A106" s="42" t="n">
        <v>26846</v>
      </c>
      <c r="B106" s="43">
        <f>VLOOKUP(A106,'Data yoy'!$B:$AW,MATCH($B$1,'Data yoy'!$B$1:$AW$1,0),FALSE)</f>
        <v/>
      </c>
      <c r="C106" s="43">
        <f>Table13456789101112131415161734[[#This Row],[USA]]-B105</f>
        <v/>
      </c>
      <c r="D106" s="27" t="n"/>
    </row>
    <row r="107">
      <c r="A107" s="42" t="n">
        <v>26938</v>
      </c>
      <c r="B107" s="43">
        <f>VLOOKUP(A107,'Data yoy'!$B:$AW,MATCH($B$1,'Data yoy'!$B$1:$AW$1,0),FALSE)</f>
        <v/>
      </c>
      <c r="C107" s="43">
        <f>Table13456789101112131415161734[[#This Row],[USA]]-B106</f>
        <v/>
      </c>
      <c r="D107" s="27" t="n"/>
    </row>
    <row r="108">
      <c r="A108" s="42" t="n">
        <v>27030</v>
      </c>
      <c r="B108" s="43">
        <f>VLOOKUP(A108,'Data yoy'!$B:$AW,MATCH($B$1,'Data yoy'!$B$1:$AW$1,0),FALSE)</f>
        <v/>
      </c>
      <c r="C108" s="43">
        <f>Table13456789101112131415161734[[#This Row],[USA]]-B107</f>
        <v/>
      </c>
      <c r="D108" s="27" t="n"/>
    </row>
    <row r="109">
      <c r="A109" s="42" t="n">
        <v>27120</v>
      </c>
      <c r="B109" s="43">
        <f>VLOOKUP(A109,'Data yoy'!$B:$AW,MATCH($B$1,'Data yoy'!$B$1:$AW$1,0),FALSE)</f>
        <v/>
      </c>
      <c r="C109" s="43">
        <f>Table13456789101112131415161734[[#This Row],[USA]]-B108</f>
        <v/>
      </c>
      <c r="D109" s="27" t="n"/>
    </row>
    <row r="110">
      <c r="A110" s="42" t="n">
        <v>27211</v>
      </c>
      <c r="B110" s="43">
        <f>VLOOKUP(A110,'Data yoy'!$B:$AW,MATCH($B$1,'Data yoy'!$B$1:$AW$1,0),FALSE)</f>
        <v/>
      </c>
      <c r="C110" s="43">
        <f>Table13456789101112131415161734[[#This Row],[USA]]-B109</f>
        <v/>
      </c>
      <c r="D110" s="27" t="n"/>
    </row>
    <row r="111">
      <c r="A111" s="42" t="n">
        <v>27303</v>
      </c>
      <c r="B111" s="43">
        <f>VLOOKUP(A111,'Data yoy'!$B:$AW,MATCH($B$1,'Data yoy'!$B$1:$AW$1,0),FALSE)</f>
        <v/>
      </c>
      <c r="C111" s="43">
        <f>Table13456789101112131415161734[[#This Row],[USA]]-B110</f>
        <v/>
      </c>
      <c r="D111" s="27" t="n"/>
    </row>
    <row r="112">
      <c r="A112" s="42" t="n">
        <v>27395</v>
      </c>
      <c r="B112" s="43">
        <f>VLOOKUP(A112,'Data yoy'!$B:$AW,MATCH($B$1,'Data yoy'!$B$1:$AW$1,0),FALSE)</f>
        <v/>
      </c>
      <c r="C112" s="43">
        <f>Table13456789101112131415161734[[#This Row],[USA]]-B111</f>
        <v/>
      </c>
      <c r="D112" s="27" t="n"/>
    </row>
    <row r="113">
      <c r="A113" s="42" t="n">
        <v>27485</v>
      </c>
      <c r="B113" s="43">
        <f>VLOOKUP(A113,'Data yoy'!$B:$AW,MATCH($B$1,'Data yoy'!$B$1:$AW$1,0),FALSE)</f>
        <v/>
      </c>
      <c r="C113" s="43">
        <f>Table13456789101112131415161734[[#This Row],[USA]]-B112</f>
        <v/>
      </c>
      <c r="D113" s="27" t="n"/>
    </row>
    <row r="114">
      <c r="A114" s="42" t="n">
        <v>27576</v>
      </c>
      <c r="B114" s="43">
        <f>VLOOKUP(A114,'Data yoy'!$B:$AW,MATCH($B$1,'Data yoy'!$B$1:$AW$1,0),FALSE)</f>
        <v/>
      </c>
      <c r="C114" s="43">
        <f>Table13456789101112131415161734[[#This Row],[USA]]-B113</f>
        <v/>
      </c>
      <c r="D114" s="27" t="n"/>
    </row>
    <row r="115">
      <c r="A115" s="42" t="n">
        <v>27668</v>
      </c>
      <c r="B115" s="43">
        <f>VLOOKUP(A115,'Data yoy'!$B:$AW,MATCH($B$1,'Data yoy'!$B$1:$AW$1,0),FALSE)</f>
        <v/>
      </c>
      <c r="C115" s="43">
        <f>Table13456789101112131415161734[[#This Row],[USA]]-B114</f>
        <v/>
      </c>
      <c r="D115" s="27" t="n"/>
    </row>
    <row r="116">
      <c r="A116" s="42" t="n">
        <v>27760</v>
      </c>
      <c r="B116" s="43">
        <f>VLOOKUP(A116,'Data yoy'!$B:$AW,MATCH($B$1,'Data yoy'!$B$1:$AW$1,0),FALSE)</f>
        <v/>
      </c>
      <c r="C116" s="43">
        <f>Table13456789101112131415161734[[#This Row],[USA]]-B115</f>
        <v/>
      </c>
      <c r="D116" s="27" t="n"/>
    </row>
    <row r="117">
      <c r="A117" s="42" t="n">
        <v>27851</v>
      </c>
      <c r="B117" s="43">
        <f>VLOOKUP(A117,'Data yoy'!$B:$AW,MATCH($B$1,'Data yoy'!$B$1:$AW$1,0),FALSE)</f>
        <v/>
      </c>
      <c r="C117" s="43">
        <f>Table13456789101112131415161734[[#This Row],[USA]]-B116</f>
        <v/>
      </c>
      <c r="D117" s="27" t="n"/>
    </row>
    <row r="118">
      <c r="A118" s="42" t="n">
        <v>27942</v>
      </c>
      <c r="B118" s="43">
        <f>VLOOKUP(A118,'Data yoy'!$B:$AW,MATCH($B$1,'Data yoy'!$B$1:$AW$1,0),FALSE)</f>
        <v/>
      </c>
      <c r="C118" s="43">
        <f>Table13456789101112131415161734[[#This Row],[USA]]-B117</f>
        <v/>
      </c>
      <c r="D118" s="27" t="n"/>
    </row>
    <row r="119">
      <c r="A119" s="42" t="n">
        <v>28034</v>
      </c>
      <c r="B119" s="43">
        <f>VLOOKUP(A119,'Data yoy'!$B:$AW,MATCH($B$1,'Data yoy'!$B$1:$AW$1,0),FALSE)</f>
        <v/>
      </c>
      <c r="C119" s="43">
        <f>Table13456789101112131415161734[[#This Row],[USA]]-B118</f>
        <v/>
      </c>
      <c r="D119" s="27" t="n"/>
    </row>
    <row r="120">
      <c r="A120" s="42" t="n">
        <v>28126</v>
      </c>
      <c r="B120" s="43">
        <f>VLOOKUP(A120,'Data yoy'!$B:$AW,MATCH($B$1,'Data yoy'!$B$1:$AW$1,0),FALSE)</f>
        <v/>
      </c>
      <c r="C120" s="43">
        <f>Table13456789101112131415161734[[#This Row],[USA]]-B119</f>
        <v/>
      </c>
      <c r="D120" s="27" t="n"/>
    </row>
    <row r="121">
      <c r="A121" s="42" t="n">
        <v>28216</v>
      </c>
      <c r="B121" s="43">
        <f>VLOOKUP(A121,'Data yoy'!$B:$AW,MATCH($B$1,'Data yoy'!$B$1:$AW$1,0),FALSE)</f>
        <v/>
      </c>
      <c r="C121" s="43">
        <f>Table13456789101112131415161734[[#This Row],[USA]]-B120</f>
        <v/>
      </c>
      <c r="D121" s="27" t="n"/>
    </row>
    <row r="122">
      <c r="A122" s="42" t="n">
        <v>28307</v>
      </c>
      <c r="B122" s="43">
        <f>VLOOKUP(A122,'Data yoy'!$B:$AW,MATCH($B$1,'Data yoy'!$B$1:$AW$1,0),FALSE)</f>
        <v/>
      </c>
      <c r="C122" s="43">
        <f>Table13456789101112131415161734[[#This Row],[USA]]-B121</f>
        <v/>
      </c>
      <c r="D122" s="27" t="n"/>
    </row>
    <row r="123">
      <c r="A123" s="42" t="n">
        <v>28399</v>
      </c>
      <c r="B123" s="43">
        <f>VLOOKUP(A123,'Data yoy'!$B:$AW,MATCH($B$1,'Data yoy'!$B$1:$AW$1,0),FALSE)</f>
        <v/>
      </c>
      <c r="C123" s="43">
        <f>Table13456789101112131415161734[[#This Row],[USA]]-B122</f>
        <v/>
      </c>
      <c r="D123" s="27" t="n"/>
    </row>
    <row r="124">
      <c r="A124" s="42" t="n">
        <v>28491</v>
      </c>
      <c r="B124" s="43">
        <f>VLOOKUP(A124,'Data yoy'!$B:$AW,MATCH($B$1,'Data yoy'!$B$1:$AW$1,0),FALSE)</f>
        <v/>
      </c>
      <c r="C124" s="43">
        <f>Table13456789101112131415161734[[#This Row],[USA]]-B123</f>
        <v/>
      </c>
      <c r="D124" s="27" t="n"/>
    </row>
    <row r="125">
      <c r="A125" s="42" t="n">
        <v>28581</v>
      </c>
      <c r="B125" s="43">
        <f>VLOOKUP(A125,'Data yoy'!$B:$AW,MATCH($B$1,'Data yoy'!$B$1:$AW$1,0),FALSE)</f>
        <v/>
      </c>
      <c r="C125" s="43">
        <f>Table13456789101112131415161734[[#This Row],[USA]]-B124</f>
        <v/>
      </c>
      <c r="D125" s="27" t="n"/>
    </row>
    <row r="126">
      <c r="A126" s="42" t="n">
        <v>28672</v>
      </c>
      <c r="B126" s="43">
        <f>VLOOKUP(A126,'Data yoy'!$B:$AW,MATCH($B$1,'Data yoy'!$B$1:$AW$1,0),FALSE)</f>
        <v/>
      </c>
      <c r="C126" s="43">
        <f>Table13456789101112131415161734[[#This Row],[USA]]-B125</f>
        <v/>
      </c>
      <c r="D126" s="27" t="n"/>
    </row>
    <row r="127">
      <c r="A127" s="42" t="n">
        <v>28764</v>
      </c>
      <c r="B127" s="43">
        <f>VLOOKUP(A127,'Data yoy'!$B:$AW,MATCH($B$1,'Data yoy'!$B$1:$AW$1,0),FALSE)</f>
        <v/>
      </c>
      <c r="C127" s="43">
        <f>Table13456789101112131415161734[[#This Row],[USA]]-B126</f>
        <v/>
      </c>
      <c r="D127" s="27" t="n"/>
    </row>
    <row r="128">
      <c r="A128" s="42" t="n">
        <v>28856</v>
      </c>
      <c r="B128" s="43">
        <f>VLOOKUP(A128,'Data yoy'!$B:$AW,MATCH($B$1,'Data yoy'!$B$1:$AW$1,0),FALSE)</f>
        <v/>
      </c>
      <c r="C128" s="43">
        <f>Table13456789101112131415161734[[#This Row],[USA]]-B127</f>
        <v/>
      </c>
      <c r="D128" s="27" t="n"/>
    </row>
    <row r="129">
      <c r="A129" s="42" t="n">
        <v>28946</v>
      </c>
      <c r="B129" s="43">
        <f>VLOOKUP(A129,'Data yoy'!$B:$AW,MATCH($B$1,'Data yoy'!$B$1:$AW$1,0),FALSE)</f>
        <v/>
      </c>
      <c r="C129" s="43">
        <f>Table13456789101112131415161734[[#This Row],[USA]]-B128</f>
        <v/>
      </c>
      <c r="D129" s="27" t="n"/>
    </row>
    <row r="130">
      <c r="A130" s="42" t="n">
        <v>29037</v>
      </c>
      <c r="B130" s="43">
        <f>VLOOKUP(A130,'Data yoy'!$B:$AW,MATCH($B$1,'Data yoy'!$B$1:$AW$1,0),FALSE)</f>
        <v/>
      </c>
      <c r="C130" s="43">
        <f>Table13456789101112131415161734[[#This Row],[USA]]-B129</f>
        <v/>
      </c>
      <c r="D130" s="27" t="n"/>
    </row>
    <row r="131">
      <c r="A131" s="42" t="n">
        <v>29129</v>
      </c>
      <c r="B131" s="43">
        <f>VLOOKUP(A131,'Data yoy'!$B:$AW,MATCH($B$1,'Data yoy'!$B$1:$AW$1,0),FALSE)</f>
        <v/>
      </c>
      <c r="C131" s="43">
        <f>Table13456789101112131415161734[[#This Row],[USA]]-B130</f>
        <v/>
      </c>
      <c r="D131" s="27" t="n"/>
    </row>
    <row r="132">
      <c r="A132" s="42" t="n">
        <v>29221</v>
      </c>
      <c r="B132" s="43">
        <f>VLOOKUP(A132,'Data yoy'!$B:$AW,MATCH($B$1,'Data yoy'!$B$1:$AW$1,0),FALSE)</f>
        <v/>
      </c>
      <c r="C132" s="43">
        <f>Table13456789101112131415161734[[#This Row],[USA]]-B131</f>
        <v/>
      </c>
      <c r="D132" s="27" t="n"/>
    </row>
    <row r="133">
      <c r="A133" s="42" t="n">
        <v>29312</v>
      </c>
      <c r="B133" s="43">
        <f>VLOOKUP(A133,'Data yoy'!$B:$AW,MATCH($B$1,'Data yoy'!$B$1:$AW$1,0),FALSE)</f>
        <v/>
      </c>
      <c r="C133" s="43">
        <f>Table13456789101112131415161734[[#This Row],[USA]]-B132</f>
        <v/>
      </c>
      <c r="D133" s="27" t="n"/>
    </row>
    <row r="134">
      <c r="A134" s="42" t="n">
        <v>29403</v>
      </c>
      <c r="B134" s="43">
        <f>VLOOKUP(A134,'Data yoy'!$B:$AW,MATCH($B$1,'Data yoy'!$B$1:$AW$1,0),FALSE)</f>
        <v/>
      </c>
      <c r="C134" s="43">
        <f>Table13456789101112131415161734[[#This Row],[USA]]-B133</f>
        <v/>
      </c>
      <c r="D134" s="27" t="n"/>
    </row>
    <row r="135">
      <c r="A135" s="42" t="n">
        <v>29495</v>
      </c>
      <c r="B135" s="43">
        <f>VLOOKUP(A135,'Data yoy'!$B:$AW,MATCH($B$1,'Data yoy'!$B$1:$AW$1,0),FALSE)</f>
        <v/>
      </c>
      <c r="C135" s="43">
        <f>Table13456789101112131415161734[[#This Row],[USA]]-B134</f>
        <v/>
      </c>
      <c r="D135" s="27" t="n"/>
    </row>
    <row r="136">
      <c r="A136" s="42" t="n">
        <v>29587</v>
      </c>
      <c r="B136" s="43">
        <f>VLOOKUP(A136,'Data yoy'!$B:$AW,MATCH($B$1,'Data yoy'!$B$1:$AW$1,0),FALSE)</f>
        <v/>
      </c>
      <c r="C136" s="43">
        <f>Table13456789101112131415161734[[#This Row],[USA]]-B135</f>
        <v/>
      </c>
      <c r="D136" s="27" t="n"/>
    </row>
    <row r="137">
      <c r="A137" s="42" t="n">
        <v>29677</v>
      </c>
      <c r="B137" s="43">
        <f>VLOOKUP(A137,'Data yoy'!$B:$AW,MATCH($B$1,'Data yoy'!$B$1:$AW$1,0),FALSE)</f>
        <v/>
      </c>
      <c r="C137" s="43">
        <f>Table13456789101112131415161734[[#This Row],[USA]]-B136</f>
        <v/>
      </c>
      <c r="D137" s="27" t="n"/>
    </row>
    <row r="138">
      <c r="A138" s="42" t="n">
        <v>29768</v>
      </c>
      <c r="B138" s="43">
        <f>VLOOKUP(A138,'Data yoy'!$B:$AW,MATCH($B$1,'Data yoy'!$B$1:$AW$1,0),FALSE)</f>
        <v/>
      </c>
      <c r="C138" s="43">
        <f>Table13456789101112131415161734[[#This Row],[USA]]-B137</f>
        <v/>
      </c>
      <c r="D138" s="27" t="n"/>
    </row>
    <row r="139">
      <c r="A139" s="42" t="n">
        <v>29860</v>
      </c>
      <c r="B139" s="43">
        <f>VLOOKUP(A139,'Data yoy'!$B:$AW,MATCH($B$1,'Data yoy'!$B$1:$AW$1,0),FALSE)</f>
        <v/>
      </c>
      <c r="C139" s="43">
        <f>Table13456789101112131415161734[[#This Row],[USA]]-B138</f>
        <v/>
      </c>
      <c r="D139" s="27" t="n"/>
    </row>
    <row r="140">
      <c r="A140" s="42" t="n">
        <v>29952</v>
      </c>
      <c r="B140" s="43">
        <f>VLOOKUP(A140,'Data yoy'!$B:$AW,MATCH($B$1,'Data yoy'!$B$1:$AW$1,0),FALSE)</f>
        <v/>
      </c>
      <c r="C140" s="43">
        <f>Table13456789101112131415161734[[#This Row],[USA]]-B139</f>
        <v/>
      </c>
      <c r="D140" s="27" t="n"/>
    </row>
    <row r="141">
      <c r="A141" s="42" t="n">
        <v>30042</v>
      </c>
      <c r="B141" s="43">
        <f>VLOOKUP(A141,'Data yoy'!$B:$AW,MATCH($B$1,'Data yoy'!$B$1:$AW$1,0),FALSE)</f>
        <v/>
      </c>
      <c r="C141" s="43">
        <f>Table13456789101112131415161734[[#This Row],[USA]]-B140</f>
        <v/>
      </c>
      <c r="D141" s="27" t="n"/>
    </row>
    <row r="142">
      <c r="A142" s="42" t="n">
        <v>30133</v>
      </c>
      <c r="B142" s="43">
        <f>VLOOKUP(A142,'Data yoy'!$B:$AW,MATCH($B$1,'Data yoy'!$B$1:$AW$1,0),FALSE)</f>
        <v/>
      </c>
      <c r="C142" s="43">
        <f>Table13456789101112131415161734[[#This Row],[USA]]-B141</f>
        <v/>
      </c>
      <c r="D142" s="27" t="n"/>
    </row>
    <row r="143">
      <c r="A143" s="42" t="n">
        <v>30225</v>
      </c>
      <c r="B143" s="43">
        <f>VLOOKUP(A143,'Data yoy'!$B:$AW,MATCH($B$1,'Data yoy'!$B$1:$AW$1,0),FALSE)</f>
        <v/>
      </c>
      <c r="C143" s="43">
        <f>Table13456789101112131415161734[[#This Row],[USA]]-B142</f>
        <v/>
      </c>
      <c r="D143" s="27" t="n"/>
    </row>
    <row r="144">
      <c r="A144" s="42" t="n">
        <v>30317</v>
      </c>
      <c r="B144" s="43">
        <f>VLOOKUP(A144,'Data yoy'!$B:$AW,MATCH($B$1,'Data yoy'!$B$1:$AW$1,0),FALSE)</f>
        <v/>
      </c>
      <c r="C144" s="43">
        <f>Table13456789101112131415161734[[#This Row],[USA]]-B143</f>
        <v/>
      </c>
      <c r="D144" s="27" t="n"/>
    </row>
    <row r="145">
      <c r="A145" s="42" t="n">
        <v>30407</v>
      </c>
      <c r="B145" s="43">
        <f>VLOOKUP(A145,'Data yoy'!$B:$AW,MATCH($B$1,'Data yoy'!$B$1:$AW$1,0),FALSE)</f>
        <v/>
      </c>
      <c r="C145" s="43">
        <f>Table13456789101112131415161734[[#This Row],[USA]]-B144</f>
        <v/>
      </c>
      <c r="D145" s="27" t="n"/>
    </row>
    <row r="146">
      <c r="A146" s="42" t="n">
        <v>30498</v>
      </c>
      <c r="B146" s="43">
        <f>VLOOKUP(A146,'Data yoy'!$B:$AW,MATCH($B$1,'Data yoy'!$B$1:$AW$1,0),FALSE)</f>
        <v/>
      </c>
      <c r="C146" s="43">
        <f>Table13456789101112131415161734[[#This Row],[USA]]-B145</f>
        <v/>
      </c>
      <c r="D146" s="27" t="n"/>
    </row>
    <row r="147">
      <c r="A147" s="42" t="n">
        <v>30590</v>
      </c>
      <c r="B147" s="43">
        <f>VLOOKUP(A147,'Data yoy'!$B:$AW,MATCH($B$1,'Data yoy'!$B$1:$AW$1,0),FALSE)</f>
        <v/>
      </c>
      <c r="C147" s="43">
        <f>Table13456789101112131415161734[[#This Row],[USA]]-B146</f>
        <v/>
      </c>
      <c r="D147" s="27" t="n"/>
    </row>
    <row r="148">
      <c r="A148" s="42" t="n">
        <v>30682</v>
      </c>
      <c r="B148" s="43">
        <f>VLOOKUP(A148,'Data yoy'!$B:$AW,MATCH($B$1,'Data yoy'!$B$1:$AW$1,0),FALSE)</f>
        <v/>
      </c>
      <c r="C148" s="43">
        <f>Table13456789101112131415161734[[#This Row],[USA]]-B147</f>
        <v/>
      </c>
      <c r="D148" s="27" t="n"/>
    </row>
    <row r="149">
      <c r="A149" s="42" t="n">
        <v>30773</v>
      </c>
      <c r="B149" s="43">
        <f>VLOOKUP(A149,'Data yoy'!$B:$AW,MATCH($B$1,'Data yoy'!$B$1:$AW$1,0),FALSE)</f>
        <v/>
      </c>
      <c r="C149" s="43">
        <f>Table13456789101112131415161734[[#This Row],[USA]]-B148</f>
        <v/>
      </c>
      <c r="D149" s="27" t="n"/>
    </row>
    <row r="150">
      <c r="A150" s="42" t="n">
        <v>30864</v>
      </c>
      <c r="B150" s="43">
        <f>VLOOKUP(A150,'Data yoy'!$B:$AW,MATCH($B$1,'Data yoy'!$B$1:$AW$1,0),FALSE)</f>
        <v/>
      </c>
      <c r="C150" s="43">
        <f>Table13456789101112131415161734[[#This Row],[USA]]-B149</f>
        <v/>
      </c>
      <c r="D150" s="27" t="n"/>
    </row>
    <row r="151">
      <c r="A151" s="42" t="n">
        <v>30956</v>
      </c>
      <c r="B151" s="43">
        <f>VLOOKUP(A151,'Data yoy'!$B:$AW,MATCH($B$1,'Data yoy'!$B$1:$AW$1,0),FALSE)</f>
        <v/>
      </c>
      <c r="C151" s="43">
        <f>Table13456789101112131415161734[[#This Row],[USA]]-B150</f>
        <v/>
      </c>
      <c r="D151" s="27" t="n"/>
    </row>
    <row r="152">
      <c r="A152" s="42" t="n">
        <v>31048</v>
      </c>
      <c r="B152" s="43">
        <f>VLOOKUP(A152,'Data yoy'!$B:$AW,MATCH($B$1,'Data yoy'!$B$1:$AW$1,0),FALSE)</f>
        <v/>
      </c>
      <c r="C152" s="43">
        <f>Table13456789101112131415161734[[#This Row],[USA]]-B151</f>
        <v/>
      </c>
      <c r="D152" s="27" t="n"/>
    </row>
    <row r="153">
      <c r="A153" s="42" t="n">
        <v>31138</v>
      </c>
      <c r="B153" s="43">
        <f>VLOOKUP(A153,'Data yoy'!$B:$AW,MATCH($B$1,'Data yoy'!$B$1:$AW$1,0),FALSE)</f>
        <v/>
      </c>
      <c r="C153" s="43">
        <f>Table13456789101112131415161734[[#This Row],[USA]]-B152</f>
        <v/>
      </c>
      <c r="D153" s="27" t="n"/>
    </row>
    <row r="154">
      <c r="A154" s="42" t="n">
        <v>31229</v>
      </c>
      <c r="B154" s="43">
        <f>VLOOKUP(A154,'Data yoy'!$B:$AW,MATCH($B$1,'Data yoy'!$B$1:$AW$1,0),FALSE)</f>
        <v/>
      </c>
      <c r="C154" s="43">
        <f>Table13456789101112131415161734[[#This Row],[USA]]-B153</f>
        <v/>
      </c>
      <c r="D154" s="27" t="n"/>
    </row>
    <row r="155">
      <c r="A155" s="42" t="n">
        <v>31321</v>
      </c>
      <c r="B155" s="43">
        <f>VLOOKUP(A155,'Data yoy'!$B:$AW,MATCH($B$1,'Data yoy'!$B$1:$AW$1,0),FALSE)</f>
        <v/>
      </c>
      <c r="C155" s="43">
        <f>Table13456789101112131415161734[[#This Row],[USA]]-B154</f>
        <v/>
      </c>
      <c r="D155" s="27" t="n"/>
    </row>
    <row r="156">
      <c r="A156" s="42" t="n">
        <v>31413</v>
      </c>
      <c r="B156" s="43">
        <f>VLOOKUP(A156,'Data yoy'!$B:$AW,MATCH($B$1,'Data yoy'!$B$1:$AW$1,0),FALSE)</f>
        <v/>
      </c>
      <c r="C156" s="43">
        <f>Table13456789101112131415161734[[#This Row],[USA]]-B155</f>
        <v/>
      </c>
      <c r="D156" s="27" t="n"/>
    </row>
    <row r="157">
      <c r="A157" s="42" t="n">
        <v>31503</v>
      </c>
      <c r="B157" s="43">
        <f>VLOOKUP(A157,'Data yoy'!$B:$AW,MATCH($B$1,'Data yoy'!$B$1:$AW$1,0),FALSE)</f>
        <v/>
      </c>
      <c r="C157" s="43">
        <f>Table13456789101112131415161734[[#This Row],[USA]]-B156</f>
        <v/>
      </c>
      <c r="D157" s="27" t="n"/>
    </row>
    <row r="158">
      <c r="A158" s="42" t="n">
        <v>31594</v>
      </c>
      <c r="B158" s="43">
        <f>VLOOKUP(A158,'Data yoy'!$B:$AW,MATCH($B$1,'Data yoy'!$B$1:$AW$1,0),FALSE)</f>
        <v/>
      </c>
      <c r="C158" s="43">
        <f>Table13456789101112131415161734[[#This Row],[USA]]-B157</f>
        <v/>
      </c>
      <c r="D158" s="27" t="n"/>
    </row>
    <row r="159">
      <c r="A159" s="42" t="n">
        <v>31686</v>
      </c>
      <c r="B159" s="43">
        <f>VLOOKUP(A159,'Data yoy'!$B:$AW,MATCH($B$1,'Data yoy'!$B$1:$AW$1,0),FALSE)</f>
        <v/>
      </c>
      <c r="C159" s="43">
        <f>Table13456789101112131415161734[[#This Row],[USA]]-B158</f>
        <v/>
      </c>
      <c r="D159" s="27" t="n"/>
    </row>
    <row r="160">
      <c r="A160" s="42" t="n">
        <v>31778</v>
      </c>
      <c r="B160" s="43">
        <f>VLOOKUP(A160,'Data yoy'!$B:$AW,MATCH($B$1,'Data yoy'!$B$1:$AW$1,0),FALSE)</f>
        <v/>
      </c>
      <c r="C160" s="43">
        <f>Table13456789101112131415161734[[#This Row],[USA]]-B159</f>
        <v/>
      </c>
      <c r="D160" s="27" t="n"/>
    </row>
    <row r="161">
      <c r="A161" s="42" t="n">
        <v>31868</v>
      </c>
      <c r="B161" s="43">
        <f>VLOOKUP(A161,'Data yoy'!$B:$AW,MATCH($B$1,'Data yoy'!$B$1:$AW$1,0),FALSE)</f>
        <v/>
      </c>
      <c r="C161" s="43">
        <f>Table13456789101112131415161734[[#This Row],[USA]]-B160</f>
        <v/>
      </c>
      <c r="D161" s="27" t="n"/>
    </row>
    <row r="162">
      <c r="A162" s="42" t="n">
        <v>31959</v>
      </c>
      <c r="B162" s="43">
        <f>VLOOKUP(A162,'Data yoy'!$B:$AW,MATCH($B$1,'Data yoy'!$B$1:$AW$1,0),FALSE)</f>
        <v/>
      </c>
      <c r="C162" s="43">
        <f>Table13456789101112131415161734[[#This Row],[USA]]-B161</f>
        <v/>
      </c>
      <c r="D162" s="27" t="n"/>
    </row>
    <row r="163">
      <c r="A163" s="42" t="n">
        <v>32051</v>
      </c>
      <c r="B163" s="43">
        <f>VLOOKUP(A163,'Data yoy'!$B:$AW,MATCH($B$1,'Data yoy'!$B$1:$AW$1,0),FALSE)</f>
        <v/>
      </c>
      <c r="C163" s="43">
        <f>Table13456789101112131415161734[[#This Row],[USA]]-B162</f>
        <v/>
      </c>
      <c r="D163" s="27" t="n"/>
    </row>
    <row r="164">
      <c r="A164" s="42" t="n">
        <v>32143</v>
      </c>
      <c r="B164" s="43">
        <f>VLOOKUP(A164,'Data yoy'!$B:$AW,MATCH($B$1,'Data yoy'!$B$1:$AW$1,0),FALSE)</f>
        <v/>
      </c>
      <c r="C164" s="43">
        <f>Table13456789101112131415161734[[#This Row],[USA]]-B163</f>
        <v/>
      </c>
      <c r="D164" s="27" t="n"/>
    </row>
    <row r="165">
      <c r="A165" s="42" t="n">
        <v>32234</v>
      </c>
      <c r="B165" s="43">
        <f>VLOOKUP(A165,'Data yoy'!$B:$AW,MATCH($B$1,'Data yoy'!$B$1:$AW$1,0),FALSE)</f>
        <v/>
      </c>
      <c r="C165" s="43">
        <f>Table13456789101112131415161734[[#This Row],[USA]]-B164</f>
        <v/>
      </c>
      <c r="D165" s="27" t="n"/>
    </row>
    <row r="166">
      <c r="A166" s="42" t="n">
        <v>32325</v>
      </c>
      <c r="B166" s="43">
        <f>VLOOKUP(A166,'Data yoy'!$B:$AW,MATCH($B$1,'Data yoy'!$B$1:$AW$1,0),FALSE)</f>
        <v/>
      </c>
      <c r="C166" s="43">
        <f>Table13456789101112131415161734[[#This Row],[USA]]-B165</f>
        <v/>
      </c>
      <c r="D166" s="27" t="n"/>
    </row>
    <row r="167">
      <c r="A167" s="42" t="n">
        <v>32417</v>
      </c>
      <c r="B167" s="43">
        <f>VLOOKUP(A167,'Data yoy'!$B:$AW,MATCH($B$1,'Data yoy'!$B$1:$AW$1,0),FALSE)</f>
        <v/>
      </c>
      <c r="C167" s="43">
        <f>Table13456789101112131415161734[[#This Row],[USA]]-B166</f>
        <v/>
      </c>
      <c r="D167" s="27" t="n"/>
    </row>
    <row r="168">
      <c r="A168" s="42" t="n">
        <v>32509</v>
      </c>
      <c r="B168" s="43">
        <f>VLOOKUP(A168,'Data yoy'!$B:$AW,MATCH($B$1,'Data yoy'!$B$1:$AW$1,0),FALSE)</f>
        <v/>
      </c>
      <c r="C168" s="43">
        <f>Table13456789101112131415161734[[#This Row],[USA]]-B167</f>
        <v/>
      </c>
      <c r="D168" s="27" t="n"/>
    </row>
    <row r="169">
      <c r="A169" s="42" t="n">
        <v>32599</v>
      </c>
      <c r="B169" s="43">
        <f>VLOOKUP(A169,'Data yoy'!$B:$AW,MATCH($B$1,'Data yoy'!$B$1:$AW$1,0),FALSE)</f>
        <v/>
      </c>
      <c r="C169" s="43">
        <f>Table13456789101112131415161734[[#This Row],[USA]]-B168</f>
        <v/>
      </c>
      <c r="D169" s="27" t="n"/>
    </row>
    <row r="170">
      <c r="A170" s="42" t="n">
        <v>32690</v>
      </c>
      <c r="B170" s="43">
        <f>VLOOKUP(A170,'Data yoy'!$B:$AW,MATCH($B$1,'Data yoy'!$B$1:$AW$1,0),FALSE)</f>
        <v/>
      </c>
      <c r="C170" s="43">
        <f>Table13456789101112131415161734[[#This Row],[USA]]-B169</f>
        <v/>
      </c>
      <c r="D170" s="27" t="n"/>
    </row>
    <row r="171">
      <c r="A171" s="42" t="n">
        <v>32782</v>
      </c>
      <c r="B171" s="43">
        <f>VLOOKUP(A171,'Data yoy'!$B:$AW,MATCH($B$1,'Data yoy'!$B$1:$AW$1,0),FALSE)</f>
        <v/>
      </c>
      <c r="C171" s="43">
        <f>Table13456789101112131415161734[[#This Row],[USA]]-B170</f>
        <v/>
      </c>
      <c r="D171" s="27" t="n"/>
    </row>
    <row r="172">
      <c r="A172" s="42" t="n">
        <v>32874</v>
      </c>
      <c r="B172" s="43">
        <f>VLOOKUP(A172,'Data yoy'!$B:$AW,MATCH($B$1,'Data yoy'!$B$1:$AW$1,0),FALSE)</f>
        <v/>
      </c>
      <c r="C172" s="43">
        <f>Table13456789101112131415161734[[#This Row],[USA]]-B171</f>
        <v/>
      </c>
      <c r="D172" s="27" t="n"/>
    </row>
    <row r="173">
      <c r="A173" s="42" t="n">
        <v>32964</v>
      </c>
      <c r="B173" s="43">
        <f>VLOOKUP(A173,'Data yoy'!$B:$AW,MATCH($B$1,'Data yoy'!$B$1:$AW$1,0),FALSE)</f>
        <v/>
      </c>
      <c r="C173" s="43">
        <f>Table13456789101112131415161734[[#This Row],[USA]]-B172</f>
        <v/>
      </c>
      <c r="D173" s="27" t="n"/>
    </row>
    <row r="174">
      <c r="A174" s="42" t="n">
        <v>33055</v>
      </c>
      <c r="B174" s="43">
        <f>VLOOKUP(A174,'Data yoy'!$B:$AW,MATCH($B$1,'Data yoy'!$B$1:$AW$1,0),FALSE)</f>
        <v/>
      </c>
      <c r="C174" s="43">
        <f>Table13456789101112131415161734[[#This Row],[USA]]-B173</f>
        <v/>
      </c>
      <c r="D174" s="27" t="n"/>
    </row>
    <row r="175">
      <c r="A175" s="42" t="n">
        <v>33147</v>
      </c>
      <c r="B175" s="43">
        <f>VLOOKUP(A175,'Data yoy'!$B:$AW,MATCH($B$1,'Data yoy'!$B$1:$AW$1,0),FALSE)</f>
        <v/>
      </c>
      <c r="C175" s="43">
        <f>Table13456789101112131415161734[[#This Row],[USA]]-B174</f>
        <v/>
      </c>
      <c r="D175" s="27" t="n"/>
    </row>
    <row r="176">
      <c r="A176" s="42" t="n">
        <v>33239</v>
      </c>
      <c r="B176" s="43">
        <f>VLOOKUP(A176,'Data yoy'!$B:$AW,MATCH($B$1,'Data yoy'!$B$1:$AW$1,0),FALSE)</f>
        <v/>
      </c>
      <c r="C176" s="43">
        <f>Table13456789101112131415161734[[#This Row],[USA]]-B175</f>
        <v/>
      </c>
      <c r="D176" s="27" t="n"/>
    </row>
    <row r="177">
      <c r="A177" s="42" t="n">
        <v>33329</v>
      </c>
      <c r="B177" s="43">
        <f>VLOOKUP(A177,'Data yoy'!$B:$AW,MATCH($B$1,'Data yoy'!$B$1:$AW$1,0),FALSE)</f>
        <v/>
      </c>
      <c r="C177" s="43">
        <f>Table13456789101112131415161734[[#This Row],[USA]]-B176</f>
        <v/>
      </c>
      <c r="D177" s="27" t="n"/>
    </row>
    <row r="178">
      <c r="A178" s="42" t="n">
        <v>33420</v>
      </c>
      <c r="B178" s="43">
        <f>VLOOKUP(A178,'Data yoy'!$B:$AW,MATCH($B$1,'Data yoy'!$B$1:$AW$1,0),FALSE)</f>
        <v/>
      </c>
      <c r="C178" s="43">
        <f>Table13456789101112131415161734[[#This Row],[USA]]-B177</f>
        <v/>
      </c>
      <c r="D178" s="27" t="n"/>
    </row>
    <row r="179">
      <c r="A179" s="42" t="n">
        <v>33512</v>
      </c>
      <c r="B179" s="43">
        <f>VLOOKUP(A179,'Data yoy'!$B:$AW,MATCH($B$1,'Data yoy'!$B$1:$AW$1,0),FALSE)</f>
        <v/>
      </c>
      <c r="C179" s="43">
        <f>Table13456789101112131415161734[[#This Row],[USA]]-B178</f>
        <v/>
      </c>
      <c r="D179" s="27" t="n"/>
    </row>
    <row r="180">
      <c r="A180" s="42" t="n">
        <v>33604</v>
      </c>
      <c r="B180" s="43">
        <f>VLOOKUP(A180,'Data yoy'!$B:$AW,MATCH($B$1,'Data yoy'!$B$1:$AW$1,0),FALSE)</f>
        <v/>
      </c>
      <c r="C180" s="43">
        <f>Table13456789101112131415161734[[#This Row],[USA]]-B179</f>
        <v/>
      </c>
      <c r="D180" s="27" t="n"/>
    </row>
    <row r="181">
      <c r="A181" s="42" t="n">
        <v>33695</v>
      </c>
      <c r="B181" s="43">
        <f>VLOOKUP(A181,'Data yoy'!$B:$AW,MATCH($B$1,'Data yoy'!$B$1:$AW$1,0),FALSE)</f>
        <v/>
      </c>
      <c r="C181" s="43">
        <f>Table13456789101112131415161734[[#This Row],[USA]]-B180</f>
        <v/>
      </c>
      <c r="D181" s="27" t="n"/>
    </row>
    <row r="182">
      <c r="A182" s="42" t="n">
        <v>33786</v>
      </c>
      <c r="B182" s="43">
        <f>VLOOKUP(A182,'Data yoy'!$B:$AW,MATCH($B$1,'Data yoy'!$B$1:$AW$1,0),FALSE)</f>
        <v/>
      </c>
      <c r="C182" s="43">
        <f>Table13456789101112131415161734[[#This Row],[USA]]-B181</f>
        <v/>
      </c>
      <c r="D182" s="27" t="n"/>
    </row>
    <row r="183">
      <c r="A183" s="42" t="n">
        <v>33878</v>
      </c>
      <c r="B183" s="43">
        <f>VLOOKUP(A183,'Data yoy'!$B:$AW,MATCH($B$1,'Data yoy'!$B$1:$AW$1,0),FALSE)</f>
        <v/>
      </c>
      <c r="C183" s="43">
        <f>Table13456789101112131415161734[[#This Row],[USA]]-B182</f>
        <v/>
      </c>
      <c r="D183" s="27" t="n"/>
    </row>
    <row r="184">
      <c r="A184" s="42" t="n">
        <v>33970</v>
      </c>
      <c r="B184" s="43">
        <f>VLOOKUP(A184,'Data yoy'!$B:$AW,MATCH($B$1,'Data yoy'!$B$1:$AW$1,0),FALSE)</f>
        <v/>
      </c>
      <c r="C184" s="43">
        <f>Table13456789101112131415161734[[#This Row],[USA]]-B183</f>
        <v/>
      </c>
      <c r="D184" s="27" t="n"/>
    </row>
    <row r="185">
      <c r="A185" s="42" t="n">
        <v>34060</v>
      </c>
      <c r="B185" s="43">
        <f>VLOOKUP(A185,'Data yoy'!$B:$AW,MATCH($B$1,'Data yoy'!$B$1:$AW$1,0),FALSE)</f>
        <v/>
      </c>
      <c r="C185" s="43">
        <f>Table13456789101112131415161734[[#This Row],[USA]]-B184</f>
        <v/>
      </c>
      <c r="D185" s="27" t="n"/>
    </row>
    <row r="186">
      <c r="A186" s="42" t="n">
        <v>34151</v>
      </c>
      <c r="B186" s="43">
        <f>VLOOKUP(A186,'Data yoy'!$B:$AW,MATCH($B$1,'Data yoy'!$B$1:$AW$1,0),FALSE)</f>
        <v/>
      </c>
      <c r="C186" s="43">
        <f>Table13456789101112131415161734[[#This Row],[USA]]-B185</f>
        <v/>
      </c>
      <c r="D186" s="27" t="n"/>
    </row>
    <row r="187">
      <c r="A187" s="42" t="n">
        <v>34243</v>
      </c>
      <c r="B187" s="43">
        <f>VLOOKUP(A187,'Data yoy'!$B:$AW,MATCH($B$1,'Data yoy'!$B$1:$AW$1,0),FALSE)</f>
        <v/>
      </c>
      <c r="C187" s="43">
        <f>Table13456789101112131415161734[[#This Row],[USA]]-B186</f>
        <v/>
      </c>
      <c r="D187" s="27" t="n"/>
    </row>
    <row r="188">
      <c r="A188" s="42" t="n">
        <v>34335</v>
      </c>
      <c r="B188" s="43">
        <f>VLOOKUP(A188,'Data yoy'!$B:$AW,MATCH($B$1,'Data yoy'!$B$1:$AW$1,0),FALSE)</f>
        <v/>
      </c>
      <c r="C188" s="43">
        <f>Table13456789101112131415161734[[#This Row],[USA]]-B187</f>
        <v/>
      </c>
      <c r="D188" s="27" t="n"/>
    </row>
    <row r="189">
      <c r="A189" s="42" t="n">
        <v>34425</v>
      </c>
      <c r="B189" s="43">
        <f>VLOOKUP(A189,'Data yoy'!$B:$AW,MATCH($B$1,'Data yoy'!$B$1:$AW$1,0),FALSE)</f>
        <v/>
      </c>
      <c r="C189" s="43">
        <f>Table13456789101112131415161734[[#This Row],[USA]]-B188</f>
        <v/>
      </c>
      <c r="D189" s="27" t="n"/>
    </row>
    <row r="190">
      <c r="A190" s="42" t="n">
        <v>34516</v>
      </c>
      <c r="B190" s="43">
        <f>VLOOKUP(A190,'Data yoy'!$B:$AW,MATCH($B$1,'Data yoy'!$B$1:$AW$1,0),FALSE)</f>
        <v/>
      </c>
      <c r="C190" s="43">
        <f>Table13456789101112131415161734[[#This Row],[USA]]-B189</f>
        <v/>
      </c>
      <c r="D190" s="27" t="n"/>
    </row>
    <row r="191">
      <c r="A191" s="42" t="n">
        <v>34608</v>
      </c>
      <c r="B191" s="43">
        <f>VLOOKUP(A191,'Data yoy'!$B:$AW,MATCH($B$1,'Data yoy'!$B$1:$AW$1,0),FALSE)</f>
        <v/>
      </c>
      <c r="C191" s="43">
        <f>Table13456789101112131415161734[[#This Row],[USA]]-B190</f>
        <v/>
      </c>
      <c r="D191" s="27" t="n"/>
    </row>
    <row r="192">
      <c r="A192" s="42" t="n">
        <v>34700</v>
      </c>
      <c r="B192" s="43">
        <f>VLOOKUP(A192,'Data yoy'!$B:$AW,MATCH($B$1,'Data yoy'!$B$1:$AW$1,0),FALSE)</f>
        <v/>
      </c>
      <c r="C192" s="43">
        <f>Table13456789101112131415161734[[#This Row],[USA]]-B191</f>
        <v/>
      </c>
      <c r="D192" s="27" t="n"/>
    </row>
    <row r="193">
      <c r="A193" s="42" t="n">
        <v>34790</v>
      </c>
      <c r="B193" s="43">
        <f>VLOOKUP(A193,'Data yoy'!$B:$AW,MATCH($B$1,'Data yoy'!$B$1:$AW$1,0),FALSE)</f>
        <v/>
      </c>
      <c r="C193" s="43">
        <f>Table13456789101112131415161734[[#This Row],[USA]]-B192</f>
        <v/>
      </c>
      <c r="D193" s="27" t="n"/>
    </row>
    <row r="194">
      <c r="A194" s="42" t="n">
        <v>34881</v>
      </c>
      <c r="B194" s="43">
        <f>VLOOKUP(A194,'Data yoy'!$B:$AW,MATCH($B$1,'Data yoy'!$B$1:$AW$1,0),FALSE)</f>
        <v/>
      </c>
      <c r="C194" s="43">
        <f>Table13456789101112131415161734[[#This Row],[USA]]-B193</f>
        <v/>
      </c>
      <c r="D194" s="27" t="n"/>
    </row>
    <row r="195">
      <c r="A195" s="42" t="n">
        <v>34973</v>
      </c>
      <c r="B195" s="43">
        <f>VLOOKUP(A195,'Data yoy'!$B:$AW,MATCH($B$1,'Data yoy'!$B$1:$AW$1,0),FALSE)</f>
        <v/>
      </c>
      <c r="C195" s="43">
        <f>Table13456789101112131415161734[[#This Row],[USA]]-B194</f>
        <v/>
      </c>
      <c r="D195" s="27" t="n"/>
    </row>
    <row r="196">
      <c r="A196" s="42" t="n">
        <v>35065</v>
      </c>
      <c r="B196" s="43">
        <f>VLOOKUP(A196,'Data yoy'!$B:$AW,MATCH($B$1,'Data yoy'!$B$1:$AW$1,0),FALSE)</f>
        <v/>
      </c>
      <c r="C196" s="43">
        <f>Table13456789101112131415161734[[#This Row],[USA]]-B195</f>
        <v/>
      </c>
      <c r="D196" s="27" t="n"/>
    </row>
    <row r="197">
      <c r="A197" s="42" t="n">
        <v>35156</v>
      </c>
      <c r="B197" s="43">
        <f>VLOOKUP(A197,'Data yoy'!$B:$AW,MATCH($B$1,'Data yoy'!$B$1:$AW$1,0),FALSE)</f>
        <v/>
      </c>
      <c r="C197" s="43">
        <f>Table13456789101112131415161734[[#This Row],[USA]]-B196</f>
        <v/>
      </c>
      <c r="D197" s="27" t="n"/>
    </row>
    <row r="198">
      <c r="A198" s="42" t="n">
        <v>35247</v>
      </c>
      <c r="B198" s="43">
        <f>VLOOKUP(A198,'Data yoy'!$B:$AW,MATCH($B$1,'Data yoy'!$B$1:$AW$1,0),FALSE)</f>
        <v/>
      </c>
      <c r="C198" s="43">
        <f>Table13456789101112131415161734[[#This Row],[USA]]-B197</f>
        <v/>
      </c>
      <c r="D198" s="27" t="n"/>
    </row>
    <row r="199">
      <c r="A199" s="42" t="n">
        <v>35339</v>
      </c>
      <c r="B199" s="43">
        <f>VLOOKUP(A199,'Data yoy'!$B:$AW,MATCH($B$1,'Data yoy'!$B$1:$AW$1,0),FALSE)</f>
        <v/>
      </c>
      <c r="C199" s="43">
        <f>Table13456789101112131415161734[[#This Row],[USA]]-B198</f>
        <v/>
      </c>
      <c r="D199" s="27" t="n"/>
    </row>
    <row r="200">
      <c r="A200" s="42" t="n">
        <v>35431</v>
      </c>
      <c r="B200" s="43">
        <f>VLOOKUP(A200,'Data yoy'!$B:$AW,MATCH($B$1,'Data yoy'!$B$1:$AW$1,0),FALSE)</f>
        <v/>
      </c>
      <c r="C200" s="43">
        <f>Table13456789101112131415161734[[#This Row],[USA]]-B199</f>
        <v/>
      </c>
      <c r="D200" s="27" t="n"/>
    </row>
    <row r="201">
      <c r="A201" s="42" t="n">
        <v>35521</v>
      </c>
      <c r="B201" s="43">
        <f>VLOOKUP(A201,'Data yoy'!$B:$AW,MATCH($B$1,'Data yoy'!$B$1:$AW$1,0),FALSE)</f>
        <v/>
      </c>
      <c r="C201" s="43">
        <f>Table13456789101112131415161734[[#This Row],[USA]]-B200</f>
        <v/>
      </c>
      <c r="D201" s="27" t="n"/>
    </row>
    <row r="202">
      <c r="A202" s="42" t="n">
        <v>35612</v>
      </c>
      <c r="B202" s="43">
        <f>VLOOKUP(A202,'Data yoy'!$B:$AW,MATCH($B$1,'Data yoy'!$B$1:$AW$1,0),FALSE)</f>
        <v/>
      </c>
      <c r="C202" s="43">
        <f>Table13456789101112131415161734[[#This Row],[USA]]-B201</f>
        <v/>
      </c>
      <c r="D202" s="27" t="n"/>
    </row>
    <row r="203">
      <c r="A203" s="42" t="n">
        <v>35704</v>
      </c>
      <c r="B203" s="43">
        <f>VLOOKUP(A203,'Data yoy'!$B:$AW,MATCH($B$1,'Data yoy'!$B$1:$AW$1,0),FALSE)</f>
        <v/>
      </c>
      <c r="C203" s="43">
        <f>Table13456789101112131415161734[[#This Row],[USA]]-B202</f>
        <v/>
      </c>
      <c r="D203" s="27" t="n"/>
    </row>
    <row r="204">
      <c r="A204" s="42" t="n">
        <v>35796</v>
      </c>
      <c r="B204" s="43">
        <f>VLOOKUP(A204,'Data yoy'!$B:$AW,MATCH($B$1,'Data yoy'!$B$1:$AW$1,0),FALSE)</f>
        <v/>
      </c>
      <c r="C204" s="43">
        <f>Table13456789101112131415161734[[#This Row],[USA]]-B203</f>
        <v/>
      </c>
      <c r="D204" s="27" t="n"/>
    </row>
    <row r="205">
      <c r="A205" s="42" t="n">
        <v>35886</v>
      </c>
      <c r="B205" s="43">
        <f>VLOOKUP(A205,'Data yoy'!$B:$AW,MATCH($B$1,'Data yoy'!$B$1:$AW$1,0),FALSE)</f>
        <v/>
      </c>
      <c r="C205" s="43">
        <f>Table13456789101112131415161734[[#This Row],[USA]]-B204</f>
        <v/>
      </c>
      <c r="D205" s="27" t="n"/>
    </row>
    <row r="206">
      <c r="A206" s="42" t="n">
        <v>35977</v>
      </c>
      <c r="B206" s="43">
        <f>VLOOKUP(A206,'Data yoy'!$B:$AW,MATCH($B$1,'Data yoy'!$B$1:$AW$1,0),FALSE)</f>
        <v/>
      </c>
      <c r="C206" s="43">
        <f>Table13456789101112131415161734[[#This Row],[USA]]-B205</f>
        <v/>
      </c>
      <c r="D206" s="27" t="n"/>
    </row>
    <row r="207">
      <c r="A207" s="42" t="n">
        <v>36069</v>
      </c>
      <c r="B207" s="43">
        <f>VLOOKUP(A207,'Data yoy'!$B:$AW,MATCH($B$1,'Data yoy'!$B$1:$AW$1,0),FALSE)</f>
        <v/>
      </c>
      <c r="C207" s="43">
        <f>Table13456789101112131415161734[[#This Row],[USA]]-B206</f>
        <v/>
      </c>
      <c r="D207" s="27" t="n"/>
    </row>
    <row r="208">
      <c r="A208" s="42" t="n">
        <v>36161</v>
      </c>
      <c r="B208" s="43">
        <f>VLOOKUP(A208,'Data yoy'!$B:$AW,MATCH($B$1,'Data yoy'!$B$1:$AW$1,0),FALSE)</f>
        <v/>
      </c>
      <c r="C208" s="43">
        <f>Table13456789101112131415161734[[#This Row],[USA]]-B207</f>
        <v/>
      </c>
      <c r="D208" s="27" t="n"/>
    </row>
    <row r="209">
      <c r="A209" s="42" t="n">
        <v>36251</v>
      </c>
      <c r="B209" s="43">
        <f>VLOOKUP(A209,'Data yoy'!$B:$AW,MATCH($B$1,'Data yoy'!$B$1:$AW$1,0),FALSE)</f>
        <v/>
      </c>
      <c r="C209" s="43">
        <f>Table13456789101112131415161734[[#This Row],[USA]]-B208</f>
        <v/>
      </c>
      <c r="D209" s="27" t="n"/>
    </row>
    <row r="210">
      <c r="A210" s="42" t="n">
        <v>36342</v>
      </c>
      <c r="B210" s="43">
        <f>VLOOKUP(A210,'Data yoy'!$B:$AW,MATCH($B$1,'Data yoy'!$B$1:$AW$1,0),FALSE)</f>
        <v/>
      </c>
      <c r="C210" s="43">
        <f>Table13456789101112131415161734[[#This Row],[USA]]-B209</f>
        <v/>
      </c>
      <c r="D210" s="27" t="n"/>
    </row>
    <row r="211">
      <c r="A211" s="42" t="n">
        <v>36434</v>
      </c>
      <c r="B211" s="43">
        <f>VLOOKUP(A211,'Data yoy'!$B:$AW,MATCH($B$1,'Data yoy'!$B$1:$AW$1,0),FALSE)</f>
        <v/>
      </c>
      <c r="C211" s="43">
        <f>Table13456789101112131415161734[[#This Row],[USA]]-B210</f>
        <v/>
      </c>
      <c r="D211" s="27" t="n"/>
    </row>
    <row r="212">
      <c r="A212" s="42" t="n">
        <v>36526</v>
      </c>
      <c r="B212" s="43">
        <f>VLOOKUP(A212,'Data yoy'!$B:$AW,MATCH($B$1,'Data yoy'!$B$1:$AW$1,0),FALSE)</f>
        <v/>
      </c>
      <c r="C212" s="43">
        <f>Table13456789101112131415161734[[#This Row],[USA]]-B211</f>
        <v/>
      </c>
      <c r="D212" s="27" t="n"/>
    </row>
    <row r="213">
      <c r="A213" s="42" t="n">
        <v>36617</v>
      </c>
      <c r="B213" s="43">
        <f>VLOOKUP(A213,'Data yoy'!$B:$AW,MATCH($B$1,'Data yoy'!$B$1:$AW$1,0),FALSE)</f>
        <v/>
      </c>
      <c r="C213" s="43">
        <f>Table13456789101112131415161734[[#This Row],[USA]]-B212</f>
        <v/>
      </c>
      <c r="D213" s="27" t="n"/>
    </row>
    <row r="214">
      <c r="A214" s="42" t="n">
        <v>36708</v>
      </c>
      <c r="B214" s="43">
        <f>VLOOKUP(A214,'Data yoy'!$B:$AW,MATCH($B$1,'Data yoy'!$B$1:$AW$1,0),FALSE)</f>
        <v/>
      </c>
      <c r="C214" s="43">
        <f>Table13456789101112131415161734[[#This Row],[USA]]-B213</f>
        <v/>
      </c>
      <c r="D214" s="27" t="n"/>
    </row>
    <row r="215">
      <c r="A215" s="42" t="n">
        <v>36800</v>
      </c>
      <c r="B215" s="43">
        <f>VLOOKUP(A215,'Data yoy'!$B:$AW,MATCH($B$1,'Data yoy'!$B$1:$AW$1,0),FALSE)</f>
        <v/>
      </c>
      <c r="C215" s="43">
        <f>Table13456789101112131415161734[[#This Row],[USA]]-B214</f>
        <v/>
      </c>
      <c r="D215" s="27" t="n"/>
    </row>
    <row r="216">
      <c r="A216" s="42" t="n">
        <v>36892</v>
      </c>
      <c r="B216" s="43">
        <f>VLOOKUP(A216,'Data yoy'!$B:$AW,MATCH($B$1,'Data yoy'!$B$1:$AW$1,0),FALSE)</f>
        <v/>
      </c>
      <c r="C216" s="43">
        <f>Table13456789101112131415161734[[#This Row],[USA]]-B215</f>
        <v/>
      </c>
      <c r="D216" s="27" t="n"/>
    </row>
    <row r="217">
      <c r="A217" s="42" t="n">
        <v>36982</v>
      </c>
      <c r="B217" s="43">
        <f>VLOOKUP(A217,'Data yoy'!$B:$AW,MATCH($B$1,'Data yoy'!$B$1:$AW$1,0),FALSE)</f>
        <v/>
      </c>
      <c r="C217" s="43">
        <f>Table13456789101112131415161734[[#This Row],[USA]]-B216</f>
        <v/>
      </c>
      <c r="D217" s="27" t="n"/>
    </row>
    <row r="218">
      <c r="A218" s="42" t="n">
        <v>37073</v>
      </c>
      <c r="B218" s="43">
        <f>VLOOKUP(A218,'Data yoy'!$B:$AW,MATCH($B$1,'Data yoy'!$B$1:$AW$1,0),FALSE)</f>
        <v/>
      </c>
      <c r="C218" s="43">
        <f>Table13456789101112131415161734[[#This Row],[USA]]-B217</f>
        <v/>
      </c>
      <c r="D218" s="27" t="n"/>
    </row>
    <row r="219">
      <c r="A219" s="42" t="n">
        <v>37165</v>
      </c>
      <c r="B219" s="43">
        <f>VLOOKUP(A219,'Data yoy'!$B:$AW,MATCH($B$1,'Data yoy'!$B$1:$AW$1,0),FALSE)</f>
        <v/>
      </c>
      <c r="C219" s="43">
        <f>Table13456789101112131415161734[[#This Row],[USA]]-B218</f>
        <v/>
      </c>
      <c r="D219" s="27" t="n"/>
    </row>
    <row r="220">
      <c r="A220" s="42" t="n">
        <v>37257</v>
      </c>
      <c r="B220" s="43">
        <f>VLOOKUP(A220,'Data yoy'!$B:$AW,MATCH($B$1,'Data yoy'!$B$1:$AW$1,0),FALSE)</f>
        <v/>
      </c>
      <c r="C220" s="43">
        <f>Table13456789101112131415161734[[#This Row],[USA]]-B219</f>
        <v/>
      </c>
      <c r="D220" s="27" t="n"/>
    </row>
    <row r="221">
      <c r="A221" s="42" t="n">
        <v>37347</v>
      </c>
      <c r="B221" s="43">
        <f>VLOOKUP(A221,'Data yoy'!$B:$AW,MATCH($B$1,'Data yoy'!$B$1:$AW$1,0),FALSE)</f>
        <v/>
      </c>
      <c r="C221" s="43">
        <f>Table13456789101112131415161734[[#This Row],[USA]]-B220</f>
        <v/>
      </c>
      <c r="D221" s="27" t="n"/>
    </row>
    <row r="222">
      <c r="A222" s="42" t="n">
        <v>37438</v>
      </c>
      <c r="B222" s="43">
        <f>VLOOKUP(A222,'Data yoy'!$B:$AW,MATCH($B$1,'Data yoy'!$B$1:$AW$1,0),FALSE)</f>
        <v/>
      </c>
      <c r="C222" s="43">
        <f>Table13456789101112131415161734[[#This Row],[USA]]-B221</f>
        <v/>
      </c>
      <c r="D222" s="27" t="n"/>
    </row>
    <row r="223">
      <c r="A223" s="42" t="n">
        <v>37530</v>
      </c>
      <c r="B223" s="43">
        <f>VLOOKUP(A223,'Data yoy'!$B:$AW,MATCH($B$1,'Data yoy'!$B$1:$AW$1,0),FALSE)</f>
        <v/>
      </c>
      <c r="C223" s="43">
        <f>Table13456789101112131415161734[[#This Row],[USA]]-B222</f>
        <v/>
      </c>
      <c r="D223" s="27" t="n"/>
    </row>
    <row r="224">
      <c r="A224" s="42" t="n">
        <v>37622</v>
      </c>
      <c r="B224" s="43">
        <f>VLOOKUP(A224,'Data yoy'!$B:$AW,MATCH($B$1,'Data yoy'!$B$1:$AW$1,0),FALSE)</f>
        <v/>
      </c>
      <c r="C224" s="43">
        <f>Table13456789101112131415161734[[#This Row],[USA]]-B223</f>
        <v/>
      </c>
      <c r="D224" s="27" t="n"/>
    </row>
    <row r="225">
      <c r="A225" s="42" t="n">
        <v>37712</v>
      </c>
      <c r="B225" s="43">
        <f>VLOOKUP(A225,'Data yoy'!$B:$AW,MATCH($B$1,'Data yoy'!$B$1:$AW$1,0),FALSE)</f>
        <v/>
      </c>
      <c r="C225" s="43">
        <f>Table13456789101112131415161734[[#This Row],[USA]]-B224</f>
        <v/>
      </c>
      <c r="D225" s="27" t="n"/>
    </row>
    <row r="226">
      <c r="A226" s="42" t="n">
        <v>37803</v>
      </c>
      <c r="B226" s="43">
        <f>VLOOKUP(A226,'Data yoy'!$B:$AW,MATCH($B$1,'Data yoy'!$B$1:$AW$1,0),FALSE)</f>
        <v/>
      </c>
      <c r="C226" s="43">
        <f>Table13456789101112131415161734[[#This Row],[USA]]-B225</f>
        <v/>
      </c>
      <c r="D226" s="27" t="n"/>
    </row>
    <row r="227">
      <c r="A227" s="42" t="n">
        <v>37895</v>
      </c>
      <c r="B227" s="43">
        <f>VLOOKUP(A227,'Data yoy'!$B:$AW,MATCH($B$1,'Data yoy'!$B$1:$AW$1,0),FALSE)</f>
        <v/>
      </c>
      <c r="C227" s="43">
        <f>Table13456789101112131415161734[[#This Row],[USA]]-B226</f>
        <v/>
      </c>
      <c r="D227" s="27" t="n"/>
    </row>
    <row r="228">
      <c r="A228" s="42" t="n">
        <v>37987</v>
      </c>
      <c r="B228" s="43">
        <f>VLOOKUP(A228,'Data yoy'!$B:$AW,MATCH($B$1,'Data yoy'!$B$1:$AW$1,0),FALSE)</f>
        <v/>
      </c>
      <c r="C228" s="43">
        <f>Table13456789101112131415161734[[#This Row],[USA]]-B227</f>
        <v/>
      </c>
      <c r="D228" s="27" t="n"/>
    </row>
    <row r="229">
      <c r="A229" s="42" t="n">
        <v>38078</v>
      </c>
      <c r="B229" s="43">
        <f>VLOOKUP(A229,'Data yoy'!$B:$AW,MATCH($B$1,'Data yoy'!$B$1:$AW$1,0),FALSE)</f>
        <v/>
      </c>
      <c r="C229" s="43">
        <f>Table13456789101112131415161734[[#This Row],[USA]]-B228</f>
        <v/>
      </c>
      <c r="D229" s="27" t="n"/>
    </row>
    <row r="230">
      <c r="A230" s="42" t="n">
        <v>38169</v>
      </c>
      <c r="B230" s="43">
        <f>VLOOKUP(A230,'Data yoy'!$B:$AW,MATCH($B$1,'Data yoy'!$B$1:$AW$1,0),FALSE)</f>
        <v/>
      </c>
      <c r="C230" s="43">
        <f>Table13456789101112131415161734[[#This Row],[USA]]-B229</f>
        <v/>
      </c>
      <c r="D230" s="27" t="n"/>
    </row>
    <row r="231">
      <c r="A231" s="42" t="n">
        <v>38261</v>
      </c>
      <c r="B231" s="43">
        <f>VLOOKUP(A231,'Data yoy'!$B:$AW,MATCH($B$1,'Data yoy'!$B$1:$AW$1,0),FALSE)</f>
        <v/>
      </c>
      <c r="C231" s="43">
        <f>Table13456789101112131415161734[[#This Row],[USA]]-B230</f>
        <v/>
      </c>
      <c r="D231" s="27" t="n"/>
    </row>
    <row r="232">
      <c r="A232" s="42" t="n">
        <v>38353</v>
      </c>
      <c r="B232" s="43">
        <f>VLOOKUP(A232,'Data yoy'!$B:$AW,MATCH($B$1,'Data yoy'!$B$1:$AW$1,0),FALSE)</f>
        <v/>
      </c>
      <c r="C232" s="43">
        <f>Table13456789101112131415161734[[#This Row],[USA]]-B231</f>
        <v/>
      </c>
      <c r="D232" s="27" t="n"/>
    </row>
    <row r="233">
      <c r="A233" s="42" t="n">
        <v>38443</v>
      </c>
      <c r="B233" s="43">
        <f>VLOOKUP(A233,'Data yoy'!$B:$AW,MATCH($B$1,'Data yoy'!$B$1:$AW$1,0),FALSE)</f>
        <v/>
      </c>
      <c r="C233" s="43">
        <f>Table13456789101112131415161734[[#This Row],[USA]]-B232</f>
        <v/>
      </c>
      <c r="D233" s="27" t="n"/>
    </row>
    <row r="234">
      <c r="A234" s="42" t="n">
        <v>38534</v>
      </c>
      <c r="B234" s="43">
        <f>VLOOKUP(A234,'Data yoy'!$B:$AW,MATCH($B$1,'Data yoy'!$B$1:$AW$1,0),FALSE)</f>
        <v/>
      </c>
      <c r="C234" s="43">
        <f>Table13456789101112131415161734[[#This Row],[USA]]-B233</f>
        <v/>
      </c>
      <c r="D234" s="27" t="n"/>
    </row>
    <row r="235">
      <c r="A235" s="42" t="n">
        <v>38626</v>
      </c>
      <c r="B235" s="43">
        <f>VLOOKUP(A235,'Data yoy'!$B:$AW,MATCH($B$1,'Data yoy'!$B$1:$AW$1,0),FALSE)</f>
        <v/>
      </c>
      <c r="C235" s="43">
        <f>Table13456789101112131415161734[[#This Row],[USA]]-B234</f>
        <v/>
      </c>
      <c r="D235" s="27" t="n"/>
    </row>
    <row r="236">
      <c r="A236" s="42" t="n">
        <v>38718</v>
      </c>
      <c r="B236" s="43">
        <f>VLOOKUP(A236,'Data yoy'!$B:$AW,MATCH($B$1,'Data yoy'!$B$1:$AW$1,0),FALSE)</f>
        <v/>
      </c>
      <c r="C236" s="43">
        <f>Table13456789101112131415161734[[#This Row],[USA]]-B235</f>
        <v/>
      </c>
      <c r="D236" s="27" t="n"/>
    </row>
    <row r="237">
      <c r="A237" s="42" t="n">
        <v>38808</v>
      </c>
      <c r="B237" s="43">
        <f>VLOOKUP(A237,'Data yoy'!$B:$AW,MATCH($B$1,'Data yoy'!$B$1:$AW$1,0),FALSE)</f>
        <v/>
      </c>
      <c r="C237" s="43">
        <f>Table13456789101112131415161734[[#This Row],[USA]]-B236</f>
        <v/>
      </c>
      <c r="D237" s="27" t="n"/>
    </row>
    <row r="238">
      <c r="A238" s="42" t="n">
        <v>38899</v>
      </c>
      <c r="B238" s="43">
        <f>VLOOKUP(A238,'Data yoy'!$B:$AW,MATCH($B$1,'Data yoy'!$B$1:$AW$1,0),FALSE)</f>
        <v/>
      </c>
      <c r="C238" s="43">
        <f>Table13456789101112131415161734[[#This Row],[USA]]-B237</f>
        <v/>
      </c>
      <c r="D238" s="27" t="n"/>
    </row>
    <row r="239">
      <c r="A239" s="42" t="n">
        <v>38991</v>
      </c>
      <c r="B239" s="43">
        <f>VLOOKUP(A239,'Data yoy'!$B:$AW,MATCH($B$1,'Data yoy'!$B$1:$AW$1,0),FALSE)</f>
        <v/>
      </c>
      <c r="C239" s="43">
        <f>Table13456789101112131415161734[[#This Row],[USA]]-B238</f>
        <v/>
      </c>
      <c r="D239" s="27" t="n"/>
    </row>
    <row r="240">
      <c r="A240" s="42" t="n">
        <v>39083</v>
      </c>
      <c r="B240" s="43">
        <f>VLOOKUP(A240,'Data yoy'!$B:$AW,MATCH($B$1,'Data yoy'!$B$1:$AW$1,0),FALSE)</f>
        <v/>
      </c>
      <c r="C240" s="43">
        <f>Table13456789101112131415161734[[#This Row],[USA]]-B239</f>
        <v/>
      </c>
      <c r="D240" s="27" t="n"/>
    </row>
    <row r="241">
      <c r="A241" s="42" t="n">
        <v>39173</v>
      </c>
      <c r="B241" s="43">
        <f>VLOOKUP(A241,'Data yoy'!$B:$AW,MATCH($B$1,'Data yoy'!$B$1:$AW$1,0),FALSE)</f>
        <v/>
      </c>
      <c r="C241" s="43">
        <f>Table13456789101112131415161734[[#This Row],[USA]]-B240</f>
        <v/>
      </c>
      <c r="D241" s="27" t="n"/>
    </row>
    <row r="242">
      <c r="A242" s="42" t="n">
        <v>39264</v>
      </c>
      <c r="B242" s="43">
        <f>VLOOKUP(A242,'Data yoy'!$B:$AW,MATCH($B$1,'Data yoy'!$B$1:$AW$1,0),FALSE)</f>
        <v/>
      </c>
      <c r="C242" s="43">
        <f>Table13456789101112131415161734[[#This Row],[USA]]-B241</f>
        <v/>
      </c>
      <c r="D242" s="27" t="n"/>
    </row>
    <row r="243">
      <c r="A243" s="42" t="n">
        <v>39356</v>
      </c>
      <c r="B243" s="43">
        <f>VLOOKUP(A243,'Data yoy'!$B:$AW,MATCH($B$1,'Data yoy'!$B$1:$AW$1,0),FALSE)</f>
        <v/>
      </c>
      <c r="C243" s="43">
        <f>Table13456789101112131415161734[[#This Row],[USA]]-B242</f>
        <v/>
      </c>
      <c r="D243" s="27" t="n"/>
    </row>
    <row r="244">
      <c r="A244" s="42" t="n">
        <v>39448</v>
      </c>
      <c r="B244" s="43">
        <f>VLOOKUP(A244,'Data yoy'!$B:$AW,MATCH($B$1,'Data yoy'!$B$1:$AW$1,0),FALSE)</f>
        <v/>
      </c>
      <c r="C244" s="43">
        <f>Table13456789101112131415161734[[#This Row],[USA]]-B243</f>
        <v/>
      </c>
      <c r="D244" s="27" t="n"/>
    </row>
    <row r="245">
      <c r="A245" s="42" t="n">
        <v>39539</v>
      </c>
      <c r="B245" s="43">
        <f>VLOOKUP(A245,'Data yoy'!$B:$AW,MATCH($B$1,'Data yoy'!$B$1:$AW$1,0),FALSE)</f>
        <v/>
      </c>
      <c r="C245" s="43">
        <f>Table13456789101112131415161734[[#This Row],[USA]]-B244</f>
        <v/>
      </c>
      <c r="D245" s="27" t="n"/>
    </row>
    <row r="246">
      <c r="A246" s="42" t="n">
        <v>39630</v>
      </c>
      <c r="B246" s="43">
        <f>VLOOKUP(A246,'Data yoy'!$B:$AW,MATCH($B$1,'Data yoy'!$B$1:$AW$1,0),FALSE)</f>
        <v/>
      </c>
      <c r="C246" s="43">
        <f>Table13456789101112131415161734[[#This Row],[USA]]-B245</f>
        <v/>
      </c>
      <c r="D246" s="27" t="n"/>
    </row>
    <row r="247">
      <c r="A247" s="42" t="n">
        <v>39722</v>
      </c>
      <c r="B247" s="43">
        <f>VLOOKUP(A247,'Data yoy'!$B:$AW,MATCH($B$1,'Data yoy'!$B$1:$AW$1,0),FALSE)</f>
        <v/>
      </c>
      <c r="C247" s="43">
        <f>Table13456789101112131415161734[[#This Row],[USA]]-B246</f>
        <v/>
      </c>
      <c r="D247" s="27" t="n"/>
    </row>
    <row r="248">
      <c r="A248" s="42" t="n">
        <v>39814</v>
      </c>
      <c r="B248" s="43">
        <f>VLOOKUP(A248,'Data yoy'!$B:$AW,MATCH($B$1,'Data yoy'!$B$1:$AW$1,0),FALSE)</f>
        <v/>
      </c>
      <c r="C248" s="43">
        <f>Table13456789101112131415161734[[#This Row],[USA]]-B247</f>
        <v/>
      </c>
      <c r="D248" s="27" t="n"/>
    </row>
    <row r="249">
      <c r="A249" s="42" t="n">
        <v>39904</v>
      </c>
      <c r="B249" s="43">
        <f>VLOOKUP(A249,'Data yoy'!$B:$AW,MATCH($B$1,'Data yoy'!$B$1:$AW$1,0),FALSE)</f>
        <v/>
      </c>
      <c r="C249" s="43">
        <f>Table13456789101112131415161734[[#This Row],[USA]]-B248</f>
        <v/>
      </c>
      <c r="D249" s="27" t="n"/>
    </row>
    <row r="250">
      <c r="A250" s="42" t="n">
        <v>39995</v>
      </c>
      <c r="B250" s="43">
        <f>VLOOKUP(A250,'Data yoy'!$B:$AW,MATCH($B$1,'Data yoy'!$B$1:$AW$1,0),FALSE)</f>
        <v/>
      </c>
      <c r="C250" s="43">
        <f>Table13456789101112131415161734[[#This Row],[USA]]-B249</f>
        <v/>
      </c>
      <c r="D250" s="27" t="n"/>
    </row>
    <row r="251">
      <c r="A251" s="42" t="n">
        <v>40087</v>
      </c>
      <c r="B251" s="43">
        <f>VLOOKUP(A251,'Data yoy'!$B:$AW,MATCH($B$1,'Data yoy'!$B$1:$AW$1,0),FALSE)</f>
        <v/>
      </c>
      <c r="C251" s="43">
        <f>Table13456789101112131415161734[[#This Row],[USA]]-B250</f>
        <v/>
      </c>
      <c r="D251" s="27" t="n"/>
    </row>
    <row r="252">
      <c r="A252" s="42" t="n">
        <v>40179</v>
      </c>
      <c r="B252" s="43">
        <f>VLOOKUP(A252,'Data yoy'!$B:$AW,MATCH($B$1,'Data yoy'!$B$1:$AW$1,0),FALSE)</f>
        <v/>
      </c>
      <c r="C252" s="43">
        <f>Table13456789101112131415161734[[#This Row],[USA]]-B251</f>
        <v/>
      </c>
      <c r="D252" s="27" t="n"/>
    </row>
    <row r="253">
      <c r="A253" s="42" t="n">
        <v>40269</v>
      </c>
      <c r="B253" s="43">
        <f>VLOOKUP(A253,'Data yoy'!$B:$AW,MATCH($B$1,'Data yoy'!$B$1:$AW$1,0),FALSE)</f>
        <v/>
      </c>
      <c r="C253" s="43">
        <f>Table13456789101112131415161734[[#This Row],[USA]]-B252</f>
        <v/>
      </c>
      <c r="D253" s="27" t="n"/>
    </row>
    <row r="254">
      <c r="A254" s="42" t="n">
        <v>40360</v>
      </c>
      <c r="B254" s="43">
        <f>VLOOKUP(A254,'Data yoy'!$B:$AW,MATCH($B$1,'Data yoy'!$B$1:$AW$1,0),FALSE)</f>
        <v/>
      </c>
      <c r="C254" s="43">
        <f>Table13456789101112131415161734[[#This Row],[USA]]-B253</f>
        <v/>
      </c>
      <c r="D254" s="27" t="n"/>
    </row>
    <row r="255">
      <c r="A255" s="42" t="n">
        <v>40452</v>
      </c>
      <c r="B255" s="43">
        <f>VLOOKUP(A255,'Data yoy'!$B:$AW,MATCH($B$1,'Data yoy'!$B$1:$AW$1,0),FALSE)</f>
        <v/>
      </c>
      <c r="C255" s="43">
        <f>Table13456789101112131415161734[[#This Row],[USA]]-B254</f>
        <v/>
      </c>
      <c r="D255" s="27" t="n"/>
    </row>
    <row r="256">
      <c r="A256" s="42" t="n">
        <v>40544</v>
      </c>
      <c r="B256" s="43">
        <f>VLOOKUP(A256,'Data yoy'!$B:$AW,MATCH($B$1,'Data yoy'!$B$1:$AW$1,0),FALSE)</f>
        <v/>
      </c>
      <c r="C256" s="43">
        <f>Table13456789101112131415161734[[#This Row],[USA]]-B255</f>
        <v/>
      </c>
      <c r="D256" s="27" t="n"/>
    </row>
    <row r="257">
      <c r="A257" s="42" t="n">
        <v>40634</v>
      </c>
      <c r="B257" s="43">
        <f>VLOOKUP(A257,'Data yoy'!$B:$AW,MATCH($B$1,'Data yoy'!$B$1:$AW$1,0),FALSE)</f>
        <v/>
      </c>
      <c r="C257" s="43">
        <f>Table13456789101112131415161734[[#This Row],[USA]]-B256</f>
        <v/>
      </c>
      <c r="D257" s="27" t="n"/>
    </row>
    <row r="258">
      <c r="A258" s="42" t="n">
        <v>40725</v>
      </c>
      <c r="B258" s="43">
        <f>VLOOKUP(A258,'Data yoy'!$B:$AW,MATCH($B$1,'Data yoy'!$B$1:$AW$1,0),FALSE)</f>
        <v/>
      </c>
      <c r="C258" s="43">
        <f>Table13456789101112131415161734[[#This Row],[USA]]-B257</f>
        <v/>
      </c>
      <c r="D258" s="27" t="n"/>
    </row>
    <row r="259">
      <c r="A259" s="42" t="n">
        <v>40817</v>
      </c>
      <c r="B259" s="43">
        <f>VLOOKUP(A259,'Data yoy'!$B:$AW,MATCH($B$1,'Data yoy'!$B$1:$AW$1,0),FALSE)</f>
        <v/>
      </c>
      <c r="C259" s="43">
        <f>Table13456789101112131415161734[[#This Row],[USA]]-B258</f>
        <v/>
      </c>
      <c r="D259" s="27" t="n"/>
    </row>
    <row r="260">
      <c r="A260" s="42" t="n">
        <v>40909</v>
      </c>
      <c r="B260" s="43">
        <f>VLOOKUP(A260,'Data yoy'!$B:$AW,MATCH($B$1,'Data yoy'!$B$1:$AW$1,0),FALSE)</f>
        <v/>
      </c>
      <c r="C260" s="43">
        <f>Table13456789101112131415161734[[#This Row],[USA]]-B259</f>
        <v/>
      </c>
      <c r="D260" s="27" t="n"/>
    </row>
    <row r="261">
      <c r="A261" s="42" t="n">
        <v>41000</v>
      </c>
      <c r="B261" s="43">
        <f>VLOOKUP(A261,'Data yoy'!$B:$AW,MATCH($B$1,'Data yoy'!$B$1:$AW$1,0),FALSE)</f>
        <v/>
      </c>
      <c r="C261" s="43">
        <f>Table13456789101112131415161734[[#This Row],[USA]]-B260</f>
        <v/>
      </c>
      <c r="D261" s="27" t="n"/>
    </row>
    <row r="262">
      <c r="A262" s="42" t="n">
        <v>41091</v>
      </c>
      <c r="B262" s="43">
        <f>VLOOKUP(A262,'Data yoy'!$B:$AW,MATCH($B$1,'Data yoy'!$B$1:$AW$1,0),FALSE)</f>
        <v/>
      </c>
      <c r="C262" s="43">
        <f>Table13456789101112131415161734[[#This Row],[USA]]-B261</f>
        <v/>
      </c>
      <c r="D262" s="27" t="n"/>
    </row>
    <row r="263">
      <c r="A263" s="42" t="n">
        <v>41183</v>
      </c>
      <c r="B263" s="43">
        <f>VLOOKUP(A263,'Data yoy'!$B:$AW,MATCH($B$1,'Data yoy'!$B$1:$AW$1,0),FALSE)</f>
        <v/>
      </c>
      <c r="C263" s="43">
        <f>Table13456789101112131415161734[[#This Row],[USA]]-B262</f>
        <v/>
      </c>
      <c r="D263" s="27" t="n"/>
    </row>
    <row r="264">
      <c r="A264" s="42" t="n">
        <v>41275</v>
      </c>
      <c r="B264" s="43">
        <f>VLOOKUP(A264,'Data yoy'!$B:$AW,MATCH($B$1,'Data yoy'!$B$1:$AW$1,0),FALSE)</f>
        <v/>
      </c>
      <c r="C264" s="43">
        <f>Table13456789101112131415161734[[#This Row],[USA]]-B263</f>
        <v/>
      </c>
      <c r="D264" s="27" t="n"/>
    </row>
    <row r="265">
      <c r="A265" s="42" t="n">
        <v>41365</v>
      </c>
      <c r="B265" s="43">
        <f>VLOOKUP(A265,'Data yoy'!$B:$AW,MATCH($B$1,'Data yoy'!$B$1:$AW$1,0),FALSE)</f>
        <v/>
      </c>
      <c r="C265" s="43">
        <f>Table13456789101112131415161734[[#This Row],[USA]]-B264</f>
        <v/>
      </c>
      <c r="D265" s="27" t="n"/>
    </row>
    <row r="266">
      <c r="A266" s="42" t="n">
        <v>41456</v>
      </c>
      <c r="B266" s="43">
        <f>VLOOKUP(A266,'Data yoy'!$B:$AW,MATCH($B$1,'Data yoy'!$B$1:$AW$1,0),FALSE)</f>
        <v/>
      </c>
      <c r="C266" s="43">
        <f>Table13456789101112131415161734[[#This Row],[USA]]-B265</f>
        <v/>
      </c>
      <c r="D266" s="27" t="n"/>
    </row>
    <row r="267">
      <c r="A267" s="42" t="n">
        <v>41548</v>
      </c>
      <c r="B267" s="43">
        <f>VLOOKUP(A267,'Data yoy'!$B:$AW,MATCH($B$1,'Data yoy'!$B$1:$AW$1,0),FALSE)</f>
        <v/>
      </c>
      <c r="C267" s="43">
        <f>Table13456789101112131415161734[[#This Row],[USA]]-B266</f>
        <v/>
      </c>
      <c r="D267" s="27" t="n"/>
    </row>
    <row r="268">
      <c r="A268" s="42" t="n">
        <v>41640</v>
      </c>
      <c r="B268" s="43">
        <f>VLOOKUP(A268,'Data yoy'!$B:$AW,MATCH($B$1,'Data yoy'!$B$1:$AW$1,0),FALSE)</f>
        <v/>
      </c>
      <c r="C268" s="43">
        <f>Table13456789101112131415161734[[#This Row],[USA]]-B267</f>
        <v/>
      </c>
      <c r="D268" s="27" t="n"/>
    </row>
    <row r="269">
      <c r="A269" s="42" t="n">
        <v>41730</v>
      </c>
      <c r="B269" s="43">
        <f>VLOOKUP(A269,'Data yoy'!$B:$AW,MATCH($B$1,'Data yoy'!$B$1:$AW$1,0),FALSE)</f>
        <v/>
      </c>
      <c r="C269" s="43">
        <f>Table13456789101112131415161734[[#This Row],[USA]]-B268</f>
        <v/>
      </c>
      <c r="D269" s="27" t="n"/>
    </row>
    <row r="270">
      <c r="A270" s="42" t="n">
        <v>41821</v>
      </c>
      <c r="B270" s="43">
        <f>VLOOKUP(A270,'Data yoy'!$B:$AW,MATCH($B$1,'Data yoy'!$B$1:$AW$1,0),FALSE)</f>
        <v/>
      </c>
      <c r="C270" s="43">
        <f>Table13456789101112131415161734[[#This Row],[USA]]-B269</f>
        <v/>
      </c>
      <c r="D270" s="27" t="n"/>
    </row>
    <row r="271">
      <c r="A271" s="42" t="n">
        <v>41913</v>
      </c>
      <c r="B271" s="43">
        <f>VLOOKUP(A271,'Data yoy'!$B:$AW,MATCH($B$1,'Data yoy'!$B$1:$AW$1,0),FALSE)</f>
        <v/>
      </c>
      <c r="C271" s="43">
        <f>Table13456789101112131415161734[[#This Row],[USA]]-B270</f>
        <v/>
      </c>
      <c r="D271" s="27" t="n"/>
    </row>
    <row r="272">
      <c r="A272" s="42" t="n">
        <v>42005</v>
      </c>
      <c r="B272" s="43">
        <f>VLOOKUP(A272,'Data yoy'!$B:$AW,MATCH($B$1,'Data yoy'!$B$1:$AW$1,0),FALSE)</f>
        <v/>
      </c>
      <c r="C272" s="43">
        <f>Table13456789101112131415161734[[#This Row],[USA]]-B271</f>
        <v/>
      </c>
      <c r="D272" s="27" t="n"/>
    </row>
    <row r="273">
      <c r="A273" s="42" t="n">
        <v>42095</v>
      </c>
      <c r="B273" s="43">
        <f>VLOOKUP(A273,'Data yoy'!$B:$AW,MATCH($B$1,'Data yoy'!$B$1:$AW$1,0),FALSE)</f>
        <v/>
      </c>
      <c r="C273" s="43">
        <f>Table13456789101112131415161734[[#This Row],[USA]]-B272</f>
        <v/>
      </c>
      <c r="D273" s="27" t="n"/>
    </row>
    <row r="274">
      <c r="A274" s="42" t="n">
        <v>42186</v>
      </c>
      <c r="B274" s="43">
        <f>VLOOKUP(A274,'Data yoy'!$B:$AW,MATCH($B$1,'Data yoy'!$B$1:$AW$1,0),FALSE)</f>
        <v/>
      </c>
      <c r="C274" s="43">
        <f>Table13456789101112131415161734[[#This Row],[USA]]-B273</f>
        <v/>
      </c>
      <c r="D274" s="27" t="n"/>
    </row>
    <row r="275">
      <c r="A275" s="42" t="n">
        <v>42278</v>
      </c>
      <c r="B275" s="43">
        <f>VLOOKUP(A275,'Data yoy'!$B:$AW,MATCH($B$1,'Data yoy'!$B$1:$AW$1,0),FALSE)</f>
        <v/>
      </c>
      <c r="C275" s="43">
        <f>Table13456789101112131415161734[[#This Row],[USA]]-B274</f>
        <v/>
      </c>
      <c r="D275" s="27" t="n"/>
    </row>
    <row r="276">
      <c r="A276" s="42" t="n">
        <v>42370</v>
      </c>
      <c r="B276" s="43">
        <f>VLOOKUP(A276,'Data yoy'!$B:$AW,MATCH($B$1,'Data yoy'!$B$1:$AW$1,0),FALSE)</f>
        <v/>
      </c>
      <c r="C276" s="43">
        <f>Table13456789101112131415161734[[#This Row],[USA]]-B275</f>
        <v/>
      </c>
      <c r="D276" s="27" t="n"/>
    </row>
    <row r="277">
      <c r="A277" s="42" t="n">
        <v>42461</v>
      </c>
      <c r="B277" s="43">
        <f>VLOOKUP(A277,'Data yoy'!$B:$AW,MATCH($B$1,'Data yoy'!$B$1:$AW$1,0),FALSE)</f>
        <v/>
      </c>
      <c r="C277" s="43">
        <f>Table13456789101112131415161734[[#This Row],[USA]]-B276</f>
        <v/>
      </c>
      <c r="D277" s="27" t="n"/>
    </row>
    <row r="278">
      <c r="A278" s="42" t="n">
        <v>42552</v>
      </c>
      <c r="B278" s="43">
        <f>VLOOKUP(A278,'Data yoy'!$B:$AW,MATCH($B$1,'Data yoy'!$B$1:$AW$1,0),FALSE)</f>
        <v/>
      </c>
      <c r="C278" s="43">
        <f>Table13456789101112131415161734[[#This Row],[USA]]-B277</f>
        <v/>
      </c>
      <c r="D278" s="27" t="n"/>
    </row>
    <row r="279">
      <c r="A279" s="42" t="n">
        <v>42644</v>
      </c>
      <c r="B279" s="43">
        <f>VLOOKUP(A279,'Data yoy'!$B:$AW,MATCH($B$1,'Data yoy'!$B$1:$AW$1,0),FALSE)</f>
        <v/>
      </c>
      <c r="C279" s="43">
        <f>Table13456789101112131415161734[[#This Row],[USA]]-B278</f>
        <v/>
      </c>
      <c r="D279" s="27" t="n"/>
    </row>
    <row r="280">
      <c r="A280" s="42" t="n">
        <v>42736</v>
      </c>
      <c r="B280" s="43">
        <f>VLOOKUP(A280,'Data yoy'!$B:$AW,MATCH($B$1,'Data yoy'!$B$1:$AW$1,0),FALSE)</f>
        <v/>
      </c>
      <c r="C280" s="43">
        <f>Table13456789101112131415161734[[#This Row],[USA]]-B279</f>
        <v/>
      </c>
      <c r="D280" s="27" t="n"/>
    </row>
    <row r="281">
      <c r="A281" s="42" t="n">
        <v>42826</v>
      </c>
      <c r="B281" s="43">
        <f>VLOOKUP(A281,'Data yoy'!$B:$AW,MATCH($B$1,'Data yoy'!$B$1:$AW$1,0),FALSE)</f>
        <v/>
      </c>
      <c r="C281" s="43">
        <f>Table13456789101112131415161734[[#This Row],[USA]]-B280</f>
        <v/>
      </c>
      <c r="D281" s="27" t="n"/>
    </row>
    <row r="282">
      <c r="A282" s="42" t="n">
        <v>42917</v>
      </c>
      <c r="B282" s="43">
        <f>VLOOKUP(A282,'Data yoy'!$B:$AW,MATCH($B$1,'Data yoy'!$B$1:$AW$1,0),FALSE)</f>
        <v/>
      </c>
      <c r="C282" s="43">
        <f>Table13456789101112131415161734[[#This Row],[USA]]-B281</f>
        <v/>
      </c>
      <c r="D282" s="27" t="n"/>
    </row>
    <row r="283">
      <c r="A283" s="42" t="n">
        <v>43009</v>
      </c>
      <c r="B283" s="43">
        <f>VLOOKUP(A283,'Data yoy'!$B:$AW,MATCH($B$1,'Data yoy'!$B$1:$AW$1,0),FALSE)</f>
        <v/>
      </c>
      <c r="C283" s="43">
        <f>Table13456789101112131415161734[[#This Row],[USA]]-B282</f>
        <v/>
      </c>
      <c r="D283" s="27" t="n"/>
    </row>
    <row r="284">
      <c r="A284" s="42" t="n">
        <v>43101</v>
      </c>
      <c r="B284" s="43">
        <f>VLOOKUP(A284,'Data yoy'!$B:$AW,MATCH($B$1,'Data yoy'!$B$1:$AW$1,0),FALSE)</f>
        <v/>
      </c>
      <c r="C284" s="43">
        <f>Table13456789101112131415161734[[#This Row],[USA]]-B283</f>
        <v/>
      </c>
      <c r="D284" s="27" t="n"/>
    </row>
    <row r="285">
      <c r="A285" s="42" t="n">
        <v>43191</v>
      </c>
      <c r="B285" s="43">
        <f>VLOOKUP(A285,'Data yoy'!$B:$AW,MATCH($B$1,'Data yoy'!$B$1:$AW$1,0),FALSE)</f>
        <v/>
      </c>
      <c r="C285" s="43">
        <f>Table13456789101112131415161734[[#This Row],[USA]]-B284</f>
        <v/>
      </c>
      <c r="D285" s="27" t="n"/>
    </row>
    <row r="286">
      <c r="A286" s="42" t="n">
        <v>43282</v>
      </c>
      <c r="B286" s="43">
        <f>VLOOKUP(A286,'Data yoy'!$B:$AW,MATCH($B$1,'Data yoy'!$B$1:$AW$1,0),FALSE)</f>
        <v/>
      </c>
      <c r="C286" s="43">
        <f>Table13456789101112131415161734[[#This Row],[USA]]-B285</f>
        <v/>
      </c>
    </row>
    <row r="287">
      <c r="A287" s="42" t="n">
        <v>43374</v>
      </c>
      <c r="B287" s="43">
        <f>VLOOKUP(A287,'Data yoy'!$B:$AW,MATCH($B$1,'Data yoy'!$B$1:$AW$1,0),FALSE)</f>
        <v/>
      </c>
      <c r="C287" s="43">
        <f>Table13456789101112131415161734[[#This Row],[USA]]-B286</f>
        <v/>
      </c>
    </row>
    <row r="288">
      <c r="A288" s="42" t="n">
        <v>43466</v>
      </c>
      <c r="B288" s="43">
        <f>VLOOKUP(A288,'Data yoy'!$B:$AW,MATCH($B$1,'Data yoy'!$B$1:$AW$1,0),FALSE)</f>
        <v/>
      </c>
      <c r="C288" s="43">
        <f>Table13456789101112131415161734[[#This Row],[USA]]-B287</f>
        <v/>
      </c>
    </row>
    <row r="289">
      <c r="A289" s="42" t="n">
        <v>43556</v>
      </c>
      <c r="B289" s="43">
        <f>VLOOKUP(A289,'Data yoy'!$B:$AW,MATCH($B$1,'Data yoy'!$B$1:$AW$1,0),FALSE)</f>
        <v/>
      </c>
      <c r="C289" s="43">
        <f>Table13456789101112131415161734[[#This Row],[USA]]-B288</f>
        <v/>
      </c>
    </row>
    <row r="290">
      <c r="A290" s="42" t="n">
        <v>43647</v>
      </c>
      <c r="B290" s="43">
        <f>VLOOKUP(A290,'Data yoy'!$B:$AW,MATCH($B$1,'Data yoy'!$B$1:$AW$1,0),FALSE)</f>
        <v/>
      </c>
      <c r="C290" s="43">
        <f>Table13456789101112131415161734[[#This Row],[USA]]-B289</f>
        <v/>
      </c>
    </row>
    <row r="291" customFormat="1" s="74">
      <c r="A291" s="42" t="n">
        <v>43739</v>
      </c>
      <c r="B291" s="43">
        <f>VLOOKUP(A291,'Data yoy'!$B:$AW,MATCH($B$1,'Data yoy'!$B$1:$AW$1,0),FALSE)</f>
        <v/>
      </c>
      <c r="C291" s="43">
        <f>Table13456789101112131415161734[[#This Row],[USA]]-B290</f>
        <v/>
      </c>
      <c r="D291" s="48" t="n"/>
    </row>
    <row r="292" customFormat="1" s="74">
      <c r="A292" s="42" t="n">
        <v>43831</v>
      </c>
      <c r="B292" s="43">
        <f>VLOOKUP(A292,'Data yoy'!$B:$AW,MATCH($B$1,'Data yoy'!$B$1:$AW$1,0),FALSE)</f>
        <v/>
      </c>
      <c r="C292" s="43">
        <f>Table13456789101112131415161734[[#This Row],[USA]]-B291</f>
        <v/>
      </c>
      <c r="D292" s="48" t="n"/>
    </row>
    <row r="293" customFormat="1" s="74">
      <c r="A293" s="42" t="n">
        <v>43922</v>
      </c>
      <c r="B293" s="43">
        <f>VLOOKUP(A293,'Data yoy'!$B:$AW,MATCH($B$1,'Data yoy'!$B$1:$AW$1,0),FALSE)</f>
        <v/>
      </c>
      <c r="C293" s="43">
        <f>Table13456789101112131415161734[[#This Row],[USA]]-B292</f>
        <v/>
      </c>
      <c r="D293" s="48" t="n"/>
    </row>
    <row r="294" customFormat="1" s="74">
      <c r="A294" s="42" t="n">
        <v>44013</v>
      </c>
      <c r="B294" s="43">
        <f>VLOOKUP(A294,'Data yoy'!$B:$AW,MATCH($B$1,'Data yoy'!$B$1:$AW$1,0),FALSE)</f>
        <v/>
      </c>
      <c r="C294" s="43">
        <f>Table13456789101112131415161734[[#This Row],[USA]]-B293</f>
        <v/>
      </c>
      <c r="D294" s="48" t="n"/>
    </row>
    <row r="295" customFormat="1" s="74">
      <c r="A295" s="42" t="n">
        <v>44105</v>
      </c>
      <c r="B295" s="43">
        <f>VLOOKUP(A295,'Data yoy'!$B:$AW,MATCH($B$1,'Data yoy'!$B$1:$AW$1,0),FALSE)</f>
        <v/>
      </c>
      <c r="C295" s="43">
        <f>Table13456789101112131415161734[[#This Row],[USA]]-B294</f>
        <v/>
      </c>
      <c r="D295" s="48" t="n"/>
    </row>
    <row r="296" customFormat="1" s="74">
      <c r="A296" s="42" t="n">
        <v>44197</v>
      </c>
      <c r="B296" s="43">
        <f>VLOOKUP(A296,'Data yoy'!$B:$AW,MATCH($B$1,'Data yoy'!$B$1:$AW$1,0),FALSE)</f>
        <v/>
      </c>
      <c r="C296" s="43">
        <f>Table13456789101112131415161734[[#This Row],[USA]]-B295</f>
        <v/>
      </c>
      <c r="D296" s="48" t="n"/>
    </row>
    <row r="297" customFormat="1" s="74">
      <c r="A297" s="42" t="n">
        <v>44287</v>
      </c>
      <c r="B297" s="43">
        <f>VLOOKUP(A297,'Data yoy'!$B:$AW,MATCH($B$1,'Data yoy'!$B$1:$AW$1,0),FALSE)</f>
        <v/>
      </c>
      <c r="C297" s="43">
        <f>Table13456789101112131415161734[[#This Row],[USA]]-B296</f>
        <v/>
      </c>
      <c r="D297" s="48" t="n"/>
    </row>
    <row r="298" customFormat="1" s="74">
      <c r="A298" s="42" t="n">
        <v>44378</v>
      </c>
      <c r="B298" s="43">
        <f>VLOOKUP(A298,'Data yoy'!$B:$AW,MATCH($B$1,'Data yoy'!$B$1:$AW$1,0),FALSE)</f>
        <v/>
      </c>
      <c r="C298" s="43">
        <f>Table13456789101112131415161734[[#This Row],[USA]]-B297</f>
        <v/>
      </c>
      <c r="D298" s="48" t="n"/>
    </row>
    <row r="299" customFormat="1" s="74">
      <c r="A299" s="42" t="n">
        <v>44470</v>
      </c>
      <c r="B299" s="43">
        <f>VLOOKUP(A299,'Data yoy'!$B:$AW,MATCH($B$1,'Data yoy'!$B$1:$AW$1,0),FALSE)</f>
        <v/>
      </c>
      <c r="C299" s="43">
        <f>Table13456789101112131415161734[[#This Row],[USA]]-B298</f>
        <v/>
      </c>
      <c r="D299" s="48" t="n"/>
    </row>
    <row r="300" customFormat="1" s="74">
      <c r="A300" s="49" t="n"/>
      <c r="B300" s="50" t="n"/>
      <c r="C300" s="41" t="n"/>
      <c r="D300" s="48" t="n"/>
    </row>
    <row r="301" customFormat="1" s="74">
      <c r="A301" s="49" t="n"/>
      <c r="B301" s="50" t="n"/>
      <c r="C301" s="41" t="n"/>
      <c r="D301" s="48" t="n"/>
    </row>
    <row r="302" customFormat="1" s="74">
      <c r="A302" s="49" t="n"/>
      <c r="B302" s="50" t="n"/>
      <c r="C302" s="41" t="n"/>
      <c r="D302" s="48" t="n"/>
    </row>
    <row r="303" customFormat="1" s="74">
      <c r="A303" s="49" t="n"/>
      <c r="B303" s="50" t="n"/>
      <c r="C303" s="41" t="n"/>
      <c r="D303" s="48" t="n"/>
    </row>
    <row r="304" customFormat="1" s="74">
      <c r="A304" s="49" t="n"/>
      <c r="B304" s="50" t="n"/>
      <c r="C304" s="41" t="n"/>
      <c r="D304" s="48" t="n"/>
    </row>
    <row r="305" customFormat="1" s="74">
      <c r="A305" s="49" t="n"/>
      <c r="B305" s="50" t="n"/>
      <c r="C305" s="41" t="n"/>
      <c r="D305" s="48" t="n"/>
    </row>
    <row r="306" customFormat="1" s="74">
      <c r="A306" s="49" t="n"/>
      <c r="B306" s="50" t="n"/>
      <c r="C306" s="41" t="n"/>
      <c r="D306" s="48" t="n"/>
    </row>
    <row r="307" customFormat="1" s="74">
      <c r="A307" s="49" t="n"/>
      <c r="B307" s="50" t="n"/>
      <c r="C307" s="41" t="n"/>
      <c r="D307" s="48" t="n"/>
    </row>
    <row r="308" customFormat="1" s="74">
      <c r="A308" s="49" t="n"/>
      <c r="B308" s="50" t="n"/>
      <c r="C308" s="41" t="n"/>
      <c r="D308" s="48" t="n"/>
    </row>
    <row r="309" customFormat="1" s="74">
      <c r="A309" s="49" t="n"/>
      <c r="B309" s="50" t="n"/>
      <c r="C309" s="41" t="n"/>
      <c r="D309" s="48" t="n"/>
    </row>
    <row r="310" customFormat="1" s="74">
      <c r="A310" s="49" t="n"/>
      <c r="B310" s="50" t="n"/>
      <c r="C310" s="41" t="n"/>
      <c r="D310" s="48" t="n"/>
    </row>
    <row r="311" customFormat="1" s="74">
      <c r="A311" s="49" t="n"/>
      <c r="B311" s="50" t="n"/>
      <c r="C311" s="41" t="n"/>
      <c r="D311" s="48" t="n"/>
    </row>
    <row r="312" customFormat="1" s="74">
      <c r="A312" s="49" t="n"/>
      <c r="B312" s="50" t="n"/>
      <c r="C312" s="41" t="n"/>
      <c r="D312" s="48" t="n"/>
    </row>
    <row r="313" customFormat="1" s="74">
      <c r="A313" s="49" t="n"/>
      <c r="B313" s="50" t="n"/>
      <c r="C313" s="41" t="n"/>
      <c r="D313" s="48" t="n"/>
    </row>
    <row r="314" customFormat="1" s="74">
      <c r="A314" s="49" t="n"/>
      <c r="B314" s="50" t="n"/>
      <c r="C314" s="41" t="n"/>
      <c r="D314" s="48" t="n"/>
    </row>
    <row r="315" customFormat="1" s="74">
      <c r="A315" s="49" t="n"/>
      <c r="B315" s="50" t="n"/>
      <c r="C315" s="41" t="n"/>
      <c r="D315" s="48" t="n"/>
    </row>
    <row r="316" customFormat="1" s="74">
      <c r="A316" s="49" t="n"/>
      <c r="B316" s="50" t="n"/>
      <c r="C316" s="41" t="n"/>
      <c r="D316" s="48" t="n"/>
    </row>
    <row r="317" customFormat="1" s="74">
      <c r="A317" s="49" t="n"/>
      <c r="B317" s="50" t="n"/>
      <c r="C317" s="41" t="n"/>
      <c r="D317" s="48" t="n"/>
    </row>
    <row r="318" customFormat="1" s="74">
      <c r="A318" s="49" t="n"/>
      <c r="B318" s="50" t="n"/>
      <c r="C318" s="41" t="n"/>
      <c r="D318" s="48" t="n"/>
    </row>
    <row r="319" customFormat="1" s="74">
      <c r="A319" s="49" t="n"/>
      <c r="B319" s="50" t="n"/>
      <c r="C319" s="41" t="n"/>
      <c r="D319" s="48" t="n"/>
    </row>
    <row r="320" customFormat="1" s="74">
      <c r="A320" s="49" t="n"/>
      <c r="B320" s="50" t="n"/>
      <c r="C320" s="41" t="n"/>
      <c r="D320" s="48" t="n"/>
    </row>
    <row r="321" customFormat="1" s="74">
      <c r="A321" s="49" t="n"/>
      <c r="B321" s="50" t="n"/>
      <c r="C321" s="41" t="n"/>
      <c r="D321" s="48" t="n"/>
    </row>
    <row r="322" customFormat="1" s="74">
      <c r="A322" s="49" t="n"/>
      <c r="B322" s="50" t="n"/>
      <c r="C322" s="41" t="n"/>
      <c r="D322" s="48" t="n"/>
    </row>
    <row r="323" customFormat="1" s="74">
      <c r="A323" s="49" t="n"/>
      <c r="B323" s="50" t="n"/>
      <c r="C323" s="41" t="n"/>
      <c r="D323" s="48" t="n"/>
    </row>
    <row r="324" customFormat="1" s="74">
      <c r="A324" s="49" t="n"/>
      <c r="B324" s="50" t="n"/>
      <c r="C324" s="41" t="n"/>
      <c r="D324" s="48" t="n"/>
    </row>
    <row r="325" customFormat="1" s="74">
      <c r="A325" s="49" t="n"/>
      <c r="B325" s="50" t="n"/>
      <c r="C325" s="41" t="n"/>
      <c r="D325" s="48" t="n"/>
    </row>
    <row r="326" customFormat="1" s="74">
      <c r="A326" s="49" t="n"/>
      <c r="B326" s="50" t="n"/>
      <c r="C326" s="41" t="n"/>
      <c r="D326" s="48" t="n"/>
    </row>
    <row r="327" customFormat="1" s="74">
      <c r="A327" s="49" t="n"/>
      <c r="B327" s="50" t="n"/>
      <c r="C327" s="41" t="n"/>
      <c r="D327" s="48" t="n"/>
    </row>
    <row r="328" customFormat="1" s="74">
      <c r="A328" s="49" t="n"/>
      <c r="B328" s="50" t="n"/>
      <c r="C328" s="41" t="n"/>
      <c r="D328" s="48" t="n"/>
    </row>
    <row r="329" customFormat="1" s="74">
      <c r="A329" s="49" t="n"/>
      <c r="B329" s="50" t="n"/>
      <c r="C329" s="41" t="n"/>
      <c r="D329" s="48" t="n"/>
    </row>
    <row r="330" customFormat="1" s="74">
      <c r="A330" s="49" t="n"/>
      <c r="B330" s="50" t="n"/>
      <c r="C330" s="41" t="n"/>
      <c r="D330" s="48" t="n"/>
    </row>
    <row r="331" customFormat="1" s="74">
      <c r="A331" s="49" t="n"/>
      <c r="B331" s="50" t="n"/>
      <c r="C331" s="41" t="n"/>
      <c r="D331" s="48" t="n"/>
    </row>
    <row r="332" customFormat="1" s="74">
      <c r="A332" s="49" t="n"/>
      <c r="B332" s="50" t="n"/>
      <c r="C332" s="41" t="n"/>
      <c r="D332" s="48" t="n"/>
    </row>
    <row r="333" customFormat="1" s="74">
      <c r="A333" s="49" t="n"/>
      <c r="B333" s="50" t="n"/>
      <c r="C333" s="41" t="n"/>
      <c r="D333" s="48" t="n"/>
    </row>
    <row r="334" customFormat="1" s="74">
      <c r="A334" s="49" t="n"/>
      <c r="B334" s="50" t="n"/>
      <c r="C334" s="41" t="n"/>
      <c r="D334" s="48" t="n"/>
    </row>
    <row r="335" customFormat="1" s="74">
      <c r="A335" s="49" t="n"/>
      <c r="B335" s="50" t="n"/>
      <c r="C335" s="41" t="n"/>
      <c r="D335" s="48" t="n"/>
    </row>
    <row r="336" customFormat="1" s="74">
      <c r="A336" s="49" t="n"/>
      <c r="B336" s="50" t="n"/>
      <c r="C336" s="41" t="n"/>
      <c r="D336" s="48" t="n"/>
    </row>
    <row r="337" customFormat="1" s="74">
      <c r="A337" s="49" t="n"/>
      <c r="B337" s="50" t="n"/>
      <c r="C337" s="41" t="n"/>
      <c r="D337" s="48" t="n"/>
    </row>
    <row r="338" customFormat="1" s="74">
      <c r="A338" s="49" t="n"/>
      <c r="B338" s="50" t="n"/>
      <c r="C338" s="41" t="n"/>
      <c r="D338" s="48" t="n"/>
    </row>
    <row r="339" customFormat="1" s="74">
      <c r="A339" s="49" t="n"/>
      <c r="B339" s="50" t="n"/>
      <c r="C339" s="41" t="n"/>
      <c r="D339" s="48" t="n"/>
    </row>
    <row r="340" customFormat="1" s="74">
      <c r="A340" s="49" t="n"/>
      <c r="B340" s="50" t="n"/>
      <c r="C340" s="41" t="n"/>
      <c r="D340" s="48" t="n"/>
    </row>
    <row r="341" customFormat="1" s="74">
      <c r="A341" s="49" t="n"/>
      <c r="B341" s="50" t="n"/>
      <c r="C341" s="41" t="n"/>
      <c r="D341" s="48" t="n"/>
    </row>
    <row r="342" customFormat="1" s="74">
      <c r="A342" s="49" t="n"/>
      <c r="B342" s="50" t="n"/>
      <c r="C342" s="41" t="n"/>
      <c r="D342" s="48" t="n"/>
    </row>
    <row r="343" customFormat="1" s="74">
      <c r="A343" s="49" t="n"/>
      <c r="B343" s="50" t="n"/>
      <c r="C343" s="41" t="n"/>
      <c r="D343" s="48" t="n"/>
    </row>
    <row r="344" customFormat="1" s="74">
      <c r="A344" s="49" t="n"/>
      <c r="B344" s="50" t="n"/>
      <c r="C344" s="41" t="n"/>
      <c r="D344" s="48" t="n"/>
    </row>
    <row r="345" customFormat="1" s="74">
      <c r="A345" s="49" t="n"/>
      <c r="B345" s="50" t="n"/>
      <c r="C345" s="41" t="n"/>
      <c r="D345" s="48" t="n"/>
    </row>
    <row r="346" customFormat="1" s="74">
      <c r="A346" s="49" t="n"/>
      <c r="B346" s="50" t="n"/>
      <c r="C346" s="41" t="n"/>
      <c r="D346" s="48" t="n"/>
    </row>
    <row r="347" customFormat="1" s="74">
      <c r="A347" s="49" t="n"/>
      <c r="B347" s="50" t="n"/>
      <c r="C347" s="41" t="n"/>
      <c r="D347" s="48" t="n"/>
    </row>
    <row r="348" customFormat="1" s="74">
      <c r="A348" s="49" t="n"/>
      <c r="B348" s="50" t="n"/>
      <c r="C348" s="41" t="n"/>
      <c r="D348" s="48" t="n"/>
    </row>
    <row r="349" customFormat="1" s="74">
      <c r="A349" s="49" t="n"/>
      <c r="B349" s="50" t="n"/>
      <c r="C349" s="41" t="n"/>
      <c r="D349" s="48" t="n"/>
    </row>
    <row r="350" customFormat="1" s="74">
      <c r="A350" s="49" t="n"/>
      <c r="B350" s="50" t="n"/>
      <c r="C350" s="41" t="n"/>
      <c r="D350" s="48" t="n"/>
    </row>
    <row r="351" customFormat="1" s="74">
      <c r="A351" s="49" t="n"/>
      <c r="B351" s="50" t="n"/>
      <c r="C351" s="41" t="n"/>
      <c r="D351" s="48" t="n"/>
    </row>
    <row r="352" customFormat="1" s="74">
      <c r="A352" s="49" t="n"/>
      <c r="B352" s="50" t="n"/>
      <c r="C352" s="41" t="n"/>
      <c r="D352" s="48" t="n"/>
    </row>
    <row r="353" customFormat="1" s="74">
      <c r="A353" s="49" t="n"/>
      <c r="B353" s="50" t="n"/>
      <c r="C353" s="41" t="n"/>
      <c r="D353" s="48" t="n"/>
    </row>
    <row r="354" customFormat="1" s="74">
      <c r="A354" s="49" t="n"/>
      <c r="B354" s="50" t="n"/>
      <c r="C354" s="41" t="n"/>
      <c r="D354" s="48" t="n"/>
    </row>
    <row r="355" customFormat="1" s="74">
      <c r="A355" s="49" t="n"/>
      <c r="B355" s="50" t="n"/>
      <c r="C355" s="41" t="n"/>
      <c r="D355" s="48" t="n"/>
    </row>
    <row r="356" customFormat="1" s="74">
      <c r="A356" s="49" t="n"/>
      <c r="B356" s="50" t="n"/>
      <c r="C356" s="41" t="n"/>
      <c r="D356" s="48" t="n"/>
    </row>
    <row r="357" customFormat="1" s="74">
      <c r="A357" s="49" t="n"/>
      <c r="B357" s="50" t="n"/>
      <c r="C357" s="41" t="n"/>
      <c r="D357" s="48" t="n"/>
    </row>
    <row r="358" customFormat="1" s="74">
      <c r="A358" s="49" t="n"/>
      <c r="B358" s="50" t="n"/>
      <c r="C358" s="41" t="n"/>
      <c r="D358" s="48" t="n"/>
    </row>
    <row r="359" customFormat="1" s="74">
      <c r="A359" s="49" t="n"/>
      <c r="B359" s="50" t="n"/>
      <c r="C359" s="41" t="n"/>
      <c r="D359" s="48" t="n"/>
    </row>
    <row r="360" customFormat="1" s="74">
      <c r="A360" s="49" t="n"/>
      <c r="B360" s="50" t="n"/>
      <c r="C360" s="41" t="n"/>
      <c r="D360" s="48" t="n"/>
    </row>
    <row r="361" customFormat="1" s="74">
      <c r="A361" s="49" t="n"/>
      <c r="B361" s="50" t="n"/>
      <c r="C361" s="41" t="n"/>
      <c r="D361" s="48" t="n"/>
    </row>
    <row r="362" customFormat="1" s="74">
      <c r="A362" s="49" t="n"/>
      <c r="B362" s="50" t="n"/>
      <c r="C362" s="41" t="n"/>
      <c r="D362" s="48" t="n"/>
    </row>
    <row r="363" customFormat="1" s="74">
      <c r="A363" s="49" t="n"/>
      <c r="B363" s="50" t="n"/>
      <c r="C363" s="41" t="n"/>
      <c r="D363" s="48" t="n"/>
    </row>
    <row r="364" customFormat="1" s="74">
      <c r="A364" s="49" t="n"/>
      <c r="B364" s="50" t="n"/>
      <c r="C364" s="41" t="n"/>
      <c r="D364" s="48" t="n"/>
    </row>
    <row r="365" customFormat="1" s="74">
      <c r="A365" s="49" t="n"/>
      <c r="B365" s="50" t="n"/>
      <c r="C365" s="41" t="n"/>
      <c r="D365" s="48" t="n"/>
    </row>
    <row r="366" customFormat="1" s="74">
      <c r="A366" s="49" t="n"/>
      <c r="B366" s="50" t="n"/>
      <c r="C366" s="41" t="n"/>
      <c r="D366" s="48" t="n"/>
    </row>
    <row r="367" customFormat="1" s="74">
      <c r="A367" s="49" t="n"/>
      <c r="B367" s="50" t="n"/>
      <c r="C367" s="41" t="n"/>
      <c r="D367" s="48" t="n"/>
    </row>
    <row r="368" customFormat="1" s="74">
      <c r="A368" s="49" t="n"/>
      <c r="B368" s="50" t="n"/>
      <c r="C368" s="41" t="n"/>
      <c r="D368" s="48" t="n"/>
    </row>
    <row r="369" customFormat="1" s="74">
      <c r="A369" s="49" t="n"/>
      <c r="B369" s="50" t="n"/>
      <c r="C369" s="41" t="n"/>
      <c r="D369" s="48" t="n"/>
    </row>
    <row r="370" customFormat="1" s="74">
      <c r="A370" s="49" t="n"/>
      <c r="B370" s="50" t="n"/>
      <c r="C370" s="41" t="n"/>
      <c r="D370" s="48" t="n"/>
    </row>
    <row r="371" customFormat="1" s="74">
      <c r="A371" s="49" t="n"/>
      <c r="B371" s="50" t="n"/>
      <c r="C371" s="41" t="n"/>
      <c r="D371" s="48" t="n"/>
    </row>
    <row r="372" customFormat="1" s="74">
      <c r="A372" s="49" t="n"/>
      <c r="B372" s="50" t="n"/>
      <c r="C372" s="41" t="n"/>
      <c r="D372" s="48" t="n"/>
    </row>
    <row r="373" customFormat="1" s="74">
      <c r="A373" s="49" t="n"/>
      <c r="B373" s="50" t="n"/>
      <c r="C373" s="41" t="n"/>
      <c r="D373" s="48" t="n"/>
    </row>
    <row r="374" customFormat="1" s="74">
      <c r="A374" s="49" t="n"/>
      <c r="B374" s="50" t="n"/>
      <c r="C374" s="41" t="n"/>
      <c r="D374" s="48" t="n"/>
    </row>
    <row r="375" customFormat="1" s="74">
      <c r="A375" s="49" t="n"/>
      <c r="B375" s="50" t="n"/>
      <c r="C375" s="41" t="n"/>
      <c r="D375" s="48" t="n"/>
    </row>
    <row r="376" customFormat="1" s="74">
      <c r="A376" s="49" t="n"/>
      <c r="B376" s="50" t="n"/>
      <c r="C376" s="41" t="n"/>
      <c r="D376" s="48" t="n"/>
    </row>
    <row r="377" customFormat="1" s="74">
      <c r="A377" s="49" t="n"/>
      <c r="B377" s="50" t="n"/>
      <c r="C377" s="41" t="n"/>
      <c r="D377" s="48" t="n"/>
    </row>
    <row r="378" customFormat="1" s="74">
      <c r="A378" s="49" t="n"/>
      <c r="B378" s="50" t="n"/>
      <c r="C378" s="41" t="n"/>
      <c r="D378" s="48" t="n"/>
    </row>
    <row r="379" customFormat="1" s="74">
      <c r="A379" s="49" t="n"/>
      <c r="B379" s="50" t="n"/>
      <c r="C379" s="41" t="n"/>
      <c r="D379" s="48" t="n"/>
    </row>
    <row r="380" customFormat="1" s="74">
      <c r="A380" s="49" t="n"/>
      <c r="B380" s="50" t="n"/>
      <c r="C380" s="41" t="n"/>
      <c r="D380" s="48" t="n"/>
    </row>
    <row r="381" customFormat="1" s="74">
      <c r="A381" s="49" t="n"/>
      <c r="B381" s="50" t="n"/>
      <c r="C381" s="41" t="n"/>
      <c r="D381" s="48" t="n"/>
    </row>
    <row r="382" customFormat="1" s="74">
      <c r="A382" s="49" t="n"/>
      <c r="B382" s="50" t="n"/>
      <c r="C382" s="41" t="n"/>
      <c r="D382" s="48" t="n"/>
    </row>
    <row r="383" customFormat="1" s="74">
      <c r="A383" s="49" t="n"/>
      <c r="B383" s="50" t="n"/>
      <c r="C383" s="41" t="n"/>
      <c r="D383" s="48" t="n"/>
    </row>
    <row r="384" customFormat="1" s="74">
      <c r="A384" s="49" t="n"/>
      <c r="B384" s="50" t="n"/>
      <c r="C384" s="41" t="n"/>
      <c r="D384" s="48" t="n"/>
    </row>
    <row r="385" customFormat="1" s="74">
      <c r="A385" s="49" t="n"/>
      <c r="B385" s="50" t="n"/>
      <c r="C385" s="41" t="n"/>
      <c r="D385" s="48" t="n"/>
    </row>
    <row r="386" customFormat="1" s="74">
      <c r="A386" s="49" t="n"/>
      <c r="B386" s="50" t="n"/>
      <c r="C386" s="41" t="n"/>
      <c r="D386" s="48" t="n"/>
    </row>
    <row r="387" customFormat="1" s="74">
      <c r="A387" s="49" t="n"/>
      <c r="B387" s="50" t="n"/>
      <c r="C387" s="41" t="n"/>
      <c r="D387" s="48" t="n"/>
    </row>
    <row r="388" customFormat="1" s="74">
      <c r="A388" s="49" t="n"/>
      <c r="B388" s="50" t="n"/>
      <c r="C388" s="41" t="n"/>
      <c r="D388" s="48" t="n"/>
    </row>
    <row r="389" customFormat="1" s="74">
      <c r="A389" s="49" t="n"/>
      <c r="B389" s="50" t="n"/>
      <c r="C389" s="41" t="n"/>
      <c r="D389" s="48" t="n"/>
    </row>
    <row r="390" customFormat="1" s="74">
      <c r="A390" s="49" t="n"/>
      <c r="B390" s="50" t="n"/>
      <c r="C390" s="41" t="n"/>
      <c r="D390" s="48" t="n"/>
    </row>
    <row r="391" customFormat="1" s="74">
      <c r="A391" s="49" t="n"/>
      <c r="B391" s="50" t="n"/>
      <c r="C391" s="41" t="n"/>
      <c r="D391" s="48" t="n"/>
    </row>
    <row r="392" customFormat="1" s="74">
      <c r="A392" s="49" t="n"/>
      <c r="B392" s="50" t="n"/>
      <c r="C392" s="41" t="n"/>
      <c r="D392" s="48" t="n"/>
    </row>
    <row r="393" customFormat="1" s="74">
      <c r="A393" s="49" t="n"/>
      <c r="B393" s="50" t="n"/>
      <c r="C393" s="41" t="n"/>
      <c r="D393" s="48" t="n"/>
    </row>
    <row r="394" customFormat="1" s="74">
      <c r="A394" s="49" t="n"/>
      <c r="B394" s="50" t="n"/>
      <c r="C394" s="41" t="n"/>
      <c r="D394" s="48" t="n"/>
    </row>
    <row r="395" customFormat="1" s="74">
      <c r="A395" s="49" t="n"/>
      <c r="B395" s="50" t="n"/>
      <c r="C395" s="41" t="n"/>
      <c r="D395" s="48" t="n"/>
    </row>
    <row r="396" customFormat="1" s="74">
      <c r="A396" s="49" t="n"/>
      <c r="B396" s="50" t="n"/>
      <c r="C396" s="41" t="n"/>
      <c r="D396" s="48" t="n"/>
    </row>
    <row r="397" customFormat="1" s="74">
      <c r="A397" s="49" t="n"/>
      <c r="B397" s="50" t="n"/>
      <c r="C397" s="41" t="n"/>
      <c r="D397" s="48" t="n"/>
    </row>
    <row r="398" customFormat="1" s="74">
      <c r="A398" s="49" t="n"/>
      <c r="B398" s="50" t="n"/>
      <c r="C398" s="41" t="n"/>
      <c r="D398" s="48" t="n"/>
    </row>
    <row r="399" customFormat="1" s="74">
      <c r="A399" s="49" t="n"/>
      <c r="B399" s="50" t="n"/>
      <c r="C399" s="41" t="n"/>
      <c r="D399" s="48" t="n"/>
    </row>
    <row r="400" customFormat="1" s="74">
      <c r="A400" s="49" t="n"/>
      <c r="B400" s="50" t="n"/>
      <c r="C400" s="41" t="n"/>
      <c r="D400" s="48" t="n"/>
    </row>
    <row r="401" customFormat="1" s="74">
      <c r="A401" s="49" t="n"/>
      <c r="B401" s="50" t="n"/>
      <c r="C401" s="41" t="n"/>
      <c r="D401" s="48" t="n"/>
    </row>
    <row r="402" customFormat="1" s="74">
      <c r="A402" s="49" t="n"/>
      <c r="B402" s="50" t="n"/>
      <c r="C402" s="41" t="n"/>
      <c r="D402" s="48" t="n"/>
    </row>
    <row r="403" customFormat="1" s="74">
      <c r="A403" s="49" t="n"/>
      <c r="B403" s="50" t="n"/>
      <c r="C403" s="41" t="n"/>
      <c r="D403" s="48" t="n"/>
    </row>
    <row r="404" customFormat="1" s="74">
      <c r="A404" s="49" t="n"/>
      <c r="B404" s="50" t="n"/>
      <c r="C404" s="41" t="n"/>
      <c r="D404" s="48" t="n"/>
    </row>
    <row r="405" customFormat="1" s="74">
      <c r="A405" s="49" t="n"/>
      <c r="B405" s="50" t="n"/>
      <c r="C405" s="41" t="n"/>
      <c r="D405" s="48" t="n"/>
    </row>
    <row r="406" customFormat="1" s="74">
      <c r="A406" s="49" t="n"/>
      <c r="B406" s="50" t="n"/>
      <c r="C406" s="41" t="n"/>
      <c r="D406" s="48" t="n"/>
    </row>
    <row r="407" customFormat="1" s="74">
      <c r="A407" s="49" t="n"/>
      <c r="B407" s="50" t="n"/>
      <c r="C407" s="41" t="n"/>
      <c r="D407" s="48" t="n"/>
    </row>
    <row r="408" customFormat="1" s="74">
      <c r="A408" s="49" t="n"/>
      <c r="B408" s="50" t="n"/>
      <c r="C408" s="41" t="n"/>
      <c r="D408" s="48" t="n"/>
    </row>
    <row r="409" customFormat="1" s="74">
      <c r="A409" s="49" t="n"/>
      <c r="B409" s="50" t="n"/>
      <c r="C409" s="41" t="n"/>
      <c r="D409" s="48" t="n"/>
    </row>
    <row r="410" customFormat="1" s="74">
      <c r="A410" s="49" t="n"/>
      <c r="B410" s="50" t="n"/>
      <c r="C410" s="41" t="n"/>
      <c r="D410" s="48" t="n"/>
    </row>
    <row r="411" customFormat="1" s="74">
      <c r="A411" s="49" t="n"/>
      <c r="B411" s="50" t="n"/>
      <c r="C411" s="41" t="n"/>
      <c r="D411" s="48" t="n"/>
    </row>
    <row r="412" customFormat="1" s="74">
      <c r="A412" s="49" t="n"/>
      <c r="B412" s="50" t="n"/>
      <c r="C412" s="41" t="n"/>
      <c r="D412" s="48" t="n"/>
    </row>
    <row r="413" customFormat="1" s="74">
      <c r="A413" s="49" t="n"/>
      <c r="B413" s="50" t="n"/>
      <c r="C413" s="41" t="n"/>
      <c r="D413" s="48" t="n"/>
    </row>
    <row r="414" customFormat="1" s="74">
      <c r="A414" s="49" t="n"/>
      <c r="B414" s="50" t="n"/>
      <c r="C414" s="41" t="n"/>
      <c r="D414" s="48" t="n"/>
    </row>
    <row r="415" customFormat="1" s="74">
      <c r="A415" s="49" t="n"/>
      <c r="B415" s="50" t="n"/>
      <c r="C415" s="41" t="n"/>
      <c r="D415" s="48" t="n"/>
    </row>
    <row r="416" customFormat="1" s="74">
      <c r="A416" s="49" t="n"/>
      <c r="B416" s="50" t="n"/>
      <c r="C416" s="41" t="n"/>
      <c r="D416" s="48" t="n"/>
    </row>
    <row r="417" customFormat="1" s="74">
      <c r="A417" s="49" t="n"/>
      <c r="B417" s="50" t="n"/>
      <c r="C417" s="41" t="n"/>
      <c r="D417" s="48" t="n"/>
    </row>
    <row r="418" customFormat="1" s="74">
      <c r="A418" s="49" t="n"/>
      <c r="B418" s="50" t="n"/>
      <c r="C418" s="41" t="n"/>
      <c r="D418" s="48" t="n"/>
    </row>
    <row r="419" customFormat="1" s="74">
      <c r="A419" s="49" t="n"/>
      <c r="B419" s="50" t="n"/>
      <c r="C419" s="41" t="n"/>
      <c r="D419" s="48" t="n"/>
    </row>
    <row r="420" customFormat="1" s="74">
      <c r="A420" s="49" t="n"/>
      <c r="B420" s="50" t="n"/>
      <c r="C420" s="41" t="n"/>
      <c r="D420" s="48" t="n"/>
    </row>
    <row r="421" customFormat="1" s="74">
      <c r="A421" s="49" t="n"/>
      <c r="B421" s="50" t="n"/>
      <c r="C421" s="41" t="n"/>
      <c r="D421" s="48" t="n"/>
    </row>
    <row r="422" customFormat="1" s="74">
      <c r="A422" s="49" t="n"/>
      <c r="B422" s="50" t="n"/>
      <c r="C422" s="41" t="n"/>
      <c r="D422" s="48" t="n"/>
    </row>
    <row r="423" customFormat="1" s="74">
      <c r="A423" s="49" t="n"/>
      <c r="B423" s="50" t="n"/>
      <c r="C423" s="41" t="n"/>
      <c r="D423" s="48" t="n"/>
    </row>
    <row r="424" customFormat="1" s="74">
      <c r="A424" s="49" t="n"/>
      <c r="B424" s="50" t="n"/>
      <c r="C424" s="41" t="n"/>
      <c r="D424" s="48" t="n"/>
    </row>
    <row r="425" customFormat="1" s="74">
      <c r="A425" s="49" t="n"/>
      <c r="B425" s="50" t="n"/>
      <c r="C425" s="41" t="n"/>
      <c r="D425" s="48" t="n"/>
    </row>
    <row r="426" customFormat="1" s="74">
      <c r="A426" s="49" t="n"/>
      <c r="B426" s="50" t="n"/>
      <c r="C426" s="41" t="n"/>
      <c r="D426" s="48" t="n"/>
    </row>
    <row r="427" customFormat="1" s="74">
      <c r="A427" s="49" t="n"/>
      <c r="B427" s="50" t="n"/>
      <c r="C427" s="41" t="n"/>
      <c r="D427" s="48" t="n"/>
    </row>
    <row r="428" customFormat="1" s="74">
      <c r="A428" s="49" t="n"/>
      <c r="B428" s="50" t="n"/>
      <c r="C428" s="41" t="n"/>
      <c r="D428" s="48" t="n"/>
    </row>
    <row r="429" customFormat="1" s="74">
      <c r="A429" s="49" t="n"/>
      <c r="B429" s="50" t="n"/>
      <c r="C429" s="41" t="n"/>
      <c r="D429" s="48" t="n"/>
    </row>
    <row r="430" customFormat="1" s="74">
      <c r="A430" s="49" t="n"/>
      <c r="B430" s="50" t="n"/>
      <c r="C430" s="41" t="n"/>
      <c r="D430" s="48" t="n"/>
    </row>
    <row r="431" customFormat="1" s="74">
      <c r="A431" s="49" t="n"/>
      <c r="B431" s="50" t="n"/>
      <c r="C431" s="41" t="n"/>
      <c r="D431" s="48" t="n"/>
    </row>
    <row r="432" customFormat="1" s="74">
      <c r="A432" s="49" t="n"/>
      <c r="B432" s="50" t="n"/>
      <c r="C432" s="41" t="n"/>
      <c r="D432" s="48" t="n"/>
    </row>
    <row r="433" customFormat="1" s="74">
      <c r="A433" s="49" t="n"/>
      <c r="B433" s="50" t="n"/>
      <c r="C433" s="41" t="n"/>
      <c r="D433" s="48" t="n"/>
    </row>
    <row r="434" customFormat="1" s="74">
      <c r="A434" s="49" t="n"/>
      <c r="B434" s="50" t="n"/>
      <c r="C434" s="41" t="n"/>
      <c r="D434" s="48" t="n"/>
    </row>
    <row r="435">
      <c r="A435" s="38" t="n"/>
    </row>
  </sheetData>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0.xml><?xml version="1.0" encoding="utf-8"?>
<worksheet xmlns="http://schemas.openxmlformats.org/spreadsheetml/2006/main">
  <sheetPr codeName="Sheet9">
    <tabColor rgb="FFFFC000"/>
    <outlinePr summaryBelow="1" summaryRight="1"/>
    <pageSetUpPr/>
  </sheetPr>
  <dimension ref="A1:V435"/>
  <sheetViews>
    <sheetView zoomScale="130" zoomScaleNormal="130" workbookViewId="0">
      <pane ySplit="1" topLeftCell="A250" activePane="bottomLeft" state="frozen"/>
      <selection activeCell="B31" sqref="B31"/>
      <selection pane="bottomLeft" activeCell="H298" sqref="H298"/>
    </sheetView>
  </sheetViews>
  <sheetFormatPr baseColWidth="10" defaultColWidth="8.83203125" defaultRowHeight="15"/>
  <cols>
    <col width="9.1640625" customWidth="1" style="36" min="1" max="1"/>
    <col width="16.1640625" customWidth="1" style="35" min="2" max="2"/>
    <col width="11.6640625" customWidth="1" style="37" min="3" max="3"/>
    <col width="11.6640625" customWidth="1" style="56" min="4" max="4"/>
    <col width="9.1640625" customWidth="1" style="74" min="5" max="43"/>
  </cols>
  <sheetData>
    <row r="1" ht="32" customHeight="1" s="68">
      <c r="A1" s="51" t="inlineStr">
        <is>
          <t>Data</t>
        </is>
      </c>
      <c r="B1" s="45" t="inlineStr">
        <is>
          <t>USA</t>
        </is>
      </c>
      <c r="C1" s="52" t="inlineStr">
        <is>
          <t>Quarter Change</t>
        </is>
      </c>
      <c r="D1" s="53" t="inlineStr">
        <is>
          <t>qoq annualized</t>
        </is>
      </c>
      <c r="E1" s="47" t="inlineStr">
        <is>
          <t>Change Country in B2</t>
        </is>
      </c>
      <c r="F1" s="46" t="n"/>
      <c r="G1" s="46" t="n"/>
      <c r="H1" s="46" t="n"/>
      <c r="J1" s="74">
        <f>B1&amp;" GDP % qoq"</f>
        <v/>
      </c>
      <c r="V1" s="74" t="inlineStr">
        <is>
          <t>AUS</t>
        </is>
      </c>
    </row>
    <row r="2">
      <c r="A2" s="42" t="n">
        <v>17349</v>
      </c>
      <c r="B2" s="43">
        <f>VLOOKUP(A2,'Data qoq'!$B:$AT,MATCH($B$1,'Data qoq'!$B$1:$AT$1,0),FALSE)</f>
        <v/>
      </c>
      <c r="C2" s="44" t="n"/>
      <c r="D2" s="54">
        <f>(Table134567891011121314151617343[[#This Row],[USA]]/100 +1)^4-1</f>
        <v/>
      </c>
      <c r="E2" s="46" t="n"/>
      <c r="F2" s="46" t="n"/>
      <c r="G2" s="46" t="n"/>
      <c r="H2" s="46" t="n"/>
      <c r="J2" s="74">
        <f>B1&amp;" GDP % qoq annualized"</f>
        <v/>
      </c>
      <c r="V2" s="74" t="inlineStr">
        <is>
          <t>AUT</t>
        </is>
      </c>
    </row>
    <row r="3">
      <c r="A3" s="42" t="n">
        <v>17441</v>
      </c>
      <c r="B3" s="43">
        <f>VLOOKUP(A3,'Data qoq'!$B:$AT,MATCH($B$1,'Data qoq'!$B$1:$AT$1,0),FALSE)</f>
        <v/>
      </c>
      <c r="C3" s="43">
        <f>Table134567891011121314151617343[[#This Row],[USA]]-B2</f>
        <v/>
      </c>
      <c r="D3" s="54">
        <f>(Table134567891011121314151617343[[#This Row],[USA]]/100 +1)^4-1</f>
        <v/>
      </c>
      <c r="E3" s="46" t="n"/>
      <c r="F3" s="46" t="n"/>
      <c r="G3" s="46" t="n"/>
      <c r="H3" s="46" t="n"/>
      <c r="V3" s="74" t="inlineStr">
        <is>
          <t>BEL</t>
        </is>
      </c>
    </row>
    <row r="4">
      <c r="A4" s="42" t="n">
        <v>17533</v>
      </c>
      <c r="B4" s="43">
        <f>VLOOKUP(A4,'Data qoq'!$B:$AT,MATCH($B$1,'Data qoq'!$B$1:$AT$1,0),FALSE)</f>
        <v/>
      </c>
      <c r="C4" s="43">
        <f>Table134567891011121314151617343[[#This Row],[USA]]-B3</f>
        <v/>
      </c>
      <c r="D4" s="54">
        <f>(Table134567891011121314151617343[[#This Row],[USA]]/100 +1)^4-1</f>
        <v/>
      </c>
      <c r="E4" s="46" t="n"/>
      <c r="F4" s="46" t="n"/>
      <c r="G4" s="46" t="n"/>
      <c r="H4" s="46" t="n"/>
      <c r="V4" s="74" t="inlineStr">
        <is>
          <t>CAN</t>
        </is>
      </c>
    </row>
    <row r="5">
      <c r="A5" s="42" t="n">
        <v>17624</v>
      </c>
      <c r="B5" s="43">
        <f>VLOOKUP(A5,'Data qoq'!$B:$AT,MATCH($B$1,'Data qoq'!$B$1:$AT$1,0),FALSE)</f>
        <v/>
      </c>
      <c r="C5" s="43">
        <f>Table134567891011121314151617343[[#This Row],[USA]]-B4</f>
        <v/>
      </c>
      <c r="D5" s="54">
        <f>(Table134567891011121314151617343[[#This Row],[USA]]/100 +1)^4-1</f>
        <v/>
      </c>
      <c r="E5" s="46" t="n"/>
      <c r="F5" s="46" t="n"/>
      <c r="G5" s="46" t="n"/>
      <c r="H5" s="46" t="n"/>
      <c r="V5" s="74" t="inlineStr">
        <is>
          <t>CHL</t>
        </is>
      </c>
    </row>
    <row r="6">
      <c r="A6" s="42" t="n">
        <v>17715</v>
      </c>
      <c r="B6" s="43">
        <f>VLOOKUP(A6,'Data qoq'!$B:$AT,MATCH($B$1,'Data qoq'!$B$1:$AT$1,0),FALSE)</f>
        <v/>
      </c>
      <c r="C6" s="43">
        <f>Table134567891011121314151617343[[#This Row],[USA]]-B5</f>
        <v/>
      </c>
      <c r="D6" s="54">
        <f>(Table134567891011121314151617343[[#This Row],[USA]]/100 +1)^4-1</f>
        <v/>
      </c>
      <c r="E6" s="46" t="n"/>
      <c r="F6" s="46" t="n"/>
      <c r="G6" s="46" t="n"/>
      <c r="H6" s="46" t="n"/>
      <c r="V6" s="74" t="inlineStr">
        <is>
          <t>CZE</t>
        </is>
      </c>
    </row>
    <row r="7">
      <c r="A7" s="42" t="n">
        <v>17807</v>
      </c>
      <c r="B7" s="43">
        <f>VLOOKUP(A7,'Data qoq'!$B:$AT,MATCH($B$1,'Data qoq'!$B$1:$AT$1,0),FALSE)</f>
        <v/>
      </c>
      <c r="C7" s="43">
        <f>Table134567891011121314151617343[[#This Row],[USA]]-B6</f>
        <v/>
      </c>
      <c r="D7" s="54">
        <f>(Table134567891011121314151617343[[#This Row],[USA]]/100 +1)^4-1</f>
        <v/>
      </c>
      <c r="E7" s="46" t="n"/>
      <c r="F7" s="46" t="n"/>
      <c r="G7" s="46" t="n"/>
      <c r="H7" s="46" t="n"/>
      <c r="V7" s="74" t="inlineStr">
        <is>
          <t>DEU</t>
        </is>
      </c>
    </row>
    <row r="8">
      <c r="A8" s="42" t="n">
        <v>17899</v>
      </c>
      <c r="B8" s="43">
        <f>VLOOKUP(A8,'Data qoq'!$B:$AT,MATCH($B$1,'Data qoq'!$B$1:$AT$1,0),FALSE)</f>
        <v/>
      </c>
      <c r="C8" s="43">
        <f>Table134567891011121314151617343[[#This Row],[USA]]-B7</f>
        <v/>
      </c>
      <c r="D8" s="54">
        <f>(Table134567891011121314151617343[[#This Row],[USA]]/100 +1)^4-1</f>
        <v/>
      </c>
      <c r="E8" s="46" t="n"/>
      <c r="F8" s="46" t="n"/>
      <c r="G8" s="46" t="n"/>
      <c r="H8" s="46" t="n"/>
      <c r="V8" s="74" t="inlineStr">
        <is>
          <t>DNK</t>
        </is>
      </c>
    </row>
    <row r="9">
      <c r="A9" s="42" t="n">
        <v>17989</v>
      </c>
      <c r="B9" s="43">
        <f>VLOOKUP(A9,'Data qoq'!$B:$AT,MATCH($B$1,'Data qoq'!$B$1:$AT$1,0),FALSE)</f>
        <v/>
      </c>
      <c r="C9" s="43">
        <f>Table134567891011121314151617343[[#This Row],[USA]]-B8</f>
        <v/>
      </c>
      <c r="D9" s="54">
        <f>(Table134567891011121314151617343[[#This Row],[USA]]/100 +1)^4-1</f>
        <v/>
      </c>
      <c r="E9" s="46" t="n"/>
      <c r="F9" s="46" t="n"/>
      <c r="G9" s="46" t="n"/>
      <c r="H9" s="46" t="n"/>
      <c r="V9" s="74" t="inlineStr">
        <is>
          <t>ESP</t>
        </is>
      </c>
    </row>
    <row r="10">
      <c r="A10" s="42" t="n">
        <v>18080</v>
      </c>
      <c r="B10" s="43">
        <f>VLOOKUP(A10,'Data qoq'!$B:$AT,MATCH($B$1,'Data qoq'!$B$1:$AT$1,0),FALSE)</f>
        <v/>
      </c>
      <c r="C10" s="43">
        <f>Table134567891011121314151617343[[#This Row],[USA]]-B9</f>
        <v/>
      </c>
      <c r="D10" s="54">
        <f>(Table134567891011121314151617343[[#This Row],[USA]]/100 +1)^4-1</f>
        <v/>
      </c>
      <c r="E10" s="46" t="n"/>
      <c r="F10" s="46" t="n"/>
      <c r="G10" s="46" t="n"/>
      <c r="H10" s="46" t="n"/>
      <c r="V10" s="74" t="inlineStr">
        <is>
          <t>EST</t>
        </is>
      </c>
    </row>
    <row r="11">
      <c r="A11" s="42" t="n">
        <v>18172</v>
      </c>
      <c r="B11" s="43">
        <f>VLOOKUP(A11,'Data qoq'!$B:$AT,MATCH($B$1,'Data qoq'!$B$1:$AT$1,0),FALSE)</f>
        <v/>
      </c>
      <c r="C11" s="43">
        <f>Table134567891011121314151617343[[#This Row],[USA]]-B10</f>
        <v/>
      </c>
      <c r="D11" s="54">
        <f>(Table134567891011121314151617343[[#This Row],[USA]]/100 +1)^4-1</f>
        <v/>
      </c>
      <c r="E11" s="46" t="n"/>
      <c r="F11" s="46" t="n"/>
      <c r="G11" s="46" t="n"/>
      <c r="H11" s="46" t="n"/>
      <c r="V11" s="74" t="inlineStr">
        <is>
          <t>FIN</t>
        </is>
      </c>
    </row>
    <row r="12">
      <c r="A12" s="42" t="n">
        <v>18264</v>
      </c>
      <c r="B12" s="43">
        <f>VLOOKUP(A12,'Data qoq'!$B:$AT,MATCH($B$1,'Data qoq'!$B$1:$AT$1,0),FALSE)</f>
        <v/>
      </c>
      <c r="C12" s="43">
        <f>Table134567891011121314151617343[[#This Row],[USA]]-B11</f>
        <v/>
      </c>
      <c r="D12" s="55">
        <f>(Table134567891011121314151617343[[#This Row],[USA]]/100 +1)^4-1</f>
        <v/>
      </c>
      <c r="V12" s="74" t="inlineStr">
        <is>
          <t>FRA</t>
        </is>
      </c>
    </row>
    <row r="13">
      <c r="A13" s="42" t="n">
        <v>18354</v>
      </c>
      <c r="B13" s="43">
        <f>VLOOKUP(A13,'Data qoq'!$B:$AT,MATCH($B$1,'Data qoq'!$B$1:$AT$1,0),FALSE)</f>
        <v/>
      </c>
      <c r="C13" s="43">
        <f>Table134567891011121314151617343[[#This Row],[USA]]-B12</f>
        <v/>
      </c>
      <c r="D13" s="55">
        <f>(Table134567891011121314151617343[[#This Row],[USA]]/100 +1)^4-1</f>
        <v/>
      </c>
      <c r="V13" s="74" t="inlineStr">
        <is>
          <t>GBR</t>
        </is>
      </c>
    </row>
    <row r="14">
      <c r="A14" s="42" t="n">
        <v>18445</v>
      </c>
      <c r="B14" s="43">
        <f>VLOOKUP(A14,'Data qoq'!$B:$AT,MATCH($B$1,'Data qoq'!$B$1:$AT$1,0),FALSE)</f>
        <v/>
      </c>
      <c r="C14" s="43">
        <f>Table134567891011121314151617343[[#This Row],[USA]]-B13</f>
        <v/>
      </c>
      <c r="D14" s="55">
        <f>(Table134567891011121314151617343[[#This Row],[USA]]/100 +1)^4-1</f>
        <v/>
      </c>
      <c r="V14" s="74" t="inlineStr">
        <is>
          <t>GRC</t>
        </is>
      </c>
    </row>
    <row r="15">
      <c r="A15" s="42" t="n">
        <v>18537</v>
      </c>
      <c r="B15" s="43">
        <f>VLOOKUP(A15,'Data qoq'!$B:$AT,MATCH($B$1,'Data qoq'!$B$1:$AT$1,0),FALSE)</f>
        <v/>
      </c>
      <c r="C15" s="43">
        <f>Table134567891011121314151617343[[#This Row],[USA]]-B14</f>
        <v/>
      </c>
      <c r="D15" s="55">
        <f>(Table134567891011121314151617343[[#This Row],[USA]]/100 +1)^4-1</f>
        <v/>
      </c>
      <c r="V15" s="74" t="inlineStr">
        <is>
          <t>HUN</t>
        </is>
      </c>
    </row>
    <row r="16">
      <c r="A16" s="42" t="n">
        <v>18629</v>
      </c>
      <c r="B16" s="43">
        <f>VLOOKUP(A16,'Data qoq'!$B:$AT,MATCH($B$1,'Data qoq'!$B$1:$AT$1,0),FALSE)</f>
        <v/>
      </c>
      <c r="C16" s="43">
        <f>Table134567891011121314151617343[[#This Row],[USA]]-B15</f>
        <v/>
      </c>
      <c r="D16" s="55">
        <f>(Table134567891011121314151617343[[#This Row],[USA]]/100 +1)^4-1</f>
        <v/>
      </c>
      <c r="V16" s="74" t="inlineStr">
        <is>
          <t>IRL</t>
        </is>
      </c>
    </row>
    <row r="17">
      <c r="A17" s="42" t="n">
        <v>18719</v>
      </c>
      <c r="B17" s="43">
        <f>VLOOKUP(A17,'Data qoq'!$B:$AT,MATCH($B$1,'Data qoq'!$B$1:$AT$1,0),FALSE)</f>
        <v/>
      </c>
      <c r="C17" s="43">
        <f>Table134567891011121314151617343[[#This Row],[USA]]-B16</f>
        <v/>
      </c>
      <c r="D17" s="55">
        <f>(Table134567891011121314151617343[[#This Row],[USA]]/100 +1)^4-1</f>
        <v/>
      </c>
      <c r="V17" s="74" t="inlineStr">
        <is>
          <t>ISL</t>
        </is>
      </c>
    </row>
    <row r="18">
      <c r="A18" s="42" t="n">
        <v>18810</v>
      </c>
      <c r="B18" s="43">
        <f>VLOOKUP(A18,'Data qoq'!$B:$AT,MATCH($B$1,'Data qoq'!$B$1:$AT$1,0),FALSE)</f>
        <v/>
      </c>
      <c r="C18" s="43">
        <f>Table134567891011121314151617343[[#This Row],[USA]]-B17</f>
        <v/>
      </c>
      <c r="D18" s="55">
        <f>(Table134567891011121314151617343[[#This Row],[USA]]/100 +1)^4-1</f>
        <v/>
      </c>
      <c r="V18" s="74" t="inlineStr">
        <is>
          <t>ISR</t>
        </is>
      </c>
    </row>
    <row r="19">
      <c r="A19" s="42" t="n">
        <v>18902</v>
      </c>
      <c r="B19" s="43">
        <f>VLOOKUP(A19,'Data qoq'!$B:$AT,MATCH($B$1,'Data qoq'!$B$1:$AT$1,0),FALSE)</f>
        <v/>
      </c>
      <c r="C19" s="43">
        <f>Table134567891011121314151617343[[#This Row],[USA]]-B18</f>
        <v/>
      </c>
      <c r="D19" s="55">
        <f>(Table134567891011121314151617343[[#This Row],[USA]]/100 +1)^4-1</f>
        <v/>
      </c>
      <c r="V19" s="74" t="inlineStr">
        <is>
          <t>ITA</t>
        </is>
      </c>
    </row>
    <row r="20">
      <c r="A20" s="42" t="n">
        <v>18994</v>
      </c>
      <c r="B20" s="43">
        <f>VLOOKUP(A20,'Data qoq'!$B:$AT,MATCH($B$1,'Data qoq'!$B$1:$AT$1,0),FALSE)</f>
        <v/>
      </c>
      <c r="C20" s="43">
        <f>Table134567891011121314151617343[[#This Row],[USA]]-B19</f>
        <v/>
      </c>
      <c r="D20" s="55">
        <f>(Table134567891011121314151617343[[#This Row],[USA]]/100 +1)^4-1</f>
        <v/>
      </c>
      <c r="V20" s="74" t="inlineStr">
        <is>
          <t>JPN</t>
        </is>
      </c>
    </row>
    <row r="21">
      <c r="A21" s="42" t="n">
        <v>19085</v>
      </c>
      <c r="B21" s="43">
        <f>VLOOKUP(A21,'Data qoq'!$B:$AT,MATCH($B$1,'Data qoq'!$B$1:$AT$1,0),FALSE)</f>
        <v/>
      </c>
      <c r="C21" s="43">
        <f>Table134567891011121314151617343[[#This Row],[USA]]-B20</f>
        <v/>
      </c>
      <c r="D21" s="55">
        <f>(Table134567891011121314151617343[[#This Row],[USA]]/100 +1)^4-1</f>
        <v/>
      </c>
      <c r="V21" s="74" t="inlineStr">
        <is>
          <t>KOR</t>
        </is>
      </c>
    </row>
    <row r="22">
      <c r="A22" s="42" t="n">
        <v>19176</v>
      </c>
      <c r="B22" s="43">
        <f>VLOOKUP(A22,'Data qoq'!$B:$AT,MATCH($B$1,'Data qoq'!$B$1:$AT$1,0),FALSE)</f>
        <v/>
      </c>
      <c r="C22" s="43">
        <f>Table134567891011121314151617343[[#This Row],[USA]]-B21</f>
        <v/>
      </c>
      <c r="D22" s="55">
        <f>(Table134567891011121314151617343[[#This Row],[USA]]/100 +1)^4-1</f>
        <v/>
      </c>
      <c r="V22" s="74" t="inlineStr">
        <is>
          <t>LUX</t>
        </is>
      </c>
    </row>
    <row r="23">
      <c r="A23" s="42" t="n">
        <v>19268</v>
      </c>
      <c r="B23" s="43">
        <f>VLOOKUP(A23,'Data qoq'!$B:$AT,MATCH($B$1,'Data qoq'!$B$1:$AT$1,0),FALSE)</f>
        <v/>
      </c>
      <c r="C23" s="43">
        <f>Table134567891011121314151617343[[#This Row],[USA]]-B22</f>
        <v/>
      </c>
      <c r="D23" s="55">
        <f>(Table134567891011121314151617343[[#This Row],[USA]]/100 +1)^4-1</f>
        <v/>
      </c>
      <c r="V23" s="74" t="inlineStr">
        <is>
          <t>LVA</t>
        </is>
      </c>
    </row>
    <row r="24">
      <c r="A24" s="42" t="n">
        <v>19360</v>
      </c>
      <c r="B24" s="43">
        <f>VLOOKUP(A24,'Data qoq'!$B:$AT,MATCH($B$1,'Data qoq'!$B$1:$AT$1,0),FALSE)</f>
        <v/>
      </c>
      <c r="C24" s="43">
        <f>Table134567891011121314151617343[[#This Row],[USA]]-B23</f>
        <v/>
      </c>
      <c r="D24" s="55">
        <f>(Table134567891011121314151617343[[#This Row],[USA]]/100 +1)^4-1</f>
        <v/>
      </c>
      <c r="V24" s="74" t="inlineStr">
        <is>
          <t>MEX</t>
        </is>
      </c>
    </row>
    <row r="25">
      <c r="A25" s="42" t="n">
        <v>19450</v>
      </c>
      <c r="B25" s="43">
        <f>VLOOKUP(A25,'Data qoq'!$B:$AT,MATCH($B$1,'Data qoq'!$B$1:$AT$1,0),FALSE)</f>
        <v/>
      </c>
      <c r="C25" s="43">
        <f>Table134567891011121314151617343[[#This Row],[USA]]-B24</f>
        <v/>
      </c>
      <c r="D25" s="55">
        <f>(Table134567891011121314151617343[[#This Row],[USA]]/100 +1)^4-1</f>
        <v/>
      </c>
      <c r="V25" s="74" t="inlineStr">
        <is>
          <t>NLD</t>
        </is>
      </c>
    </row>
    <row r="26">
      <c r="A26" s="42" t="n">
        <v>19541</v>
      </c>
      <c r="B26" s="43">
        <f>VLOOKUP(A26,'Data qoq'!$B:$AT,MATCH($B$1,'Data qoq'!$B$1:$AT$1,0),FALSE)</f>
        <v/>
      </c>
      <c r="C26" s="43">
        <f>Table134567891011121314151617343[[#This Row],[USA]]-B25</f>
        <v/>
      </c>
      <c r="D26" s="55">
        <f>(Table134567891011121314151617343[[#This Row],[USA]]/100 +1)^4-1</f>
        <v/>
      </c>
      <c r="V26" s="74" t="inlineStr">
        <is>
          <t>NOR</t>
        </is>
      </c>
    </row>
    <row r="27">
      <c r="A27" s="42" t="n">
        <v>19633</v>
      </c>
      <c r="B27" s="43">
        <f>VLOOKUP(A27,'Data qoq'!$B:$AT,MATCH($B$1,'Data qoq'!$B$1:$AT$1,0),FALSE)</f>
        <v/>
      </c>
      <c r="C27" s="43">
        <f>Table134567891011121314151617343[[#This Row],[USA]]-B26</f>
        <v/>
      </c>
      <c r="D27" s="55">
        <f>(Table134567891011121314151617343[[#This Row],[USA]]/100 +1)^4-1</f>
        <v/>
      </c>
      <c r="V27" s="74" t="inlineStr">
        <is>
          <t>OECD</t>
        </is>
      </c>
    </row>
    <row r="28">
      <c r="A28" s="42" t="n">
        <v>19725</v>
      </c>
      <c r="B28" s="43">
        <f>VLOOKUP(A28,'Data qoq'!$B:$AT,MATCH($B$1,'Data qoq'!$B$1:$AT$1,0),FALSE)</f>
        <v/>
      </c>
      <c r="C28" s="43">
        <f>Table134567891011121314151617343[[#This Row],[USA]]-B27</f>
        <v/>
      </c>
      <c r="D28" s="55">
        <f>(Table134567891011121314151617343[[#This Row],[USA]]/100 +1)^4-1</f>
        <v/>
      </c>
      <c r="V28" s="74" t="inlineStr">
        <is>
          <t>POL</t>
        </is>
      </c>
    </row>
    <row r="29">
      <c r="A29" s="42" t="n">
        <v>19815</v>
      </c>
      <c r="B29" s="43">
        <f>VLOOKUP(A29,'Data qoq'!$B:$AT,MATCH($B$1,'Data qoq'!$B$1:$AT$1,0),FALSE)</f>
        <v/>
      </c>
      <c r="C29" s="43">
        <f>Table134567891011121314151617343[[#This Row],[USA]]-B28</f>
        <v/>
      </c>
      <c r="D29" s="55">
        <f>(Table134567891011121314151617343[[#This Row],[USA]]/100 +1)^4-1</f>
        <v/>
      </c>
      <c r="V29" s="74" t="inlineStr">
        <is>
          <t>PRT</t>
        </is>
      </c>
    </row>
    <row r="30">
      <c r="A30" s="42" t="n">
        <v>19906</v>
      </c>
      <c r="B30" s="43">
        <f>VLOOKUP(A30,'Data qoq'!$B:$AT,MATCH($B$1,'Data qoq'!$B$1:$AT$1,0),FALSE)</f>
        <v/>
      </c>
      <c r="C30" s="43">
        <f>Table134567891011121314151617343[[#This Row],[USA]]-B29</f>
        <v/>
      </c>
      <c r="D30" s="55">
        <f>(Table134567891011121314151617343[[#This Row],[USA]]/100 +1)^4-1</f>
        <v/>
      </c>
      <c r="V30" s="74" t="inlineStr">
        <is>
          <t>SVK</t>
        </is>
      </c>
    </row>
    <row r="31">
      <c r="A31" s="42" t="n">
        <v>19998</v>
      </c>
      <c r="B31" s="43">
        <f>VLOOKUP(A31,'Data qoq'!$B:$AT,MATCH($B$1,'Data qoq'!$B$1:$AT$1,0),FALSE)</f>
        <v/>
      </c>
      <c r="C31" s="43">
        <f>Table134567891011121314151617343[[#This Row],[USA]]-B30</f>
        <v/>
      </c>
      <c r="D31" s="55">
        <f>(Table134567891011121314151617343[[#This Row],[USA]]/100 +1)^4-1</f>
        <v/>
      </c>
      <c r="V31" s="74" t="inlineStr">
        <is>
          <t>SVN</t>
        </is>
      </c>
    </row>
    <row r="32">
      <c r="A32" s="42" t="n">
        <v>20090</v>
      </c>
      <c r="B32" s="43">
        <f>VLOOKUP(A32,'Data qoq'!$B:$AT,MATCH($B$1,'Data qoq'!$B$1:$AT$1,0),FALSE)</f>
        <v/>
      </c>
      <c r="C32" s="43">
        <f>Table134567891011121314151617343[[#This Row],[USA]]-B31</f>
        <v/>
      </c>
      <c r="D32" s="55">
        <f>(Table134567891011121314151617343[[#This Row],[USA]]/100 +1)^4-1</f>
        <v/>
      </c>
      <c r="V32" s="74" t="inlineStr">
        <is>
          <t>SWE</t>
        </is>
      </c>
    </row>
    <row r="33">
      <c r="A33" s="42" t="n">
        <v>20180</v>
      </c>
      <c r="B33" s="43">
        <f>VLOOKUP(A33,'Data qoq'!$B:$AT,MATCH($B$1,'Data qoq'!$B$1:$AT$1,0),FALSE)</f>
        <v/>
      </c>
      <c r="C33" s="43">
        <f>Table134567891011121314151617343[[#This Row],[USA]]-B32</f>
        <v/>
      </c>
      <c r="D33" s="55">
        <f>(Table134567891011121314151617343[[#This Row],[USA]]/100 +1)^4-1</f>
        <v/>
      </c>
      <c r="V33" s="74" t="inlineStr">
        <is>
          <t>TUR</t>
        </is>
      </c>
    </row>
    <row r="34">
      <c r="A34" s="42" t="n">
        <v>20271</v>
      </c>
      <c r="B34" s="43">
        <f>VLOOKUP(A34,'Data qoq'!$B:$AT,MATCH($B$1,'Data qoq'!$B$1:$AT$1,0),FALSE)</f>
        <v/>
      </c>
      <c r="C34" s="43">
        <f>Table134567891011121314151617343[[#This Row],[USA]]-B33</f>
        <v/>
      </c>
      <c r="D34" s="55">
        <f>(Table134567891011121314151617343[[#This Row],[USA]]/100 +1)^4-1</f>
        <v/>
      </c>
      <c r="V34" s="74" t="inlineStr">
        <is>
          <t>USA</t>
        </is>
      </c>
    </row>
    <row r="35">
      <c r="A35" s="42" t="n">
        <v>20363</v>
      </c>
      <c r="B35" s="43">
        <f>VLOOKUP(A35,'Data qoq'!$B:$AT,MATCH($B$1,'Data qoq'!$B$1:$AT$1,0),FALSE)</f>
        <v/>
      </c>
      <c r="C35" s="43">
        <f>Table134567891011121314151617343[[#This Row],[USA]]-B34</f>
        <v/>
      </c>
      <c r="D35" s="55">
        <f>(Table134567891011121314151617343[[#This Row],[USA]]/100 +1)^4-1</f>
        <v/>
      </c>
      <c r="V35" s="74" t="inlineStr">
        <is>
          <t>EA19</t>
        </is>
      </c>
    </row>
    <row r="36">
      <c r="A36" s="42" t="n">
        <v>20455</v>
      </c>
      <c r="B36" s="43">
        <f>VLOOKUP(A36,'Data qoq'!$B:$AT,MATCH($B$1,'Data qoq'!$B$1:$AT$1,0),FALSE)</f>
        <v/>
      </c>
      <c r="C36" s="43">
        <f>Table134567891011121314151617343[[#This Row],[USA]]-B35</f>
        <v/>
      </c>
      <c r="D36" s="55">
        <f>(Table134567891011121314151617343[[#This Row],[USA]]/100 +1)^4-1</f>
        <v/>
      </c>
      <c r="V36" s="74" t="inlineStr">
        <is>
          <t>EU27_2020</t>
        </is>
      </c>
    </row>
    <row r="37">
      <c r="A37" s="42" t="n">
        <v>20546</v>
      </c>
      <c r="B37" s="43">
        <f>VLOOKUP(A37,'Data qoq'!$B:$AT,MATCH($B$1,'Data qoq'!$B$1:$AT$1,0),FALSE)</f>
        <v/>
      </c>
      <c r="C37" s="43">
        <f>Table134567891011121314151617343[[#This Row],[USA]]-B36</f>
        <v/>
      </c>
      <c r="D37" s="55">
        <f>(Table134567891011121314151617343[[#This Row],[USA]]/100 +1)^4-1</f>
        <v/>
      </c>
      <c r="V37" s="74" t="inlineStr">
        <is>
          <t>G-7</t>
        </is>
      </c>
    </row>
    <row r="38">
      <c r="A38" s="42" t="n">
        <v>20637</v>
      </c>
      <c r="B38" s="43">
        <f>VLOOKUP(A38,'Data qoq'!$B:$AT,MATCH($B$1,'Data qoq'!$B$1:$AT$1,0),FALSE)</f>
        <v/>
      </c>
      <c r="C38" s="43">
        <f>Table134567891011121314151617343[[#This Row],[USA]]-B37</f>
        <v/>
      </c>
      <c r="D38" s="55">
        <f>(Table134567891011121314151617343[[#This Row],[USA]]/100 +1)^4-1</f>
        <v/>
      </c>
      <c r="V38" s="74" t="inlineStr">
        <is>
          <t>CHE</t>
        </is>
      </c>
    </row>
    <row r="39">
      <c r="A39" s="42" t="n">
        <v>20729</v>
      </c>
      <c r="B39" s="43">
        <f>VLOOKUP(A39,'Data qoq'!$B:$AT,MATCH($B$1,'Data qoq'!$B$1:$AT$1,0),FALSE)</f>
        <v/>
      </c>
      <c r="C39" s="43">
        <f>Table134567891011121314151617343[[#This Row],[USA]]-B38</f>
        <v/>
      </c>
      <c r="D39" s="55">
        <f>(Table134567891011121314151617343[[#This Row],[USA]]/100 +1)^4-1</f>
        <v/>
      </c>
      <c r="V39" s="74" t="inlineStr">
        <is>
          <t>IND</t>
        </is>
      </c>
    </row>
    <row r="40">
      <c r="A40" s="42" t="n">
        <v>20821</v>
      </c>
      <c r="B40" s="43">
        <f>VLOOKUP(A40,'Data qoq'!$B:$AT,MATCH($B$1,'Data qoq'!$B$1:$AT$1,0),FALSE)</f>
        <v/>
      </c>
      <c r="C40" s="43">
        <f>Table134567891011121314151617343[[#This Row],[USA]]-B39</f>
        <v/>
      </c>
      <c r="D40" s="55">
        <f>(Table134567891011121314151617343[[#This Row],[USA]]/100 +1)^4-1</f>
        <v/>
      </c>
      <c r="V40" s="74" t="inlineStr">
        <is>
          <t>ZAF</t>
        </is>
      </c>
    </row>
    <row r="41">
      <c r="A41" s="42" t="n">
        <v>20911</v>
      </c>
      <c r="B41" s="43">
        <f>VLOOKUP(A41,'Data qoq'!$B:$AT,MATCH($B$1,'Data qoq'!$B$1:$AT$1,0),FALSE)</f>
        <v/>
      </c>
      <c r="C41" s="43">
        <f>Table134567891011121314151617343[[#This Row],[USA]]-B40</f>
        <v/>
      </c>
      <c r="D41" s="55">
        <f>(Table134567891011121314151617343[[#This Row],[USA]]/100 +1)^4-1</f>
        <v/>
      </c>
      <c r="V41" s="74" t="inlineStr">
        <is>
          <t>RUS</t>
        </is>
      </c>
    </row>
    <row r="42">
      <c r="A42" s="42" t="n">
        <v>21002</v>
      </c>
      <c r="B42" s="43">
        <f>VLOOKUP(A42,'Data qoq'!$B:$AT,MATCH($B$1,'Data qoq'!$B$1:$AT$1,0),FALSE)</f>
        <v/>
      </c>
      <c r="C42" s="43">
        <f>Table134567891011121314151617343[[#This Row],[USA]]-B41</f>
        <v/>
      </c>
      <c r="D42" s="55">
        <f>(Table134567891011121314151617343[[#This Row],[USA]]/100 +1)^4-1</f>
        <v/>
      </c>
    </row>
    <row r="43">
      <c r="A43" s="42" t="n">
        <v>21094</v>
      </c>
      <c r="B43" s="43">
        <f>VLOOKUP(A43,'Data qoq'!$B:$AT,MATCH($B$1,'Data qoq'!$B$1:$AT$1,0),FALSE)</f>
        <v/>
      </c>
      <c r="C43" s="43">
        <f>Table134567891011121314151617343[[#This Row],[USA]]-B42</f>
        <v/>
      </c>
      <c r="D43" s="55">
        <f>(Table134567891011121314151617343[[#This Row],[USA]]/100 +1)^4-1</f>
        <v/>
      </c>
    </row>
    <row r="44">
      <c r="A44" s="42" t="n">
        <v>21186</v>
      </c>
      <c r="B44" s="43">
        <f>VLOOKUP(A44,'Data qoq'!$B:$AT,MATCH($B$1,'Data qoq'!$B$1:$AT$1,0),FALSE)</f>
        <v/>
      </c>
      <c r="C44" s="43">
        <f>Table134567891011121314151617343[[#This Row],[USA]]-B43</f>
        <v/>
      </c>
      <c r="D44" s="55">
        <f>(Table134567891011121314151617343[[#This Row],[USA]]/100 +1)^4-1</f>
        <v/>
      </c>
    </row>
    <row r="45">
      <c r="A45" s="42" t="n">
        <v>21276</v>
      </c>
      <c r="B45" s="43">
        <f>VLOOKUP(A45,'Data qoq'!$B:$AT,MATCH($B$1,'Data qoq'!$B$1:$AT$1,0),FALSE)</f>
        <v/>
      </c>
      <c r="C45" s="43">
        <f>Table134567891011121314151617343[[#This Row],[USA]]-B44</f>
        <v/>
      </c>
      <c r="D45" s="55">
        <f>(Table134567891011121314151617343[[#This Row],[USA]]/100 +1)^4-1</f>
        <v/>
      </c>
    </row>
    <row r="46">
      <c r="A46" s="42" t="n">
        <v>21367</v>
      </c>
      <c r="B46" s="43">
        <f>VLOOKUP(A46,'Data qoq'!$B:$AT,MATCH($B$1,'Data qoq'!$B$1:$AT$1,0),FALSE)</f>
        <v/>
      </c>
      <c r="C46" s="43">
        <f>Table134567891011121314151617343[[#This Row],[USA]]-B45</f>
        <v/>
      </c>
      <c r="D46" s="55">
        <f>(Table134567891011121314151617343[[#This Row],[USA]]/100 +1)^4-1</f>
        <v/>
      </c>
    </row>
    <row r="47">
      <c r="A47" s="42" t="n">
        <v>21459</v>
      </c>
      <c r="B47" s="43">
        <f>VLOOKUP(A47,'Data qoq'!$B:$AT,MATCH($B$1,'Data qoq'!$B$1:$AT$1,0),FALSE)</f>
        <v/>
      </c>
      <c r="C47" s="43">
        <f>Table134567891011121314151617343[[#This Row],[USA]]-B46</f>
        <v/>
      </c>
      <c r="D47" s="55">
        <f>(Table134567891011121314151617343[[#This Row],[USA]]/100 +1)^4-1</f>
        <v/>
      </c>
    </row>
    <row r="48">
      <c r="A48" s="42" t="n">
        <v>21551</v>
      </c>
      <c r="B48" s="43">
        <f>VLOOKUP(A48,'Data qoq'!$B:$AT,MATCH($B$1,'Data qoq'!$B$1:$AT$1,0),FALSE)</f>
        <v/>
      </c>
      <c r="C48" s="43">
        <f>Table134567891011121314151617343[[#This Row],[USA]]-B47</f>
        <v/>
      </c>
      <c r="D48" s="55">
        <f>(Table134567891011121314151617343[[#This Row],[USA]]/100 +1)^4-1</f>
        <v/>
      </c>
    </row>
    <row r="49">
      <c r="A49" s="42" t="n">
        <v>21641</v>
      </c>
      <c r="B49" s="43">
        <f>VLOOKUP(A49,'Data qoq'!$B:$AT,MATCH($B$1,'Data qoq'!$B$1:$AT$1,0),FALSE)</f>
        <v/>
      </c>
      <c r="C49" s="43">
        <f>Table134567891011121314151617343[[#This Row],[USA]]-B48</f>
        <v/>
      </c>
      <c r="D49" s="55">
        <f>(Table134567891011121314151617343[[#This Row],[USA]]/100 +1)^4-1</f>
        <v/>
      </c>
    </row>
    <row r="50">
      <c r="A50" s="42" t="n">
        <v>21732</v>
      </c>
      <c r="B50" s="43">
        <f>VLOOKUP(A50,'Data qoq'!$B:$AT,MATCH($B$1,'Data qoq'!$B$1:$AT$1,0),FALSE)</f>
        <v/>
      </c>
      <c r="C50" s="43">
        <f>Table134567891011121314151617343[[#This Row],[USA]]-B49</f>
        <v/>
      </c>
      <c r="D50" s="55">
        <f>(Table134567891011121314151617343[[#This Row],[USA]]/100 +1)^4-1</f>
        <v/>
      </c>
    </row>
    <row r="51">
      <c r="A51" s="42" t="n">
        <v>21824</v>
      </c>
      <c r="B51" s="43">
        <f>VLOOKUP(A51,'Data qoq'!$B:$AT,MATCH($B$1,'Data qoq'!$B$1:$AT$1,0),FALSE)</f>
        <v/>
      </c>
      <c r="C51" s="43">
        <f>Table134567891011121314151617343[[#This Row],[USA]]-B50</f>
        <v/>
      </c>
      <c r="D51" s="55">
        <f>(Table134567891011121314151617343[[#This Row],[USA]]/100 +1)^4-1</f>
        <v/>
      </c>
    </row>
    <row r="52">
      <c r="A52" s="42" t="n">
        <v>21916</v>
      </c>
      <c r="B52" s="43">
        <f>VLOOKUP(A52,'Data qoq'!$B:$AT,MATCH($B$1,'Data qoq'!$B$1:$AT$1,0),FALSE)</f>
        <v/>
      </c>
      <c r="C52" s="43">
        <f>Table134567891011121314151617343[[#This Row],[USA]]-B51</f>
        <v/>
      </c>
      <c r="D52" s="55">
        <f>(Table134567891011121314151617343[[#This Row],[USA]]/100 +1)^4-1</f>
        <v/>
      </c>
    </row>
    <row r="53">
      <c r="A53" s="42" t="n">
        <v>22007</v>
      </c>
      <c r="B53" s="43">
        <f>VLOOKUP(A53,'Data qoq'!$B:$AT,MATCH($B$1,'Data qoq'!$B$1:$AT$1,0),FALSE)</f>
        <v/>
      </c>
      <c r="C53" s="43">
        <f>Table134567891011121314151617343[[#This Row],[USA]]-B52</f>
        <v/>
      </c>
      <c r="D53" s="55">
        <f>(Table134567891011121314151617343[[#This Row],[USA]]/100 +1)^4-1</f>
        <v/>
      </c>
    </row>
    <row r="54">
      <c r="A54" s="42" t="n">
        <v>22098</v>
      </c>
      <c r="B54" s="43">
        <f>VLOOKUP(A54,'Data qoq'!$B:$AT,MATCH($B$1,'Data qoq'!$B$1:$AT$1,0),FALSE)</f>
        <v/>
      </c>
      <c r="C54" s="43">
        <f>Table134567891011121314151617343[[#This Row],[USA]]-B53</f>
        <v/>
      </c>
      <c r="D54" s="55">
        <f>(Table134567891011121314151617343[[#This Row],[USA]]/100 +1)^4-1</f>
        <v/>
      </c>
    </row>
    <row r="55">
      <c r="A55" s="42" t="n">
        <v>22190</v>
      </c>
      <c r="B55" s="43">
        <f>VLOOKUP(A55,'Data qoq'!$B:$AT,MATCH($B$1,'Data qoq'!$B$1:$AT$1,0),FALSE)</f>
        <v/>
      </c>
      <c r="C55" s="43">
        <f>Table134567891011121314151617343[[#This Row],[USA]]-B54</f>
        <v/>
      </c>
      <c r="D55" s="55">
        <f>(Table134567891011121314151617343[[#This Row],[USA]]/100 +1)^4-1</f>
        <v/>
      </c>
    </row>
    <row r="56">
      <c r="A56" s="42" t="n">
        <v>22282</v>
      </c>
      <c r="B56" s="43">
        <f>VLOOKUP(A56,'Data qoq'!$B:$AT,MATCH($B$1,'Data qoq'!$B$1:$AT$1,0),FALSE)</f>
        <v/>
      </c>
      <c r="C56" s="43">
        <f>Table134567891011121314151617343[[#This Row],[USA]]-B55</f>
        <v/>
      </c>
      <c r="D56" s="55">
        <f>(Table134567891011121314151617343[[#This Row],[USA]]/100 +1)^4-1</f>
        <v/>
      </c>
    </row>
    <row r="57">
      <c r="A57" s="42" t="n">
        <v>22372</v>
      </c>
      <c r="B57" s="43">
        <f>VLOOKUP(A57,'Data qoq'!$B:$AT,MATCH($B$1,'Data qoq'!$B$1:$AT$1,0),FALSE)</f>
        <v/>
      </c>
      <c r="C57" s="43">
        <f>Table134567891011121314151617343[[#This Row],[USA]]-B56</f>
        <v/>
      </c>
      <c r="D57" s="55">
        <f>(Table134567891011121314151617343[[#This Row],[USA]]/100 +1)^4-1</f>
        <v/>
      </c>
    </row>
    <row r="58">
      <c r="A58" s="42" t="n">
        <v>22463</v>
      </c>
      <c r="B58" s="43">
        <f>VLOOKUP(A58,'Data qoq'!$B:$AT,MATCH($B$1,'Data qoq'!$B$1:$AT$1,0),FALSE)</f>
        <v/>
      </c>
      <c r="C58" s="43">
        <f>Table134567891011121314151617343[[#This Row],[USA]]-B57</f>
        <v/>
      </c>
      <c r="D58" s="55">
        <f>(Table134567891011121314151617343[[#This Row],[USA]]/100 +1)^4-1</f>
        <v/>
      </c>
    </row>
    <row r="59">
      <c r="A59" s="42" t="n">
        <v>22555</v>
      </c>
      <c r="B59" s="43">
        <f>VLOOKUP(A59,'Data qoq'!$B:$AT,MATCH($B$1,'Data qoq'!$B$1:$AT$1,0),FALSE)</f>
        <v/>
      </c>
      <c r="C59" s="43">
        <f>Table134567891011121314151617343[[#This Row],[USA]]-B58</f>
        <v/>
      </c>
      <c r="D59" s="55">
        <f>(Table134567891011121314151617343[[#This Row],[USA]]/100 +1)^4-1</f>
        <v/>
      </c>
    </row>
    <row r="60">
      <c r="A60" s="42" t="n">
        <v>22647</v>
      </c>
      <c r="B60" s="43">
        <f>VLOOKUP(A60,'Data qoq'!$B:$AT,MATCH($B$1,'Data qoq'!$B$1:$AT$1,0),FALSE)</f>
        <v/>
      </c>
      <c r="C60" s="43">
        <f>Table134567891011121314151617343[[#This Row],[USA]]-B59</f>
        <v/>
      </c>
      <c r="D60" s="55">
        <f>(Table134567891011121314151617343[[#This Row],[USA]]/100 +1)^4-1</f>
        <v/>
      </c>
    </row>
    <row r="61">
      <c r="A61" s="42" t="n">
        <v>22737</v>
      </c>
      <c r="B61" s="43">
        <f>VLOOKUP(A61,'Data qoq'!$B:$AT,MATCH($B$1,'Data qoq'!$B$1:$AT$1,0),FALSE)</f>
        <v/>
      </c>
      <c r="C61" s="43">
        <f>Table134567891011121314151617343[[#This Row],[USA]]-B60</f>
        <v/>
      </c>
      <c r="D61" s="55">
        <f>(Table134567891011121314151617343[[#This Row],[USA]]/100 +1)^4-1</f>
        <v/>
      </c>
    </row>
    <row r="62">
      <c r="A62" s="42" t="n">
        <v>22828</v>
      </c>
      <c r="B62" s="43">
        <f>VLOOKUP(A62,'Data qoq'!$B:$AT,MATCH($B$1,'Data qoq'!$B$1:$AT$1,0),FALSE)</f>
        <v/>
      </c>
      <c r="C62" s="43">
        <f>Table134567891011121314151617343[[#This Row],[USA]]-B61</f>
        <v/>
      </c>
      <c r="D62" s="55">
        <f>(Table134567891011121314151617343[[#This Row],[USA]]/100 +1)^4-1</f>
        <v/>
      </c>
    </row>
    <row r="63">
      <c r="A63" s="42" t="n">
        <v>22920</v>
      </c>
      <c r="B63" s="43">
        <f>VLOOKUP(A63,'Data qoq'!$B:$AT,MATCH($B$1,'Data qoq'!$B$1:$AT$1,0),FALSE)</f>
        <v/>
      </c>
      <c r="C63" s="43">
        <f>Table134567891011121314151617343[[#This Row],[USA]]-B62</f>
        <v/>
      </c>
      <c r="D63" s="55">
        <f>(Table134567891011121314151617343[[#This Row],[USA]]/100 +1)^4-1</f>
        <v/>
      </c>
    </row>
    <row r="64">
      <c r="A64" s="42" t="n">
        <v>23012</v>
      </c>
      <c r="B64" s="43">
        <f>VLOOKUP(A64,'Data qoq'!$B:$AT,MATCH($B$1,'Data qoq'!$B$1:$AT$1,0),FALSE)</f>
        <v/>
      </c>
      <c r="C64" s="43">
        <f>Table134567891011121314151617343[[#This Row],[USA]]-B63</f>
        <v/>
      </c>
      <c r="D64" s="55">
        <f>(Table134567891011121314151617343[[#This Row],[USA]]/100 +1)^4-1</f>
        <v/>
      </c>
    </row>
    <row r="65">
      <c r="A65" s="42" t="n">
        <v>23102</v>
      </c>
      <c r="B65" s="43">
        <f>VLOOKUP(A65,'Data qoq'!$B:$AT,MATCH($B$1,'Data qoq'!$B$1:$AT$1,0),FALSE)</f>
        <v/>
      </c>
      <c r="C65" s="43">
        <f>Table134567891011121314151617343[[#This Row],[USA]]-B64</f>
        <v/>
      </c>
      <c r="D65" s="55">
        <f>(Table134567891011121314151617343[[#This Row],[USA]]/100 +1)^4-1</f>
        <v/>
      </c>
    </row>
    <row r="66">
      <c r="A66" s="42" t="n">
        <v>23193</v>
      </c>
      <c r="B66" s="43">
        <f>VLOOKUP(A66,'Data qoq'!$B:$AT,MATCH($B$1,'Data qoq'!$B$1:$AT$1,0),FALSE)</f>
        <v/>
      </c>
      <c r="C66" s="43">
        <f>Table134567891011121314151617343[[#This Row],[USA]]-B65</f>
        <v/>
      </c>
      <c r="D66" s="55">
        <f>(Table134567891011121314151617343[[#This Row],[USA]]/100 +1)^4-1</f>
        <v/>
      </c>
    </row>
    <row r="67">
      <c r="A67" s="42" t="n">
        <v>23285</v>
      </c>
      <c r="B67" s="43">
        <f>VLOOKUP(A67,'Data qoq'!$B:$AT,MATCH($B$1,'Data qoq'!$B$1:$AT$1,0),FALSE)</f>
        <v/>
      </c>
      <c r="C67" s="43">
        <f>Table134567891011121314151617343[[#This Row],[USA]]-B66</f>
        <v/>
      </c>
      <c r="D67" s="55">
        <f>(Table134567891011121314151617343[[#This Row],[USA]]/100 +1)^4-1</f>
        <v/>
      </c>
    </row>
    <row r="68">
      <c r="A68" s="42" t="n">
        <v>23377</v>
      </c>
      <c r="B68" s="43">
        <f>VLOOKUP(A68,'Data qoq'!$B:$AT,MATCH($B$1,'Data qoq'!$B$1:$AT$1,0),FALSE)</f>
        <v/>
      </c>
      <c r="C68" s="43">
        <f>Table134567891011121314151617343[[#This Row],[USA]]-B67</f>
        <v/>
      </c>
      <c r="D68" s="55">
        <f>(Table134567891011121314151617343[[#This Row],[USA]]/100 +1)^4-1</f>
        <v/>
      </c>
    </row>
    <row r="69">
      <c r="A69" s="42" t="n">
        <v>23468</v>
      </c>
      <c r="B69" s="43">
        <f>VLOOKUP(A69,'Data qoq'!$B:$AT,MATCH($B$1,'Data qoq'!$B$1:$AT$1,0),FALSE)</f>
        <v/>
      </c>
      <c r="C69" s="43">
        <f>Table134567891011121314151617343[[#This Row],[USA]]-B68</f>
        <v/>
      </c>
      <c r="D69" s="55">
        <f>(Table134567891011121314151617343[[#This Row],[USA]]/100 +1)^4-1</f>
        <v/>
      </c>
    </row>
    <row r="70">
      <c r="A70" s="42" t="n">
        <v>23559</v>
      </c>
      <c r="B70" s="43">
        <f>VLOOKUP(A70,'Data qoq'!$B:$AT,MATCH($B$1,'Data qoq'!$B$1:$AT$1,0),FALSE)</f>
        <v/>
      </c>
      <c r="C70" s="43">
        <f>Table134567891011121314151617343[[#This Row],[USA]]-B69</f>
        <v/>
      </c>
      <c r="D70" s="55">
        <f>(Table134567891011121314151617343[[#This Row],[USA]]/100 +1)^4-1</f>
        <v/>
      </c>
    </row>
    <row r="71">
      <c r="A71" s="42" t="n">
        <v>23651</v>
      </c>
      <c r="B71" s="43">
        <f>VLOOKUP(A71,'Data qoq'!$B:$AT,MATCH($B$1,'Data qoq'!$B$1:$AT$1,0),FALSE)</f>
        <v/>
      </c>
      <c r="C71" s="43">
        <f>Table134567891011121314151617343[[#This Row],[USA]]-B70</f>
        <v/>
      </c>
      <c r="D71" s="55">
        <f>(Table134567891011121314151617343[[#This Row],[USA]]/100 +1)^4-1</f>
        <v/>
      </c>
    </row>
    <row r="72">
      <c r="A72" s="42" t="n">
        <v>23743</v>
      </c>
      <c r="B72" s="43">
        <f>VLOOKUP(A72,'Data qoq'!$B:$AT,MATCH($B$1,'Data qoq'!$B$1:$AT$1,0),FALSE)</f>
        <v/>
      </c>
      <c r="C72" s="43">
        <f>Table134567891011121314151617343[[#This Row],[USA]]-B71</f>
        <v/>
      </c>
      <c r="D72" s="55">
        <f>(Table134567891011121314151617343[[#This Row],[USA]]/100 +1)^4-1</f>
        <v/>
      </c>
    </row>
    <row r="73">
      <c r="A73" s="42" t="n">
        <v>23833</v>
      </c>
      <c r="B73" s="43">
        <f>VLOOKUP(A73,'Data qoq'!$B:$AT,MATCH($B$1,'Data qoq'!$B$1:$AT$1,0),FALSE)</f>
        <v/>
      </c>
      <c r="C73" s="43">
        <f>Table134567891011121314151617343[[#This Row],[USA]]-B72</f>
        <v/>
      </c>
      <c r="D73" s="55">
        <f>(Table134567891011121314151617343[[#This Row],[USA]]/100 +1)^4-1</f>
        <v/>
      </c>
    </row>
    <row r="74">
      <c r="A74" s="42" t="n">
        <v>23924</v>
      </c>
      <c r="B74" s="43">
        <f>VLOOKUP(A74,'Data qoq'!$B:$AT,MATCH($B$1,'Data qoq'!$B$1:$AT$1,0),FALSE)</f>
        <v/>
      </c>
      <c r="C74" s="43">
        <f>Table134567891011121314151617343[[#This Row],[USA]]-B73</f>
        <v/>
      </c>
      <c r="D74" s="55">
        <f>(Table134567891011121314151617343[[#This Row],[USA]]/100 +1)^4-1</f>
        <v/>
      </c>
    </row>
    <row r="75">
      <c r="A75" s="42" t="n">
        <v>24016</v>
      </c>
      <c r="B75" s="43">
        <f>VLOOKUP(A75,'Data qoq'!$B:$AT,MATCH($B$1,'Data qoq'!$B$1:$AT$1,0),FALSE)</f>
        <v/>
      </c>
      <c r="C75" s="43">
        <f>Table134567891011121314151617343[[#This Row],[USA]]-B74</f>
        <v/>
      </c>
      <c r="D75" s="55">
        <f>(Table134567891011121314151617343[[#This Row],[USA]]/100 +1)^4-1</f>
        <v/>
      </c>
    </row>
    <row r="76">
      <c r="A76" s="42" t="n">
        <v>24108</v>
      </c>
      <c r="B76" s="43">
        <f>VLOOKUP(A76,'Data qoq'!$B:$AT,MATCH($B$1,'Data qoq'!$B$1:$AT$1,0),FALSE)</f>
        <v/>
      </c>
      <c r="C76" s="43">
        <f>Table134567891011121314151617343[[#This Row],[USA]]-B75</f>
        <v/>
      </c>
      <c r="D76" s="55">
        <f>(Table134567891011121314151617343[[#This Row],[USA]]/100 +1)^4-1</f>
        <v/>
      </c>
    </row>
    <row r="77">
      <c r="A77" s="42" t="n">
        <v>24198</v>
      </c>
      <c r="B77" s="43">
        <f>VLOOKUP(A77,'Data qoq'!$B:$AT,MATCH($B$1,'Data qoq'!$B$1:$AT$1,0),FALSE)</f>
        <v/>
      </c>
      <c r="C77" s="43">
        <f>Table134567891011121314151617343[[#This Row],[USA]]-B76</f>
        <v/>
      </c>
      <c r="D77" s="55">
        <f>(Table134567891011121314151617343[[#This Row],[USA]]/100 +1)^4-1</f>
        <v/>
      </c>
    </row>
    <row r="78">
      <c r="A78" s="42" t="n">
        <v>24289</v>
      </c>
      <c r="B78" s="43">
        <f>VLOOKUP(A78,'Data qoq'!$B:$AT,MATCH($B$1,'Data qoq'!$B$1:$AT$1,0),FALSE)</f>
        <v/>
      </c>
      <c r="C78" s="43">
        <f>Table134567891011121314151617343[[#This Row],[USA]]-B77</f>
        <v/>
      </c>
      <c r="D78" s="55">
        <f>(Table134567891011121314151617343[[#This Row],[USA]]/100 +1)^4-1</f>
        <v/>
      </c>
    </row>
    <row r="79">
      <c r="A79" s="42" t="n">
        <v>24381</v>
      </c>
      <c r="B79" s="43">
        <f>VLOOKUP(A79,'Data qoq'!$B:$AT,MATCH($B$1,'Data qoq'!$B$1:$AT$1,0),FALSE)</f>
        <v/>
      </c>
      <c r="C79" s="43">
        <f>Table134567891011121314151617343[[#This Row],[USA]]-B78</f>
        <v/>
      </c>
      <c r="D79" s="55">
        <f>(Table134567891011121314151617343[[#This Row],[USA]]/100 +1)^4-1</f>
        <v/>
      </c>
    </row>
    <row r="80">
      <c r="A80" s="42" t="n">
        <v>24473</v>
      </c>
      <c r="B80" s="43">
        <f>VLOOKUP(A80,'Data qoq'!$B:$AT,MATCH($B$1,'Data qoq'!$B$1:$AT$1,0),FALSE)</f>
        <v/>
      </c>
      <c r="C80" s="43">
        <f>Table134567891011121314151617343[[#This Row],[USA]]-B79</f>
        <v/>
      </c>
      <c r="D80" s="55">
        <f>(Table134567891011121314151617343[[#This Row],[USA]]/100 +1)^4-1</f>
        <v/>
      </c>
    </row>
    <row r="81">
      <c r="A81" s="42" t="n">
        <v>24563</v>
      </c>
      <c r="B81" s="43">
        <f>VLOOKUP(A81,'Data qoq'!$B:$AT,MATCH($B$1,'Data qoq'!$B$1:$AT$1,0),FALSE)</f>
        <v/>
      </c>
      <c r="C81" s="43">
        <f>Table134567891011121314151617343[[#This Row],[USA]]-B80</f>
        <v/>
      </c>
      <c r="D81" s="55">
        <f>(Table134567891011121314151617343[[#This Row],[USA]]/100 +1)^4-1</f>
        <v/>
      </c>
    </row>
    <row r="82">
      <c r="A82" s="42" t="n">
        <v>24654</v>
      </c>
      <c r="B82" s="43">
        <f>VLOOKUP(A82,'Data qoq'!$B:$AT,MATCH($B$1,'Data qoq'!$B$1:$AT$1,0),FALSE)</f>
        <v/>
      </c>
      <c r="C82" s="43">
        <f>Table134567891011121314151617343[[#This Row],[USA]]-B81</f>
        <v/>
      </c>
      <c r="D82" s="55">
        <f>(Table134567891011121314151617343[[#This Row],[USA]]/100 +1)^4-1</f>
        <v/>
      </c>
    </row>
    <row r="83">
      <c r="A83" s="42" t="n">
        <v>24746</v>
      </c>
      <c r="B83" s="43">
        <f>VLOOKUP(A83,'Data qoq'!$B:$AT,MATCH($B$1,'Data qoq'!$B$1:$AT$1,0),FALSE)</f>
        <v/>
      </c>
      <c r="C83" s="43">
        <f>Table134567891011121314151617343[[#This Row],[USA]]-B82</f>
        <v/>
      </c>
      <c r="D83" s="55">
        <f>(Table134567891011121314151617343[[#This Row],[USA]]/100 +1)^4-1</f>
        <v/>
      </c>
    </row>
    <row r="84">
      <c r="A84" s="42" t="n">
        <v>24838</v>
      </c>
      <c r="B84" s="43">
        <f>VLOOKUP(A84,'Data qoq'!$B:$AT,MATCH($B$1,'Data qoq'!$B$1:$AT$1,0),FALSE)</f>
        <v/>
      </c>
      <c r="C84" s="43">
        <f>Table134567891011121314151617343[[#This Row],[USA]]-B83</f>
        <v/>
      </c>
      <c r="D84" s="55">
        <f>(Table134567891011121314151617343[[#This Row],[USA]]/100 +1)^4-1</f>
        <v/>
      </c>
    </row>
    <row r="85">
      <c r="A85" s="42" t="n">
        <v>24929</v>
      </c>
      <c r="B85" s="43">
        <f>VLOOKUP(A85,'Data qoq'!$B:$AT,MATCH($B$1,'Data qoq'!$B$1:$AT$1,0),FALSE)</f>
        <v/>
      </c>
      <c r="C85" s="43">
        <f>Table134567891011121314151617343[[#This Row],[USA]]-B84</f>
        <v/>
      </c>
      <c r="D85" s="55">
        <f>(Table134567891011121314151617343[[#This Row],[USA]]/100 +1)^4-1</f>
        <v/>
      </c>
    </row>
    <row r="86">
      <c r="A86" s="42" t="n">
        <v>25020</v>
      </c>
      <c r="B86" s="43">
        <f>VLOOKUP(A86,'Data qoq'!$B:$AT,MATCH($B$1,'Data qoq'!$B$1:$AT$1,0),FALSE)</f>
        <v/>
      </c>
      <c r="C86" s="43">
        <f>Table134567891011121314151617343[[#This Row],[USA]]-B85</f>
        <v/>
      </c>
      <c r="D86" s="55">
        <f>(Table134567891011121314151617343[[#This Row],[USA]]/100 +1)^4-1</f>
        <v/>
      </c>
    </row>
    <row r="87">
      <c r="A87" s="42" t="n">
        <v>25112</v>
      </c>
      <c r="B87" s="43">
        <f>VLOOKUP(A87,'Data qoq'!$B:$AT,MATCH($B$1,'Data qoq'!$B$1:$AT$1,0),FALSE)</f>
        <v/>
      </c>
      <c r="C87" s="43">
        <f>Table134567891011121314151617343[[#This Row],[USA]]-B86</f>
        <v/>
      </c>
      <c r="D87" s="55">
        <f>(Table134567891011121314151617343[[#This Row],[USA]]/100 +1)^4-1</f>
        <v/>
      </c>
    </row>
    <row r="88">
      <c r="A88" s="42" t="n">
        <v>25204</v>
      </c>
      <c r="B88" s="43">
        <f>VLOOKUP(A88,'Data qoq'!$B:$AT,MATCH($B$1,'Data qoq'!$B$1:$AT$1,0),FALSE)</f>
        <v/>
      </c>
      <c r="C88" s="43">
        <f>Table134567891011121314151617343[[#This Row],[USA]]-B87</f>
        <v/>
      </c>
      <c r="D88" s="55">
        <f>(Table134567891011121314151617343[[#This Row],[USA]]/100 +1)^4-1</f>
        <v/>
      </c>
    </row>
    <row r="89">
      <c r="A89" s="42" t="n">
        <v>25294</v>
      </c>
      <c r="B89" s="43">
        <f>VLOOKUP(A89,'Data qoq'!$B:$AT,MATCH($B$1,'Data qoq'!$B$1:$AT$1,0),FALSE)</f>
        <v/>
      </c>
      <c r="C89" s="43">
        <f>Table134567891011121314151617343[[#This Row],[USA]]-B88</f>
        <v/>
      </c>
      <c r="D89" s="55">
        <f>(Table134567891011121314151617343[[#This Row],[USA]]/100 +1)^4-1</f>
        <v/>
      </c>
    </row>
    <row r="90">
      <c r="A90" s="42" t="n">
        <v>25385</v>
      </c>
      <c r="B90" s="43">
        <f>VLOOKUP(A90,'Data qoq'!$B:$AT,MATCH($B$1,'Data qoq'!$B$1:$AT$1,0),FALSE)</f>
        <v/>
      </c>
      <c r="C90" s="43">
        <f>Table134567891011121314151617343[[#This Row],[USA]]-B89</f>
        <v/>
      </c>
      <c r="D90" s="55">
        <f>(Table134567891011121314151617343[[#This Row],[USA]]/100 +1)^4-1</f>
        <v/>
      </c>
    </row>
    <row r="91">
      <c r="A91" s="42" t="n">
        <v>25477</v>
      </c>
      <c r="B91" s="43">
        <f>VLOOKUP(A91,'Data qoq'!$B:$AT,MATCH($B$1,'Data qoq'!$B$1:$AT$1,0),FALSE)</f>
        <v/>
      </c>
      <c r="C91" s="43">
        <f>Table134567891011121314151617343[[#This Row],[USA]]-B90</f>
        <v/>
      </c>
      <c r="D91" s="55">
        <f>(Table134567891011121314151617343[[#This Row],[USA]]/100 +1)^4-1</f>
        <v/>
      </c>
    </row>
    <row r="92">
      <c r="A92" s="42" t="n">
        <v>25569</v>
      </c>
      <c r="B92" s="43">
        <f>VLOOKUP(A92,'Data qoq'!$B:$AT,MATCH($B$1,'Data qoq'!$B$1:$AT$1,0),FALSE)</f>
        <v/>
      </c>
      <c r="C92" s="43">
        <f>Table134567891011121314151617343[[#This Row],[USA]]-B91</f>
        <v/>
      </c>
      <c r="D92" s="55">
        <f>(Table134567891011121314151617343[[#This Row],[USA]]/100 +1)^4-1</f>
        <v/>
      </c>
    </row>
    <row r="93">
      <c r="A93" s="42" t="n">
        <v>25659</v>
      </c>
      <c r="B93" s="43">
        <f>VLOOKUP(A93,'Data qoq'!$B:$AT,MATCH($B$1,'Data qoq'!$B$1:$AT$1,0),FALSE)</f>
        <v/>
      </c>
      <c r="C93" s="43">
        <f>Table134567891011121314151617343[[#This Row],[USA]]-B92</f>
        <v/>
      </c>
      <c r="D93" s="55">
        <f>(Table134567891011121314151617343[[#This Row],[USA]]/100 +1)^4-1</f>
        <v/>
      </c>
    </row>
    <row r="94">
      <c r="A94" s="42" t="n">
        <v>25750</v>
      </c>
      <c r="B94" s="43">
        <f>VLOOKUP(A94,'Data qoq'!$B:$AT,MATCH($B$1,'Data qoq'!$B$1:$AT$1,0),FALSE)</f>
        <v/>
      </c>
      <c r="C94" s="43">
        <f>Table134567891011121314151617343[[#This Row],[USA]]-B93</f>
        <v/>
      </c>
      <c r="D94" s="55">
        <f>(Table134567891011121314151617343[[#This Row],[USA]]/100 +1)^4-1</f>
        <v/>
      </c>
    </row>
    <row r="95">
      <c r="A95" s="42" t="n">
        <v>25842</v>
      </c>
      <c r="B95" s="43">
        <f>VLOOKUP(A95,'Data qoq'!$B:$AT,MATCH($B$1,'Data qoq'!$B$1:$AT$1,0),FALSE)</f>
        <v/>
      </c>
      <c r="C95" s="43">
        <f>Table134567891011121314151617343[[#This Row],[USA]]-B94</f>
        <v/>
      </c>
      <c r="D95" s="55">
        <f>(Table134567891011121314151617343[[#This Row],[USA]]/100 +1)^4-1</f>
        <v/>
      </c>
    </row>
    <row r="96">
      <c r="A96" s="42" t="n">
        <v>25934</v>
      </c>
      <c r="B96" s="43">
        <f>VLOOKUP(A96,'Data qoq'!$B:$AT,MATCH($B$1,'Data qoq'!$B$1:$AT$1,0),FALSE)</f>
        <v/>
      </c>
      <c r="C96" s="43">
        <f>Table134567891011121314151617343[[#This Row],[USA]]-B95</f>
        <v/>
      </c>
      <c r="D96" s="55">
        <f>(Table134567891011121314151617343[[#This Row],[USA]]/100 +1)^4-1</f>
        <v/>
      </c>
    </row>
    <row r="97">
      <c r="A97" s="42" t="n">
        <v>26024</v>
      </c>
      <c r="B97" s="43">
        <f>VLOOKUP(A97,'Data qoq'!$B:$AT,MATCH($B$1,'Data qoq'!$B$1:$AT$1,0),FALSE)</f>
        <v/>
      </c>
      <c r="C97" s="43">
        <f>Table134567891011121314151617343[[#This Row],[USA]]-B96</f>
        <v/>
      </c>
      <c r="D97" s="55">
        <f>(Table134567891011121314151617343[[#This Row],[USA]]/100 +1)^4-1</f>
        <v/>
      </c>
    </row>
    <row r="98">
      <c r="A98" s="42" t="n">
        <v>26115</v>
      </c>
      <c r="B98" s="43">
        <f>VLOOKUP(A98,'Data qoq'!$B:$AT,MATCH($B$1,'Data qoq'!$B$1:$AT$1,0),FALSE)</f>
        <v/>
      </c>
      <c r="C98" s="43">
        <f>Table134567891011121314151617343[[#This Row],[USA]]-B97</f>
        <v/>
      </c>
      <c r="D98" s="55">
        <f>(Table134567891011121314151617343[[#This Row],[USA]]/100 +1)^4-1</f>
        <v/>
      </c>
    </row>
    <row r="99">
      <c r="A99" s="42" t="n">
        <v>26207</v>
      </c>
      <c r="B99" s="43">
        <f>VLOOKUP(A99,'Data qoq'!$B:$AT,MATCH($B$1,'Data qoq'!$B$1:$AT$1,0),FALSE)</f>
        <v/>
      </c>
      <c r="C99" s="43">
        <f>Table134567891011121314151617343[[#This Row],[USA]]-B98</f>
        <v/>
      </c>
      <c r="D99" s="55">
        <f>(Table134567891011121314151617343[[#This Row],[USA]]/100 +1)^4-1</f>
        <v/>
      </c>
    </row>
    <row r="100">
      <c r="A100" s="42" t="n">
        <v>26299</v>
      </c>
      <c r="B100" s="43">
        <f>VLOOKUP(A100,'Data qoq'!$B:$AT,MATCH($B$1,'Data qoq'!$B$1:$AT$1,0),FALSE)</f>
        <v/>
      </c>
      <c r="C100" s="43">
        <f>Table134567891011121314151617343[[#This Row],[USA]]-B99</f>
        <v/>
      </c>
      <c r="D100" s="55">
        <f>(Table134567891011121314151617343[[#This Row],[USA]]/100 +1)^4-1</f>
        <v/>
      </c>
    </row>
    <row r="101">
      <c r="A101" s="42" t="n">
        <v>26390</v>
      </c>
      <c r="B101" s="43">
        <f>VLOOKUP(A101,'Data qoq'!$B:$AT,MATCH($B$1,'Data qoq'!$B$1:$AT$1,0),FALSE)</f>
        <v/>
      </c>
      <c r="C101" s="43">
        <f>Table134567891011121314151617343[[#This Row],[USA]]-B100</f>
        <v/>
      </c>
      <c r="D101" s="55">
        <f>(Table134567891011121314151617343[[#This Row],[USA]]/100 +1)^4-1</f>
        <v/>
      </c>
    </row>
    <row r="102">
      <c r="A102" s="42" t="n">
        <v>26481</v>
      </c>
      <c r="B102" s="43">
        <f>VLOOKUP(A102,'Data qoq'!$B:$AT,MATCH($B$1,'Data qoq'!$B$1:$AT$1,0),FALSE)</f>
        <v/>
      </c>
      <c r="C102" s="43">
        <f>Table134567891011121314151617343[[#This Row],[USA]]-B101</f>
        <v/>
      </c>
      <c r="D102" s="55">
        <f>(Table134567891011121314151617343[[#This Row],[USA]]/100 +1)^4-1</f>
        <v/>
      </c>
    </row>
    <row r="103">
      <c r="A103" s="42" t="n">
        <v>26573</v>
      </c>
      <c r="B103" s="43">
        <f>VLOOKUP(A103,'Data qoq'!$B:$AT,MATCH($B$1,'Data qoq'!$B$1:$AT$1,0),FALSE)</f>
        <v/>
      </c>
      <c r="C103" s="43">
        <f>Table134567891011121314151617343[[#This Row],[USA]]-B102</f>
        <v/>
      </c>
      <c r="D103" s="55">
        <f>(Table134567891011121314151617343[[#This Row],[USA]]/100 +1)^4-1</f>
        <v/>
      </c>
    </row>
    <row r="104">
      <c r="A104" s="42" t="n">
        <v>26665</v>
      </c>
      <c r="B104" s="43">
        <f>VLOOKUP(A104,'Data qoq'!$B:$AT,MATCH($B$1,'Data qoq'!$B$1:$AT$1,0),FALSE)</f>
        <v/>
      </c>
      <c r="C104" s="43">
        <f>Table134567891011121314151617343[[#This Row],[USA]]-B103</f>
        <v/>
      </c>
      <c r="D104" s="55">
        <f>(Table134567891011121314151617343[[#This Row],[USA]]/100 +1)^4-1</f>
        <v/>
      </c>
    </row>
    <row r="105">
      <c r="A105" s="42" t="n">
        <v>26755</v>
      </c>
      <c r="B105" s="43">
        <f>VLOOKUP(A105,'Data qoq'!$B:$AT,MATCH($B$1,'Data qoq'!$B$1:$AT$1,0),FALSE)</f>
        <v/>
      </c>
      <c r="C105" s="43">
        <f>Table134567891011121314151617343[[#This Row],[USA]]-B104</f>
        <v/>
      </c>
      <c r="D105" s="55">
        <f>(Table134567891011121314151617343[[#This Row],[USA]]/100 +1)^4-1</f>
        <v/>
      </c>
    </row>
    <row r="106">
      <c r="A106" s="42" t="n">
        <v>26846</v>
      </c>
      <c r="B106" s="43">
        <f>VLOOKUP(A106,'Data qoq'!$B:$AT,MATCH($B$1,'Data qoq'!$B$1:$AT$1,0),FALSE)</f>
        <v/>
      </c>
      <c r="C106" s="43">
        <f>Table134567891011121314151617343[[#This Row],[USA]]-B105</f>
        <v/>
      </c>
      <c r="D106" s="55">
        <f>(Table134567891011121314151617343[[#This Row],[USA]]/100 +1)^4-1</f>
        <v/>
      </c>
    </row>
    <row r="107">
      <c r="A107" s="42" t="n">
        <v>26938</v>
      </c>
      <c r="B107" s="43">
        <f>VLOOKUP(A107,'Data qoq'!$B:$AT,MATCH($B$1,'Data qoq'!$B$1:$AT$1,0),FALSE)</f>
        <v/>
      </c>
      <c r="C107" s="43">
        <f>Table134567891011121314151617343[[#This Row],[USA]]-B106</f>
        <v/>
      </c>
      <c r="D107" s="55">
        <f>(Table134567891011121314151617343[[#This Row],[USA]]/100 +1)^4-1</f>
        <v/>
      </c>
    </row>
    <row r="108">
      <c r="A108" s="42" t="n">
        <v>27030</v>
      </c>
      <c r="B108" s="43">
        <f>VLOOKUP(A108,'Data qoq'!$B:$AT,MATCH($B$1,'Data qoq'!$B$1:$AT$1,0),FALSE)</f>
        <v/>
      </c>
      <c r="C108" s="43">
        <f>Table134567891011121314151617343[[#This Row],[USA]]-B107</f>
        <v/>
      </c>
      <c r="D108" s="55">
        <f>(Table134567891011121314151617343[[#This Row],[USA]]/100 +1)^4-1</f>
        <v/>
      </c>
    </row>
    <row r="109">
      <c r="A109" s="42" t="n">
        <v>27120</v>
      </c>
      <c r="B109" s="43">
        <f>VLOOKUP(A109,'Data qoq'!$B:$AT,MATCH($B$1,'Data qoq'!$B$1:$AT$1,0),FALSE)</f>
        <v/>
      </c>
      <c r="C109" s="43">
        <f>Table134567891011121314151617343[[#This Row],[USA]]-B108</f>
        <v/>
      </c>
      <c r="D109" s="55">
        <f>(Table134567891011121314151617343[[#This Row],[USA]]/100 +1)^4-1</f>
        <v/>
      </c>
    </row>
    <row r="110">
      <c r="A110" s="42" t="n">
        <v>27211</v>
      </c>
      <c r="B110" s="43">
        <f>VLOOKUP(A110,'Data qoq'!$B:$AT,MATCH($B$1,'Data qoq'!$B$1:$AT$1,0),FALSE)</f>
        <v/>
      </c>
      <c r="C110" s="43">
        <f>Table134567891011121314151617343[[#This Row],[USA]]-B109</f>
        <v/>
      </c>
      <c r="D110" s="55">
        <f>(Table134567891011121314151617343[[#This Row],[USA]]/100 +1)^4-1</f>
        <v/>
      </c>
    </row>
    <row r="111">
      <c r="A111" s="42" t="n">
        <v>27303</v>
      </c>
      <c r="B111" s="43">
        <f>VLOOKUP(A111,'Data qoq'!$B:$AT,MATCH($B$1,'Data qoq'!$B$1:$AT$1,0),FALSE)</f>
        <v/>
      </c>
      <c r="C111" s="43">
        <f>Table134567891011121314151617343[[#This Row],[USA]]-B110</f>
        <v/>
      </c>
      <c r="D111" s="55">
        <f>(Table134567891011121314151617343[[#This Row],[USA]]/100 +1)^4-1</f>
        <v/>
      </c>
    </row>
    <row r="112">
      <c r="A112" s="42" t="n">
        <v>27395</v>
      </c>
      <c r="B112" s="43">
        <f>VLOOKUP(A112,'Data qoq'!$B:$AT,MATCH($B$1,'Data qoq'!$B$1:$AT$1,0),FALSE)</f>
        <v/>
      </c>
      <c r="C112" s="43">
        <f>Table134567891011121314151617343[[#This Row],[USA]]-B111</f>
        <v/>
      </c>
      <c r="D112" s="55">
        <f>(Table134567891011121314151617343[[#This Row],[USA]]/100 +1)^4-1</f>
        <v/>
      </c>
    </row>
    <row r="113">
      <c r="A113" s="42" t="n">
        <v>27485</v>
      </c>
      <c r="B113" s="43">
        <f>VLOOKUP(A113,'Data qoq'!$B:$AT,MATCH($B$1,'Data qoq'!$B$1:$AT$1,0),FALSE)</f>
        <v/>
      </c>
      <c r="C113" s="43">
        <f>Table134567891011121314151617343[[#This Row],[USA]]-B112</f>
        <v/>
      </c>
      <c r="D113" s="55">
        <f>(Table134567891011121314151617343[[#This Row],[USA]]/100 +1)^4-1</f>
        <v/>
      </c>
    </row>
    <row r="114">
      <c r="A114" s="42" t="n">
        <v>27576</v>
      </c>
      <c r="B114" s="43">
        <f>VLOOKUP(A114,'Data qoq'!$B:$AT,MATCH($B$1,'Data qoq'!$B$1:$AT$1,0),FALSE)</f>
        <v/>
      </c>
      <c r="C114" s="43">
        <f>Table134567891011121314151617343[[#This Row],[USA]]-B113</f>
        <v/>
      </c>
      <c r="D114" s="55">
        <f>(Table134567891011121314151617343[[#This Row],[USA]]/100 +1)^4-1</f>
        <v/>
      </c>
    </row>
    <row r="115">
      <c r="A115" s="42" t="n">
        <v>27668</v>
      </c>
      <c r="B115" s="43">
        <f>VLOOKUP(A115,'Data qoq'!$B:$AT,MATCH($B$1,'Data qoq'!$B$1:$AT$1,0),FALSE)</f>
        <v/>
      </c>
      <c r="C115" s="43">
        <f>Table134567891011121314151617343[[#This Row],[USA]]-B114</f>
        <v/>
      </c>
      <c r="D115" s="55">
        <f>(Table134567891011121314151617343[[#This Row],[USA]]/100 +1)^4-1</f>
        <v/>
      </c>
    </row>
    <row r="116">
      <c r="A116" s="42" t="n">
        <v>27760</v>
      </c>
      <c r="B116" s="43">
        <f>VLOOKUP(A116,'Data qoq'!$B:$AT,MATCH($B$1,'Data qoq'!$B$1:$AT$1,0),FALSE)</f>
        <v/>
      </c>
      <c r="C116" s="43">
        <f>Table134567891011121314151617343[[#This Row],[USA]]-B115</f>
        <v/>
      </c>
      <c r="D116" s="55">
        <f>(Table134567891011121314151617343[[#This Row],[USA]]/100 +1)^4-1</f>
        <v/>
      </c>
    </row>
    <row r="117">
      <c r="A117" s="42" t="n">
        <v>27851</v>
      </c>
      <c r="B117" s="43">
        <f>VLOOKUP(A117,'Data qoq'!$B:$AT,MATCH($B$1,'Data qoq'!$B$1:$AT$1,0),FALSE)</f>
        <v/>
      </c>
      <c r="C117" s="43">
        <f>Table134567891011121314151617343[[#This Row],[USA]]-B116</f>
        <v/>
      </c>
      <c r="D117" s="55">
        <f>(Table134567891011121314151617343[[#This Row],[USA]]/100 +1)^4-1</f>
        <v/>
      </c>
    </row>
    <row r="118">
      <c r="A118" s="42" t="n">
        <v>27942</v>
      </c>
      <c r="B118" s="43">
        <f>VLOOKUP(A118,'Data qoq'!$B:$AT,MATCH($B$1,'Data qoq'!$B$1:$AT$1,0),FALSE)</f>
        <v/>
      </c>
      <c r="C118" s="43">
        <f>Table134567891011121314151617343[[#This Row],[USA]]-B117</f>
        <v/>
      </c>
      <c r="D118" s="55">
        <f>(Table134567891011121314151617343[[#This Row],[USA]]/100 +1)^4-1</f>
        <v/>
      </c>
    </row>
    <row r="119">
      <c r="A119" s="42" t="n">
        <v>28034</v>
      </c>
      <c r="B119" s="43">
        <f>VLOOKUP(A119,'Data qoq'!$B:$AT,MATCH($B$1,'Data qoq'!$B$1:$AT$1,0),FALSE)</f>
        <v/>
      </c>
      <c r="C119" s="43">
        <f>Table134567891011121314151617343[[#This Row],[USA]]-B118</f>
        <v/>
      </c>
      <c r="D119" s="55">
        <f>(Table134567891011121314151617343[[#This Row],[USA]]/100 +1)^4-1</f>
        <v/>
      </c>
    </row>
    <row r="120">
      <c r="A120" s="42" t="n">
        <v>28126</v>
      </c>
      <c r="B120" s="43">
        <f>VLOOKUP(A120,'Data qoq'!$B:$AT,MATCH($B$1,'Data qoq'!$B$1:$AT$1,0),FALSE)</f>
        <v/>
      </c>
      <c r="C120" s="43">
        <f>Table134567891011121314151617343[[#This Row],[USA]]-B119</f>
        <v/>
      </c>
      <c r="D120" s="55">
        <f>(Table134567891011121314151617343[[#This Row],[USA]]/100 +1)^4-1</f>
        <v/>
      </c>
    </row>
    <row r="121">
      <c r="A121" s="42" t="n">
        <v>28216</v>
      </c>
      <c r="B121" s="43">
        <f>VLOOKUP(A121,'Data qoq'!$B:$AT,MATCH($B$1,'Data qoq'!$B$1:$AT$1,0),FALSE)</f>
        <v/>
      </c>
      <c r="C121" s="43">
        <f>Table134567891011121314151617343[[#This Row],[USA]]-B120</f>
        <v/>
      </c>
      <c r="D121" s="55">
        <f>(Table134567891011121314151617343[[#This Row],[USA]]/100 +1)^4-1</f>
        <v/>
      </c>
    </row>
    <row r="122">
      <c r="A122" s="42" t="n">
        <v>28307</v>
      </c>
      <c r="B122" s="43">
        <f>VLOOKUP(A122,'Data qoq'!$B:$AT,MATCH($B$1,'Data qoq'!$B$1:$AT$1,0),FALSE)</f>
        <v/>
      </c>
      <c r="C122" s="43">
        <f>Table134567891011121314151617343[[#This Row],[USA]]-B121</f>
        <v/>
      </c>
      <c r="D122" s="55">
        <f>(Table134567891011121314151617343[[#This Row],[USA]]/100 +1)^4-1</f>
        <v/>
      </c>
    </row>
    <row r="123">
      <c r="A123" s="42" t="n">
        <v>28399</v>
      </c>
      <c r="B123" s="43">
        <f>VLOOKUP(A123,'Data qoq'!$B:$AT,MATCH($B$1,'Data qoq'!$B$1:$AT$1,0),FALSE)</f>
        <v/>
      </c>
      <c r="C123" s="43">
        <f>Table134567891011121314151617343[[#This Row],[USA]]-B122</f>
        <v/>
      </c>
      <c r="D123" s="55">
        <f>(Table134567891011121314151617343[[#This Row],[USA]]/100 +1)^4-1</f>
        <v/>
      </c>
    </row>
    <row r="124">
      <c r="A124" s="42" t="n">
        <v>28491</v>
      </c>
      <c r="B124" s="43">
        <f>VLOOKUP(A124,'Data qoq'!$B:$AT,MATCH($B$1,'Data qoq'!$B$1:$AT$1,0),FALSE)</f>
        <v/>
      </c>
      <c r="C124" s="43">
        <f>Table134567891011121314151617343[[#This Row],[USA]]-B123</f>
        <v/>
      </c>
      <c r="D124" s="55">
        <f>(Table134567891011121314151617343[[#This Row],[USA]]/100 +1)^4-1</f>
        <v/>
      </c>
    </row>
    <row r="125">
      <c r="A125" s="42" t="n">
        <v>28581</v>
      </c>
      <c r="B125" s="43">
        <f>VLOOKUP(A125,'Data qoq'!$B:$AT,MATCH($B$1,'Data qoq'!$B$1:$AT$1,0),FALSE)</f>
        <v/>
      </c>
      <c r="C125" s="43">
        <f>Table134567891011121314151617343[[#This Row],[USA]]-B124</f>
        <v/>
      </c>
      <c r="D125" s="55">
        <f>(Table134567891011121314151617343[[#This Row],[USA]]/100 +1)^4-1</f>
        <v/>
      </c>
    </row>
    <row r="126">
      <c r="A126" s="42" t="n">
        <v>28672</v>
      </c>
      <c r="B126" s="43">
        <f>VLOOKUP(A126,'Data qoq'!$B:$AT,MATCH($B$1,'Data qoq'!$B$1:$AT$1,0),FALSE)</f>
        <v/>
      </c>
      <c r="C126" s="43">
        <f>Table134567891011121314151617343[[#This Row],[USA]]-B125</f>
        <v/>
      </c>
      <c r="D126" s="55">
        <f>(Table134567891011121314151617343[[#This Row],[USA]]/100 +1)^4-1</f>
        <v/>
      </c>
    </row>
    <row r="127">
      <c r="A127" s="42" t="n">
        <v>28764</v>
      </c>
      <c r="B127" s="43">
        <f>VLOOKUP(A127,'Data qoq'!$B:$AT,MATCH($B$1,'Data qoq'!$B$1:$AT$1,0),FALSE)</f>
        <v/>
      </c>
      <c r="C127" s="43">
        <f>Table134567891011121314151617343[[#This Row],[USA]]-B126</f>
        <v/>
      </c>
      <c r="D127" s="55">
        <f>(Table134567891011121314151617343[[#This Row],[USA]]/100 +1)^4-1</f>
        <v/>
      </c>
    </row>
    <row r="128">
      <c r="A128" s="42" t="n">
        <v>28856</v>
      </c>
      <c r="B128" s="43">
        <f>VLOOKUP(A128,'Data qoq'!$B:$AT,MATCH($B$1,'Data qoq'!$B$1:$AT$1,0),FALSE)</f>
        <v/>
      </c>
      <c r="C128" s="43">
        <f>Table134567891011121314151617343[[#This Row],[USA]]-B127</f>
        <v/>
      </c>
      <c r="D128" s="55">
        <f>(Table134567891011121314151617343[[#This Row],[USA]]/100 +1)^4-1</f>
        <v/>
      </c>
    </row>
    <row r="129">
      <c r="A129" s="42" t="n">
        <v>28946</v>
      </c>
      <c r="B129" s="43">
        <f>VLOOKUP(A129,'Data qoq'!$B:$AT,MATCH($B$1,'Data qoq'!$B$1:$AT$1,0),FALSE)</f>
        <v/>
      </c>
      <c r="C129" s="43">
        <f>Table134567891011121314151617343[[#This Row],[USA]]-B128</f>
        <v/>
      </c>
      <c r="D129" s="55">
        <f>(Table134567891011121314151617343[[#This Row],[USA]]/100 +1)^4-1</f>
        <v/>
      </c>
    </row>
    <row r="130">
      <c r="A130" s="42" t="n">
        <v>29037</v>
      </c>
      <c r="B130" s="43">
        <f>VLOOKUP(A130,'Data qoq'!$B:$AT,MATCH($B$1,'Data qoq'!$B$1:$AT$1,0),FALSE)</f>
        <v/>
      </c>
      <c r="C130" s="43">
        <f>Table134567891011121314151617343[[#This Row],[USA]]-B129</f>
        <v/>
      </c>
      <c r="D130" s="55">
        <f>(Table134567891011121314151617343[[#This Row],[USA]]/100 +1)^4-1</f>
        <v/>
      </c>
    </row>
    <row r="131">
      <c r="A131" s="42" t="n">
        <v>29129</v>
      </c>
      <c r="B131" s="43">
        <f>VLOOKUP(A131,'Data qoq'!$B:$AT,MATCH($B$1,'Data qoq'!$B$1:$AT$1,0),FALSE)</f>
        <v/>
      </c>
      <c r="C131" s="43">
        <f>Table134567891011121314151617343[[#This Row],[USA]]-B130</f>
        <v/>
      </c>
      <c r="D131" s="55">
        <f>(Table134567891011121314151617343[[#This Row],[USA]]/100 +1)^4-1</f>
        <v/>
      </c>
    </row>
    <row r="132">
      <c r="A132" s="42" t="n">
        <v>29221</v>
      </c>
      <c r="B132" s="43">
        <f>VLOOKUP(A132,'Data qoq'!$B:$AT,MATCH($B$1,'Data qoq'!$B$1:$AT$1,0),FALSE)</f>
        <v/>
      </c>
      <c r="C132" s="43">
        <f>Table134567891011121314151617343[[#This Row],[USA]]-B131</f>
        <v/>
      </c>
      <c r="D132" s="55">
        <f>(Table134567891011121314151617343[[#This Row],[USA]]/100 +1)^4-1</f>
        <v/>
      </c>
    </row>
    <row r="133">
      <c r="A133" s="42" t="n">
        <v>29312</v>
      </c>
      <c r="B133" s="43">
        <f>VLOOKUP(A133,'Data qoq'!$B:$AT,MATCH($B$1,'Data qoq'!$B$1:$AT$1,0),FALSE)</f>
        <v/>
      </c>
      <c r="C133" s="43">
        <f>Table134567891011121314151617343[[#This Row],[USA]]-B132</f>
        <v/>
      </c>
      <c r="D133" s="55">
        <f>(Table134567891011121314151617343[[#This Row],[USA]]/100 +1)^4-1</f>
        <v/>
      </c>
    </row>
    <row r="134">
      <c r="A134" s="42" t="n">
        <v>29403</v>
      </c>
      <c r="B134" s="43">
        <f>VLOOKUP(A134,'Data qoq'!$B:$AT,MATCH($B$1,'Data qoq'!$B$1:$AT$1,0),FALSE)</f>
        <v/>
      </c>
      <c r="C134" s="43">
        <f>Table134567891011121314151617343[[#This Row],[USA]]-B133</f>
        <v/>
      </c>
      <c r="D134" s="55">
        <f>(Table134567891011121314151617343[[#This Row],[USA]]/100 +1)^4-1</f>
        <v/>
      </c>
    </row>
    <row r="135">
      <c r="A135" s="42" t="n">
        <v>29495</v>
      </c>
      <c r="B135" s="43">
        <f>VLOOKUP(A135,'Data qoq'!$B:$AT,MATCH($B$1,'Data qoq'!$B$1:$AT$1,0),FALSE)</f>
        <v/>
      </c>
      <c r="C135" s="43">
        <f>Table134567891011121314151617343[[#This Row],[USA]]-B134</f>
        <v/>
      </c>
      <c r="D135" s="55">
        <f>(Table134567891011121314151617343[[#This Row],[USA]]/100 +1)^4-1</f>
        <v/>
      </c>
    </row>
    <row r="136">
      <c r="A136" s="42" t="n">
        <v>29587</v>
      </c>
      <c r="B136" s="43">
        <f>VLOOKUP(A136,'Data qoq'!$B:$AT,MATCH($B$1,'Data qoq'!$B$1:$AT$1,0),FALSE)</f>
        <v/>
      </c>
      <c r="C136" s="43">
        <f>Table134567891011121314151617343[[#This Row],[USA]]-B135</f>
        <v/>
      </c>
      <c r="D136" s="55">
        <f>(Table134567891011121314151617343[[#This Row],[USA]]/100 +1)^4-1</f>
        <v/>
      </c>
    </row>
    <row r="137">
      <c r="A137" s="42" t="n">
        <v>29677</v>
      </c>
      <c r="B137" s="43">
        <f>VLOOKUP(A137,'Data qoq'!$B:$AT,MATCH($B$1,'Data qoq'!$B$1:$AT$1,0),FALSE)</f>
        <v/>
      </c>
      <c r="C137" s="43">
        <f>Table134567891011121314151617343[[#This Row],[USA]]-B136</f>
        <v/>
      </c>
      <c r="D137" s="55">
        <f>(Table134567891011121314151617343[[#This Row],[USA]]/100 +1)^4-1</f>
        <v/>
      </c>
    </row>
    <row r="138">
      <c r="A138" s="42" t="n">
        <v>29768</v>
      </c>
      <c r="B138" s="43">
        <f>VLOOKUP(A138,'Data qoq'!$B:$AT,MATCH($B$1,'Data qoq'!$B$1:$AT$1,0),FALSE)</f>
        <v/>
      </c>
      <c r="C138" s="43">
        <f>Table134567891011121314151617343[[#This Row],[USA]]-B137</f>
        <v/>
      </c>
      <c r="D138" s="55">
        <f>(Table134567891011121314151617343[[#This Row],[USA]]/100 +1)^4-1</f>
        <v/>
      </c>
    </row>
    <row r="139">
      <c r="A139" s="42" t="n">
        <v>29860</v>
      </c>
      <c r="B139" s="43">
        <f>VLOOKUP(A139,'Data qoq'!$B:$AT,MATCH($B$1,'Data qoq'!$B$1:$AT$1,0),FALSE)</f>
        <v/>
      </c>
      <c r="C139" s="43">
        <f>Table134567891011121314151617343[[#This Row],[USA]]-B138</f>
        <v/>
      </c>
      <c r="D139" s="55">
        <f>(Table134567891011121314151617343[[#This Row],[USA]]/100 +1)^4-1</f>
        <v/>
      </c>
    </row>
    <row r="140">
      <c r="A140" s="42" t="n">
        <v>29952</v>
      </c>
      <c r="B140" s="43">
        <f>VLOOKUP(A140,'Data qoq'!$B:$AT,MATCH($B$1,'Data qoq'!$B$1:$AT$1,0),FALSE)</f>
        <v/>
      </c>
      <c r="C140" s="43">
        <f>Table134567891011121314151617343[[#This Row],[USA]]-B139</f>
        <v/>
      </c>
      <c r="D140" s="55">
        <f>(Table134567891011121314151617343[[#This Row],[USA]]/100 +1)^4-1</f>
        <v/>
      </c>
    </row>
    <row r="141">
      <c r="A141" s="42" t="n">
        <v>30042</v>
      </c>
      <c r="B141" s="43">
        <f>VLOOKUP(A141,'Data qoq'!$B:$AT,MATCH($B$1,'Data qoq'!$B$1:$AT$1,0),FALSE)</f>
        <v/>
      </c>
      <c r="C141" s="43">
        <f>Table134567891011121314151617343[[#This Row],[USA]]-B140</f>
        <v/>
      </c>
      <c r="D141" s="55">
        <f>(Table134567891011121314151617343[[#This Row],[USA]]/100 +1)^4-1</f>
        <v/>
      </c>
    </row>
    <row r="142">
      <c r="A142" s="42" t="n">
        <v>30133</v>
      </c>
      <c r="B142" s="43">
        <f>VLOOKUP(A142,'Data qoq'!$B:$AT,MATCH($B$1,'Data qoq'!$B$1:$AT$1,0),FALSE)</f>
        <v/>
      </c>
      <c r="C142" s="43">
        <f>Table134567891011121314151617343[[#This Row],[USA]]-B141</f>
        <v/>
      </c>
      <c r="D142" s="55">
        <f>(Table134567891011121314151617343[[#This Row],[USA]]/100 +1)^4-1</f>
        <v/>
      </c>
    </row>
    <row r="143">
      <c r="A143" s="42" t="n">
        <v>30225</v>
      </c>
      <c r="B143" s="43">
        <f>VLOOKUP(A143,'Data qoq'!$B:$AT,MATCH($B$1,'Data qoq'!$B$1:$AT$1,0),FALSE)</f>
        <v/>
      </c>
      <c r="C143" s="43">
        <f>Table134567891011121314151617343[[#This Row],[USA]]-B142</f>
        <v/>
      </c>
      <c r="D143" s="55">
        <f>(Table134567891011121314151617343[[#This Row],[USA]]/100 +1)^4-1</f>
        <v/>
      </c>
    </row>
    <row r="144">
      <c r="A144" s="42" t="n">
        <v>30317</v>
      </c>
      <c r="B144" s="43">
        <f>VLOOKUP(A144,'Data qoq'!$B:$AT,MATCH($B$1,'Data qoq'!$B$1:$AT$1,0),FALSE)</f>
        <v/>
      </c>
      <c r="C144" s="43">
        <f>Table134567891011121314151617343[[#This Row],[USA]]-B143</f>
        <v/>
      </c>
      <c r="D144" s="55">
        <f>(Table134567891011121314151617343[[#This Row],[USA]]/100 +1)^4-1</f>
        <v/>
      </c>
    </row>
    <row r="145">
      <c r="A145" s="42" t="n">
        <v>30407</v>
      </c>
      <c r="B145" s="43">
        <f>VLOOKUP(A145,'Data qoq'!$B:$AT,MATCH($B$1,'Data qoq'!$B$1:$AT$1,0),FALSE)</f>
        <v/>
      </c>
      <c r="C145" s="43">
        <f>Table134567891011121314151617343[[#This Row],[USA]]-B144</f>
        <v/>
      </c>
      <c r="D145" s="55">
        <f>(Table134567891011121314151617343[[#This Row],[USA]]/100 +1)^4-1</f>
        <v/>
      </c>
    </row>
    <row r="146">
      <c r="A146" s="42" t="n">
        <v>30498</v>
      </c>
      <c r="B146" s="43">
        <f>VLOOKUP(A146,'Data qoq'!$B:$AT,MATCH($B$1,'Data qoq'!$B$1:$AT$1,0),FALSE)</f>
        <v/>
      </c>
      <c r="C146" s="43">
        <f>Table134567891011121314151617343[[#This Row],[USA]]-B145</f>
        <v/>
      </c>
      <c r="D146" s="55">
        <f>(Table134567891011121314151617343[[#This Row],[USA]]/100 +1)^4-1</f>
        <v/>
      </c>
    </row>
    <row r="147">
      <c r="A147" s="42" t="n">
        <v>30590</v>
      </c>
      <c r="B147" s="43">
        <f>VLOOKUP(A147,'Data qoq'!$B:$AT,MATCH($B$1,'Data qoq'!$B$1:$AT$1,0),FALSE)</f>
        <v/>
      </c>
      <c r="C147" s="43">
        <f>Table134567891011121314151617343[[#This Row],[USA]]-B146</f>
        <v/>
      </c>
      <c r="D147" s="55">
        <f>(Table134567891011121314151617343[[#This Row],[USA]]/100 +1)^4-1</f>
        <v/>
      </c>
    </row>
    <row r="148">
      <c r="A148" s="42" t="n">
        <v>30682</v>
      </c>
      <c r="B148" s="43">
        <f>VLOOKUP(A148,'Data qoq'!$B:$AT,MATCH($B$1,'Data qoq'!$B$1:$AT$1,0),FALSE)</f>
        <v/>
      </c>
      <c r="C148" s="43">
        <f>Table134567891011121314151617343[[#This Row],[USA]]-B147</f>
        <v/>
      </c>
      <c r="D148" s="55">
        <f>(Table134567891011121314151617343[[#This Row],[USA]]/100 +1)^4-1</f>
        <v/>
      </c>
    </row>
    <row r="149">
      <c r="A149" s="42" t="n">
        <v>30773</v>
      </c>
      <c r="B149" s="43">
        <f>VLOOKUP(A149,'Data qoq'!$B:$AT,MATCH($B$1,'Data qoq'!$B$1:$AT$1,0),FALSE)</f>
        <v/>
      </c>
      <c r="C149" s="43">
        <f>Table134567891011121314151617343[[#This Row],[USA]]-B148</f>
        <v/>
      </c>
      <c r="D149" s="55">
        <f>(Table134567891011121314151617343[[#This Row],[USA]]/100 +1)^4-1</f>
        <v/>
      </c>
    </row>
    <row r="150">
      <c r="A150" s="42" t="n">
        <v>30864</v>
      </c>
      <c r="B150" s="43">
        <f>VLOOKUP(A150,'Data qoq'!$B:$AT,MATCH($B$1,'Data qoq'!$B$1:$AT$1,0),FALSE)</f>
        <v/>
      </c>
      <c r="C150" s="43">
        <f>Table134567891011121314151617343[[#This Row],[USA]]-B149</f>
        <v/>
      </c>
      <c r="D150" s="55">
        <f>(Table134567891011121314151617343[[#This Row],[USA]]/100 +1)^4-1</f>
        <v/>
      </c>
    </row>
    <row r="151">
      <c r="A151" s="42" t="n">
        <v>30956</v>
      </c>
      <c r="B151" s="43">
        <f>VLOOKUP(A151,'Data qoq'!$B:$AT,MATCH($B$1,'Data qoq'!$B$1:$AT$1,0),FALSE)</f>
        <v/>
      </c>
      <c r="C151" s="43">
        <f>Table134567891011121314151617343[[#This Row],[USA]]-B150</f>
        <v/>
      </c>
      <c r="D151" s="55">
        <f>(Table134567891011121314151617343[[#This Row],[USA]]/100 +1)^4-1</f>
        <v/>
      </c>
    </row>
    <row r="152">
      <c r="A152" s="42" t="n">
        <v>31048</v>
      </c>
      <c r="B152" s="43">
        <f>VLOOKUP(A152,'Data qoq'!$B:$AT,MATCH($B$1,'Data qoq'!$B$1:$AT$1,0),FALSE)</f>
        <v/>
      </c>
      <c r="C152" s="43">
        <f>Table134567891011121314151617343[[#This Row],[USA]]-B151</f>
        <v/>
      </c>
      <c r="D152" s="55">
        <f>(Table134567891011121314151617343[[#This Row],[USA]]/100 +1)^4-1</f>
        <v/>
      </c>
    </row>
    <row r="153">
      <c r="A153" s="42" t="n">
        <v>31138</v>
      </c>
      <c r="B153" s="43">
        <f>VLOOKUP(A153,'Data qoq'!$B:$AT,MATCH($B$1,'Data qoq'!$B$1:$AT$1,0),FALSE)</f>
        <v/>
      </c>
      <c r="C153" s="43">
        <f>Table134567891011121314151617343[[#This Row],[USA]]-B152</f>
        <v/>
      </c>
      <c r="D153" s="55">
        <f>(Table134567891011121314151617343[[#This Row],[USA]]/100 +1)^4-1</f>
        <v/>
      </c>
    </row>
    <row r="154">
      <c r="A154" s="42" t="n">
        <v>31229</v>
      </c>
      <c r="B154" s="43">
        <f>VLOOKUP(A154,'Data qoq'!$B:$AT,MATCH($B$1,'Data qoq'!$B$1:$AT$1,0),FALSE)</f>
        <v/>
      </c>
      <c r="C154" s="43">
        <f>Table134567891011121314151617343[[#This Row],[USA]]-B153</f>
        <v/>
      </c>
      <c r="D154" s="55">
        <f>(Table134567891011121314151617343[[#This Row],[USA]]/100 +1)^4-1</f>
        <v/>
      </c>
    </row>
    <row r="155">
      <c r="A155" s="42" t="n">
        <v>31321</v>
      </c>
      <c r="B155" s="43">
        <f>VLOOKUP(A155,'Data qoq'!$B:$AT,MATCH($B$1,'Data qoq'!$B$1:$AT$1,0),FALSE)</f>
        <v/>
      </c>
      <c r="C155" s="43">
        <f>Table134567891011121314151617343[[#This Row],[USA]]-B154</f>
        <v/>
      </c>
      <c r="D155" s="55">
        <f>(Table134567891011121314151617343[[#This Row],[USA]]/100 +1)^4-1</f>
        <v/>
      </c>
    </row>
    <row r="156">
      <c r="A156" s="42" t="n">
        <v>31413</v>
      </c>
      <c r="B156" s="43">
        <f>VLOOKUP(A156,'Data qoq'!$B:$AT,MATCH($B$1,'Data qoq'!$B$1:$AT$1,0),FALSE)</f>
        <v/>
      </c>
      <c r="C156" s="43">
        <f>Table134567891011121314151617343[[#This Row],[USA]]-B155</f>
        <v/>
      </c>
      <c r="D156" s="55">
        <f>(Table134567891011121314151617343[[#This Row],[USA]]/100 +1)^4-1</f>
        <v/>
      </c>
    </row>
    <row r="157">
      <c r="A157" s="42" t="n">
        <v>31503</v>
      </c>
      <c r="B157" s="43">
        <f>VLOOKUP(A157,'Data qoq'!$B:$AT,MATCH($B$1,'Data qoq'!$B$1:$AT$1,0),FALSE)</f>
        <v/>
      </c>
      <c r="C157" s="43">
        <f>Table134567891011121314151617343[[#This Row],[USA]]-B156</f>
        <v/>
      </c>
      <c r="D157" s="55">
        <f>(Table134567891011121314151617343[[#This Row],[USA]]/100 +1)^4-1</f>
        <v/>
      </c>
    </row>
    <row r="158">
      <c r="A158" s="42" t="n">
        <v>31594</v>
      </c>
      <c r="B158" s="43">
        <f>VLOOKUP(A158,'Data qoq'!$B:$AT,MATCH($B$1,'Data qoq'!$B$1:$AT$1,0),FALSE)</f>
        <v/>
      </c>
      <c r="C158" s="43">
        <f>Table134567891011121314151617343[[#This Row],[USA]]-B157</f>
        <v/>
      </c>
      <c r="D158" s="55">
        <f>(Table134567891011121314151617343[[#This Row],[USA]]/100 +1)^4-1</f>
        <v/>
      </c>
    </row>
    <row r="159">
      <c r="A159" s="42" t="n">
        <v>31686</v>
      </c>
      <c r="B159" s="43">
        <f>VLOOKUP(A159,'Data qoq'!$B:$AT,MATCH($B$1,'Data qoq'!$B$1:$AT$1,0),FALSE)</f>
        <v/>
      </c>
      <c r="C159" s="43">
        <f>Table134567891011121314151617343[[#This Row],[USA]]-B158</f>
        <v/>
      </c>
      <c r="D159" s="55">
        <f>(Table134567891011121314151617343[[#This Row],[USA]]/100 +1)^4-1</f>
        <v/>
      </c>
    </row>
    <row r="160">
      <c r="A160" s="42" t="n">
        <v>31778</v>
      </c>
      <c r="B160" s="43">
        <f>VLOOKUP(A160,'Data qoq'!$B:$AT,MATCH($B$1,'Data qoq'!$B$1:$AT$1,0),FALSE)</f>
        <v/>
      </c>
      <c r="C160" s="43">
        <f>Table134567891011121314151617343[[#This Row],[USA]]-B159</f>
        <v/>
      </c>
      <c r="D160" s="55">
        <f>(Table134567891011121314151617343[[#This Row],[USA]]/100 +1)^4-1</f>
        <v/>
      </c>
    </row>
    <row r="161">
      <c r="A161" s="42" t="n">
        <v>31868</v>
      </c>
      <c r="B161" s="43">
        <f>VLOOKUP(A161,'Data qoq'!$B:$AT,MATCH($B$1,'Data qoq'!$B$1:$AT$1,0),FALSE)</f>
        <v/>
      </c>
      <c r="C161" s="43">
        <f>Table134567891011121314151617343[[#This Row],[USA]]-B160</f>
        <v/>
      </c>
      <c r="D161" s="55">
        <f>(Table134567891011121314151617343[[#This Row],[USA]]/100 +1)^4-1</f>
        <v/>
      </c>
    </row>
    <row r="162">
      <c r="A162" s="42" t="n">
        <v>31959</v>
      </c>
      <c r="B162" s="43">
        <f>VLOOKUP(A162,'Data qoq'!$B:$AT,MATCH($B$1,'Data qoq'!$B$1:$AT$1,0),FALSE)</f>
        <v/>
      </c>
      <c r="C162" s="43">
        <f>Table134567891011121314151617343[[#This Row],[USA]]-B161</f>
        <v/>
      </c>
      <c r="D162" s="55">
        <f>(Table134567891011121314151617343[[#This Row],[USA]]/100 +1)^4-1</f>
        <v/>
      </c>
    </row>
    <row r="163">
      <c r="A163" s="42" t="n">
        <v>32051</v>
      </c>
      <c r="B163" s="43">
        <f>VLOOKUP(A163,'Data qoq'!$B:$AT,MATCH($B$1,'Data qoq'!$B$1:$AT$1,0),FALSE)</f>
        <v/>
      </c>
      <c r="C163" s="43">
        <f>Table134567891011121314151617343[[#This Row],[USA]]-B162</f>
        <v/>
      </c>
      <c r="D163" s="55">
        <f>(Table134567891011121314151617343[[#This Row],[USA]]/100 +1)^4-1</f>
        <v/>
      </c>
    </row>
    <row r="164">
      <c r="A164" s="42" t="n">
        <v>32143</v>
      </c>
      <c r="B164" s="43">
        <f>VLOOKUP(A164,'Data qoq'!$B:$AT,MATCH($B$1,'Data qoq'!$B$1:$AT$1,0),FALSE)</f>
        <v/>
      </c>
      <c r="C164" s="43">
        <f>Table134567891011121314151617343[[#This Row],[USA]]-B163</f>
        <v/>
      </c>
      <c r="D164" s="55">
        <f>(Table134567891011121314151617343[[#This Row],[USA]]/100 +1)^4-1</f>
        <v/>
      </c>
    </row>
    <row r="165">
      <c r="A165" s="42" t="n">
        <v>32234</v>
      </c>
      <c r="B165" s="43">
        <f>VLOOKUP(A165,'Data qoq'!$B:$AT,MATCH($B$1,'Data qoq'!$B$1:$AT$1,0),FALSE)</f>
        <v/>
      </c>
      <c r="C165" s="43">
        <f>Table134567891011121314151617343[[#This Row],[USA]]-B164</f>
        <v/>
      </c>
      <c r="D165" s="55">
        <f>(Table134567891011121314151617343[[#This Row],[USA]]/100 +1)^4-1</f>
        <v/>
      </c>
    </row>
    <row r="166">
      <c r="A166" s="42" t="n">
        <v>32325</v>
      </c>
      <c r="B166" s="43">
        <f>VLOOKUP(A166,'Data qoq'!$B:$AT,MATCH($B$1,'Data qoq'!$B$1:$AT$1,0),FALSE)</f>
        <v/>
      </c>
      <c r="C166" s="43">
        <f>Table134567891011121314151617343[[#This Row],[USA]]-B165</f>
        <v/>
      </c>
      <c r="D166" s="55">
        <f>(Table134567891011121314151617343[[#This Row],[USA]]/100 +1)^4-1</f>
        <v/>
      </c>
    </row>
    <row r="167">
      <c r="A167" s="42" t="n">
        <v>32417</v>
      </c>
      <c r="B167" s="43">
        <f>VLOOKUP(A167,'Data qoq'!$B:$AT,MATCH($B$1,'Data qoq'!$B$1:$AT$1,0),FALSE)</f>
        <v/>
      </c>
      <c r="C167" s="43">
        <f>Table134567891011121314151617343[[#This Row],[USA]]-B166</f>
        <v/>
      </c>
      <c r="D167" s="55">
        <f>(Table134567891011121314151617343[[#This Row],[USA]]/100 +1)^4-1</f>
        <v/>
      </c>
    </row>
    <row r="168">
      <c r="A168" s="42" t="n">
        <v>32509</v>
      </c>
      <c r="B168" s="43">
        <f>VLOOKUP(A168,'Data qoq'!$B:$AT,MATCH($B$1,'Data qoq'!$B$1:$AT$1,0),FALSE)</f>
        <v/>
      </c>
      <c r="C168" s="43">
        <f>Table134567891011121314151617343[[#This Row],[USA]]-B167</f>
        <v/>
      </c>
      <c r="D168" s="55">
        <f>(Table134567891011121314151617343[[#This Row],[USA]]/100 +1)^4-1</f>
        <v/>
      </c>
    </row>
    <row r="169">
      <c r="A169" s="42" t="n">
        <v>32599</v>
      </c>
      <c r="B169" s="43">
        <f>VLOOKUP(A169,'Data qoq'!$B:$AT,MATCH($B$1,'Data qoq'!$B$1:$AT$1,0),FALSE)</f>
        <v/>
      </c>
      <c r="C169" s="43">
        <f>Table134567891011121314151617343[[#This Row],[USA]]-B168</f>
        <v/>
      </c>
      <c r="D169" s="55">
        <f>(Table134567891011121314151617343[[#This Row],[USA]]/100 +1)^4-1</f>
        <v/>
      </c>
    </row>
    <row r="170">
      <c r="A170" s="42" t="n">
        <v>32690</v>
      </c>
      <c r="B170" s="43">
        <f>VLOOKUP(A170,'Data qoq'!$B:$AT,MATCH($B$1,'Data qoq'!$B$1:$AT$1,0),FALSE)</f>
        <v/>
      </c>
      <c r="C170" s="43">
        <f>Table134567891011121314151617343[[#This Row],[USA]]-B169</f>
        <v/>
      </c>
      <c r="D170" s="55">
        <f>(Table134567891011121314151617343[[#This Row],[USA]]/100 +1)^4-1</f>
        <v/>
      </c>
    </row>
    <row r="171">
      <c r="A171" s="42" t="n">
        <v>32782</v>
      </c>
      <c r="B171" s="43">
        <f>VLOOKUP(A171,'Data qoq'!$B:$AT,MATCH($B$1,'Data qoq'!$B$1:$AT$1,0),FALSE)</f>
        <v/>
      </c>
      <c r="C171" s="43">
        <f>Table134567891011121314151617343[[#This Row],[USA]]-B170</f>
        <v/>
      </c>
      <c r="D171" s="55">
        <f>(Table134567891011121314151617343[[#This Row],[USA]]/100 +1)^4-1</f>
        <v/>
      </c>
    </row>
    <row r="172">
      <c r="A172" s="42" t="n">
        <v>32874</v>
      </c>
      <c r="B172" s="43">
        <f>VLOOKUP(A172,'Data qoq'!$B:$AT,MATCH($B$1,'Data qoq'!$B$1:$AT$1,0),FALSE)</f>
        <v/>
      </c>
      <c r="C172" s="43">
        <f>Table134567891011121314151617343[[#This Row],[USA]]-B171</f>
        <v/>
      </c>
      <c r="D172" s="55">
        <f>(Table134567891011121314151617343[[#This Row],[USA]]/100 +1)^4-1</f>
        <v/>
      </c>
    </row>
    <row r="173">
      <c r="A173" s="42" t="n">
        <v>32964</v>
      </c>
      <c r="B173" s="43">
        <f>VLOOKUP(A173,'Data qoq'!$B:$AT,MATCH($B$1,'Data qoq'!$B$1:$AT$1,0),FALSE)</f>
        <v/>
      </c>
      <c r="C173" s="43">
        <f>Table134567891011121314151617343[[#This Row],[USA]]-B172</f>
        <v/>
      </c>
      <c r="D173" s="55">
        <f>(Table134567891011121314151617343[[#This Row],[USA]]/100 +1)^4-1</f>
        <v/>
      </c>
    </row>
    <row r="174">
      <c r="A174" s="42" t="n">
        <v>33055</v>
      </c>
      <c r="B174" s="43">
        <f>VLOOKUP(A174,'Data qoq'!$B:$AT,MATCH($B$1,'Data qoq'!$B$1:$AT$1,0),FALSE)</f>
        <v/>
      </c>
      <c r="C174" s="43">
        <f>Table134567891011121314151617343[[#This Row],[USA]]-B173</f>
        <v/>
      </c>
      <c r="D174" s="55">
        <f>(Table134567891011121314151617343[[#This Row],[USA]]/100 +1)^4-1</f>
        <v/>
      </c>
    </row>
    <row r="175">
      <c r="A175" s="42" t="n">
        <v>33147</v>
      </c>
      <c r="B175" s="43">
        <f>VLOOKUP(A175,'Data qoq'!$B:$AT,MATCH($B$1,'Data qoq'!$B$1:$AT$1,0),FALSE)</f>
        <v/>
      </c>
      <c r="C175" s="43">
        <f>Table134567891011121314151617343[[#This Row],[USA]]-B174</f>
        <v/>
      </c>
      <c r="D175" s="55">
        <f>(Table134567891011121314151617343[[#This Row],[USA]]/100 +1)^4-1</f>
        <v/>
      </c>
    </row>
    <row r="176">
      <c r="A176" s="42" t="n">
        <v>33239</v>
      </c>
      <c r="B176" s="43">
        <f>VLOOKUP(A176,'Data qoq'!$B:$AT,MATCH($B$1,'Data qoq'!$B$1:$AT$1,0),FALSE)</f>
        <v/>
      </c>
      <c r="C176" s="43">
        <f>Table134567891011121314151617343[[#This Row],[USA]]-B175</f>
        <v/>
      </c>
      <c r="D176" s="55">
        <f>(Table134567891011121314151617343[[#This Row],[USA]]/100 +1)^4-1</f>
        <v/>
      </c>
    </row>
    <row r="177">
      <c r="A177" s="42" t="n">
        <v>33329</v>
      </c>
      <c r="B177" s="43">
        <f>VLOOKUP(A177,'Data qoq'!$B:$AT,MATCH($B$1,'Data qoq'!$B$1:$AT$1,0),FALSE)</f>
        <v/>
      </c>
      <c r="C177" s="43">
        <f>Table134567891011121314151617343[[#This Row],[USA]]-B176</f>
        <v/>
      </c>
      <c r="D177" s="55">
        <f>(Table134567891011121314151617343[[#This Row],[USA]]/100 +1)^4-1</f>
        <v/>
      </c>
    </row>
    <row r="178">
      <c r="A178" s="42" t="n">
        <v>33420</v>
      </c>
      <c r="B178" s="43">
        <f>VLOOKUP(A178,'Data qoq'!$B:$AT,MATCH($B$1,'Data qoq'!$B$1:$AT$1,0),FALSE)</f>
        <v/>
      </c>
      <c r="C178" s="43">
        <f>Table134567891011121314151617343[[#This Row],[USA]]-B177</f>
        <v/>
      </c>
      <c r="D178" s="55">
        <f>(Table134567891011121314151617343[[#This Row],[USA]]/100 +1)^4-1</f>
        <v/>
      </c>
    </row>
    <row r="179">
      <c r="A179" s="42" t="n">
        <v>33512</v>
      </c>
      <c r="B179" s="43">
        <f>VLOOKUP(A179,'Data qoq'!$B:$AT,MATCH($B$1,'Data qoq'!$B$1:$AT$1,0),FALSE)</f>
        <v/>
      </c>
      <c r="C179" s="43">
        <f>Table134567891011121314151617343[[#This Row],[USA]]-B178</f>
        <v/>
      </c>
      <c r="D179" s="55">
        <f>(Table134567891011121314151617343[[#This Row],[USA]]/100 +1)^4-1</f>
        <v/>
      </c>
    </row>
    <row r="180">
      <c r="A180" s="42" t="n">
        <v>33604</v>
      </c>
      <c r="B180" s="43">
        <f>VLOOKUP(A180,'Data qoq'!$B:$AT,MATCH($B$1,'Data qoq'!$B$1:$AT$1,0),FALSE)</f>
        <v/>
      </c>
      <c r="C180" s="43">
        <f>Table134567891011121314151617343[[#This Row],[USA]]-B179</f>
        <v/>
      </c>
      <c r="D180" s="55">
        <f>(Table134567891011121314151617343[[#This Row],[USA]]/100 +1)^4-1</f>
        <v/>
      </c>
    </row>
    <row r="181">
      <c r="A181" s="42" t="n">
        <v>33695</v>
      </c>
      <c r="B181" s="43">
        <f>VLOOKUP(A181,'Data qoq'!$B:$AT,MATCH($B$1,'Data qoq'!$B$1:$AT$1,0),FALSE)</f>
        <v/>
      </c>
      <c r="C181" s="43">
        <f>Table134567891011121314151617343[[#This Row],[USA]]-B180</f>
        <v/>
      </c>
      <c r="D181" s="55">
        <f>(Table134567891011121314151617343[[#This Row],[USA]]/100 +1)^4-1</f>
        <v/>
      </c>
    </row>
    <row r="182">
      <c r="A182" s="42" t="n">
        <v>33786</v>
      </c>
      <c r="B182" s="43">
        <f>VLOOKUP(A182,'Data qoq'!$B:$AT,MATCH($B$1,'Data qoq'!$B$1:$AT$1,0),FALSE)</f>
        <v/>
      </c>
      <c r="C182" s="43">
        <f>Table134567891011121314151617343[[#This Row],[USA]]-B181</f>
        <v/>
      </c>
      <c r="D182" s="55">
        <f>(Table134567891011121314151617343[[#This Row],[USA]]/100 +1)^4-1</f>
        <v/>
      </c>
    </row>
    <row r="183">
      <c r="A183" s="42" t="n">
        <v>33878</v>
      </c>
      <c r="B183" s="43">
        <f>VLOOKUP(A183,'Data qoq'!$B:$AT,MATCH($B$1,'Data qoq'!$B$1:$AT$1,0),FALSE)</f>
        <v/>
      </c>
      <c r="C183" s="43">
        <f>Table134567891011121314151617343[[#This Row],[USA]]-B182</f>
        <v/>
      </c>
      <c r="D183" s="55">
        <f>(Table134567891011121314151617343[[#This Row],[USA]]/100 +1)^4-1</f>
        <v/>
      </c>
    </row>
    <row r="184">
      <c r="A184" s="42" t="n">
        <v>33970</v>
      </c>
      <c r="B184" s="43">
        <f>VLOOKUP(A184,'Data qoq'!$B:$AT,MATCH($B$1,'Data qoq'!$B$1:$AT$1,0),FALSE)</f>
        <v/>
      </c>
      <c r="C184" s="43">
        <f>Table134567891011121314151617343[[#This Row],[USA]]-B183</f>
        <v/>
      </c>
      <c r="D184" s="55">
        <f>(Table134567891011121314151617343[[#This Row],[USA]]/100 +1)^4-1</f>
        <v/>
      </c>
    </row>
    <row r="185">
      <c r="A185" s="42" t="n">
        <v>34060</v>
      </c>
      <c r="B185" s="43">
        <f>VLOOKUP(A185,'Data qoq'!$B:$AT,MATCH($B$1,'Data qoq'!$B$1:$AT$1,0),FALSE)</f>
        <v/>
      </c>
      <c r="C185" s="43">
        <f>Table134567891011121314151617343[[#This Row],[USA]]-B184</f>
        <v/>
      </c>
      <c r="D185" s="55">
        <f>(Table134567891011121314151617343[[#This Row],[USA]]/100 +1)^4-1</f>
        <v/>
      </c>
    </row>
    <row r="186">
      <c r="A186" s="42" t="n">
        <v>34151</v>
      </c>
      <c r="B186" s="43">
        <f>VLOOKUP(A186,'Data qoq'!$B:$AT,MATCH($B$1,'Data qoq'!$B$1:$AT$1,0),FALSE)</f>
        <v/>
      </c>
      <c r="C186" s="43">
        <f>Table134567891011121314151617343[[#This Row],[USA]]-B185</f>
        <v/>
      </c>
      <c r="D186" s="55">
        <f>(Table134567891011121314151617343[[#This Row],[USA]]/100 +1)^4-1</f>
        <v/>
      </c>
    </row>
    <row r="187">
      <c r="A187" s="42" t="n">
        <v>34243</v>
      </c>
      <c r="B187" s="43">
        <f>VLOOKUP(A187,'Data qoq'!$B:$AT,MATCH($B$1,'Data qoq'!$B$1:$AT$1,0),FALSE)</f>
        <v/>
      </c>
      <c r="C187" s="43">
        <f>Table134567891011121314151617343[[#This Row],[USA]]-B186</f>
        <v/>
      </c>
      <c r="D187" s="55">
        <f>(Table134567891011121314151617343[[#This Row],[USA]]/100 +1)^4-1</f>
        <v/>
      </c>
    </row>
    <row r="188">
      <c r="A188" s="42" t="n">
        <v>34335</v>
      </c>
      <c r="B188" s="43">
        <f>VLOOKUP(A188,'Data qoq'!$B:$AT,MATCH($B$1,'Data qoq'!$B$1:$AT$1,0),FALSE)</f>
        <v/>
      </c>
      <c r="C188" s="43">
        <f>Table134567891011121314151617343[[#This Row],[USA]]-B187</f>
        <v/>
      </c>
      <c r="D188" s="55">
        <f>(Table134567891011121314151617343[[#This Row],[USA]]/100 +1)^4-1</f>
        <v/>
      </c>
    </row>
    <row r="189">
      <c r="A189" s="42" t="n">
        <v>34425</v>
      </c>
      <c r="B189" s="43">
        <f>VLOOKUP(A189,'Data qoq'!$B:$AT,MATCH($B$1,'Data qoq'!$B$1:$AT$1,0),FALSE)</f>
        <v/>
      </c>
      <c r="C189" s="43">
        <f>Table134567891011121314151617343[[#This Row],[USA]]-B188</f>
        <v/>
      </c>
      <c r="D189" s="55">
        <f>(Table134567891011121314151617343[[#This Row],[USA]]/100 +1)^4-1</f>
        <v/>
      </c>
    </row>
    <row r="190">
      <c r="A190" s="42" t="n">
        <v>34516</v>
      </c>
      <c r="B190" s="43">
        <f>VLOOKUP(A190,'Data qoq'!$B:$AT,MATCH($B$1,'Data qoq'!$B$1:$AT$1,0),FALSE)</f>
        <v/>
      </c>
      <c r="C190" s="43">
        <f>Table134567891011121314151617343[[#This Row],[USA]]-B189</f>
        <v/>
      </c>
      <c r="D190" s="55">
        <f>(Table134567891011121314151617343[[#This Row],[USA]]/100 +1)^4-1</f>
        <v/>
      </c>
    </row>
    <row r="191">
      <c r="A191" s="42" t="n">
        <v>34608</v>
      </c>
      <c r="B191" s="43">
        <f>VLOOKUP(A191,'Data qoq'!$B:$AT,MATCH($B$1,'Data qoq'!$B$1:$AT$1,0),FALSE)</f>
        <v/>
      </c>
      <c r="C191" s="43">
        <f>Table134567891011121314151617343[[#This Row],[USA]]-B190</f>
        <v/>
      </c>
      <c r="D191" s="55">
        <f>(Table134567891011121314151617343[[#This Row],[USA]]/100 +1)^4-1</f>
        <v/>
      </c>
    </row>
    <row r="192">
      <c r="A192" s="42" t="n">
        <v>34700</v>
      </c>
      <c r="B192" s="43">
        <f>VLOOKUP(A192,'Data qoq'!$B:$AT,MATCH($B$1,'Data qoq'!$B$1:$AT$1,0),FALSE)</f>
        <v/>
      </c>
      <c r="C192" s="43">
        <f>Table134567891011121314151617343[[#This Row],[USA]]-B191</f>
        <v/>
      </c>
      <c r="D192" s="55">
        <f>(Table134567891011121314151617343[[#This Row],[USA]]/100 +1)^4-1</f>
        <v/>
      </c>
    </row>
    <row r="193">
      <c r="A193" s="42" t="n">
        <v>34790</v>
      </c>
      <c r="B193" s="43">
        <f>VLOOKUP(A193,'Data qoq'!$B:$AT,MATCH($B$1,'Data qoq'!$B$1:$AT$1,0),FALSE)</f>
        <v/>
      </c>
      <c r="C193" s="43">
        <f>Table134567891011121314151617343[[#This Row],[USA]]-B192</f>
        <v/>
      </c>
      <c r="D193" s="55">
        <f>(Table134567891011121314151617343[[#This Row],[USA]]/100 +1)^4-1</f>
        <v/>
      </c>
    </row>
    <row r="194">
      <c r="A194" s="42" t="n">
        <v>34881</v>
      </c>
      <c r="B194" s="43">
        <f>VLOOKUP(A194,'Data qoq'!$B:$AT,MATCH($B$1,'Data qoq'!$B$1:$AT$1,0),FALSE)</f>
        <v/>
      </c>
      <c r="C194" s="43">
        <f>Table134567891011121314151617343[[#This Row],[USA]]-B193</f>
        <v/>
      </c>
      <c r="D194" s="55">
        <f>(Table134567891011121314151617343[[#This Row],[USA]]/100 +1)^4-1</f>
        <v/>
      </c>
    </row>
    <row r="195">
      <c r="A195" s="42" t="n">
        <v>34973</v>
      </c>
      <c r="B195" s="43">
        <f>VLOOKUP(A195,'Data qoq'!$B:$AT,MATCH($B$1,'Data qoq'!$B$1:$AT$1,0),FALSE)</f>
        <v/>
      </c>
      <c r="C195" s="43">
        <f>Table134567891011121314151617343[[#This Row],[USA]]-B194</f>
        <v/>
      </c>
      <c r="D195" s="55">
        <f>(Table134567891011121314151617343[[#This Row],[USA]]/100 +1)^4-1</f>
        <v/>
      </c>
    </row>
    <row r="196">
      <c r="A196" s="42" t="n">
        <v>35065</v>
      </c>
      <c r="B196" s="43">
        <f>VLOOKUP(A196,'Data qoq'!$B:$AT,MATCH($B$1,'Data qoq'!$B$1:$AT$1,0),FALSE)</f>
        <v/>
      </c>
      <c r="C196" s="43">
        <f>Table134567891011121314151617343[[#This Row],[USA]]-B195</f>
        <v/>
      </c>
      <c r="D196" s="55">
        <f>(Table134567891011121314151617343[[#This Row],[USA]]/100 +1)^4-1</f>
        <v/>
      </c>
    </row>
    <row r="197">
      <c r="A197" s="42" t="n">
        <v>35156</v>
      </c>
      <c r="B197" s="43">
        <f>VLOOKUP(A197,'Data qoq'!$B:$AT,MATCH($B$1,'Data qoq'!$B$1:$AT$1,0),FALSE)</f>
        <v/>
      </c>
      <c r="C197" s="43">
        <f>Table134567891011121314151617343[[#This Row],[USA]]-B196</f>
        <v/>
      </c>
      <c r="D197" s="55">
        <f>(Table134567891011121314151617343[[#This Row],[USA]]/100 +1)^4-1</f>
        <v/>
      </c>
    </row>
    <row r="198">
      <c r="A198" s="42" t="n">
        <v>35247</v>
      </c>
      <c r="B198" s="43">
        <f>VLOOKUP(A198,'Data qoq'!$B:$AT,MATCH($B$1,'Data qoq'!$B$1:$AT$1,0),FALSE)</f>
        <v/>
      </c>
      <c r="C198" s="43">
        <f>Table134567891011121314151617343[[#This Row],[USA]]-B197</f>
        <v/>
      </c>
      <c r="D198" s="55">
        <f>(Table134567891011121314151617343[[#This Row],[USA]]/100 +1)^4-1</f>
        <v/>
      </c>
    </row>
    <row r="199">
      <c r="A199" s="42" t="n">
        <v>35339</v>
      </c>
      <c r="B199" s="43">
        <f>VLOOKUP(A199,'Data qoq'!$B:$AT,MATCH($B$1,'Data qoq'!$B$1:$AT$1,0),FALSE)</f>
        <v/>
      </c>
      <c r="C199" s="43">
        <f>Table134567891011121314151617343[[#This Row],[USA]]-B198</f>
        <v/>
      </c>
      <c r="D199" s="55">
        <f>(Table134567891011121314151617343[[#This Row],[USA]]/100 +1)^4-1</f>
        <v/>
      </c>
    </row>
    <row r="200">
      <c r="A200" s="42" t="n">
        <v>35431</v>
      </c>
      <c r="B200" s="43">
        <f>VLOOKUP(A200,'Data qoq'!$B:$AT,MATCH($B$1,'Data qoq'!$B$1:$AT$1,0),FALSE)</f>
        <v/>
      </c>
      <c r="C200" s="43">
        <f>Table134567891011121314151617343[[#This Row],[USA]]-B199</f>
        <v/>
      </c>
      <c r="D200" s="55">
        <f>(Table134567891011121314151617343[[#This Row],[USA]]/100 +1)^4-1</f>
        <v/>
      </c>
    </row>
    <row r="201">
      <c r="A201" s="42" t="n">
        <v>35521</v>
      </c>
      <c r="B201" s="43">
        <f>VLOOKUP(A201,'Data qoq'!$B:$AT,MATCH($B$1,'Data qoq'!$B$1:$AT$1,0),FALSE)</f>
        <v/>
      </c>
      <c r="C201" s="43">
        <f>Table134567891011121314151617343[[#This Row],[USA]]-B200</f>
        <v/>
      </c>
      <c r="D201" s="55">
        <f>(Table134567891011121314151617343[[#This Row],[USA]]/100 +1)^4-1</f>
        <v/>
      </c>
    </row>
    <row r="202">
      <c r="A202" s="42" t="n">
        <v>35612</v>
      </c>
      <c r="B202" s="43">
        <f>VLOOKUP(A202,'Data qoq'!$B:$AT,MATCH($B$1,'Data qoq'!$B$1:$AT$1,0),FALSE)</f>
        <v/>
      </c>
      <c r="C202" s="43">
        <f>Table134567891011121314151617343[[#This Row],[USA]]-B201</f>
        <v/>
      </c>
      <c r="D202" s="55">
        <f>(Table134567891011121314151617343[[#This Row],[USA]]/100 +1)^4-1</f>
        <v/>
      </c>
    </row>
    <row r="203">
      <c r="A203" s="42" t="n">
        <v>35704</v>
      </c>
      <c r="B203" s="43">
        <f>VLOOKUP(A203,'Data qoq'!$B:$AT,MATCH($B$1,'Data qoq'!$B$1:$AT$1,0),FALSE)</f>
        <v/>
      </c>
      <c r="C203" s="43">
        <f>Table134567891011121314151617343[[#This Row],[USA]]-B202</f>
        <v/>
      </c>
      <c r="D203" s="55">
        <f>(Table134567891011121314151617343[[#This Row],[USA]]/100 +1)^4-1</f>
        <v/>
      </c>
    </row>
    <row r="204">
      <c r="A204" s="42" t="n">
        <v>35796</v>
      </c>
      <c r="B204" s="43">
        <f>VLOOKUP(A204,'Data qoq'!$B:$AT,MATCH($B$1,'Data qoq'!$B$1:$AT$1,0),FALSE)</f>
        <v/>
      </c>
      <c r="C204" s="43">
        <f>Table134567891011121314151617343[[#This Row],[USA]]-B203</f>
        <v/>
      </c>
      <c r="D204" s="55">
        <f>(Table134567891011121314151617343[[#This Row],[USA]]/100 +1)^4-1</f>
        <v/>
      </c>
    </row>
    <row r="205">
      <c r="A205" s="42" t="n">
        <v>35886</v>
      </c>
      <c r="B205" s="43">
        <f>VLOOKUP(A205,'Data qoq'!$B:$AT,MATCH($B$1,'Data qoq'!$B$1:$AT$1,0),FALSE)</f>
        <v/>
      </c>
      <c r="C205" s="43">
        <f>Table134567891011121314151617343[[#This Row],[USA]]-B204</f>
        <v/>
      </c>
      <c r="D205" s="55">
        <f>(Table134567891011121314151617343[[#This Row],[USA]]/100 +1)^4-1</f>
        <v/>
      </c>
    </row>
    <row r="206">
      <c r="A206" s="42" t="n">
        <v>35977</v>
      </c>
      <c r="B206" s="43">
        <f>VLOOKUP(A206,'Data qoq'!$B:$AT,MATCH($B$1,'Data qoq'!$B$1:$AT$1,0),FALSE)</f>
        <v/>
      </c>
      <c r="C206" s="43">
        <f>Table134567891011121314151617343[[#This Row],[USA]]-B205</f>
        <v/>
      </c>
      <c r="D206" s="55">
        <f>(Table134567891011121314151617343[[#This Row],[USA]]/100 +1)^4-1</f>
        <v/>
      </c>
    </row>
    <row r="207">
      <c r="A207" s="42" t="n">
        <v>36069</v>
      </c>
      <c r="B207" s="43">
        <f>VLOOKUP(A207,'Data qoq'!$B:$AT,MATCH($B$1,'Data qoq'!$B$1:$AT$1,0),FALSE)</f>
        <v/>
      </c>
      <c r="C207" s="43">
        <f>Table134567891011121314151617343[[#This Row],[USA]]-B206</f>
        <v/>
      </c>
      <c r="D207" s="55">
        <f>(Table134567891011121314151617343[[#This Row],[USA]]/100 +1)^4-1</f>
        <v/>
      </c>
    </row>
    <row r="208">
      <c r="A208" s="42" t="n">
        <v>36161</v>
      </c>
      <c r="B208" s="43">
        <f>VLOOKUP(A208,'Data qoq'!$B:$AT,MATCH($B$1,'Data qoq'!$B$1:$AT$1,0),FALSE)</f>
        <v/>
      </c>
      <c r="C208" s="43">
        <f>Table134567891011121314151617343[[#This Row],[USA]]-B207</f>
        <v/>
      </c>
      <c r="D208" s="55">
        <f>(Table134567891011121314151617343[[#This Row],[USA]]/100 +1)^4-1</f>
        <v/>
      </c>
    </row>
    <row r="209">
      <c r="A209" s="42" t="n">
        <v>36251</v>
      </c>
      <c r="B209" s="43">
        <f>VLOOKUP(A209,'Data qoq'!$B:$AT,MATCH($B$1,'Data qoq'!$B$1:$AT$1,0),FALSE)</f>
        <v/>
      </c>
      <c r="C209" s="43">
        <f>Table134567891011121314151617343[[#This Row],[USA]]-B208</f>
        <v/>
      </c>
      <c r="D209" s="55">
        <f>(Table134567891011121314151617343[[#This Row],[USA]]/100 +1)^4-1</f>
        <v/>
      </c>
    </row>
    <row r="210">
      <c r="A210" s="42" t="n">
        <v>36342</v>
      </c>
      <c r="B210" s="43">
        <f>VLOOKUP(A210,'Data qoq'!$B:$AT,MATCH($B$1,'Data qoq'!$B$1:$AT$1,0),FALSE)</f>
        <v/>
      </c>
      <c r="C210" s="43">
        <f>Table134567891011121314151617343[[#This Row],[USA]]-B209</f>
        <v/>
      </c>
      <c r="D210" s="55">
        <f>(Table134567891011121314151617343[[#This Row],[USA]]/100 +1)^4-1</f>
        <v/>
      </c>
    </row>
    <row r="211">
      <c r="A211" s="42" t="n">
        <v>36434</v>
      </c>
      <c r="B211" s="43">
        <f>VLOOKUP(A211,'Data qoq'!$B:$AT,MATCH($B$1,'Data qoq'!$B$1:$AT$1,0),FALSE)</f>
        <v/>
      </c>
      <c r="C211" s="43">
        <f>Table134567891011121314151617343[[#This Row],[USA]]-B210</f>
        <v/>
      </c>
      <c r="D211" s="55">
        <f>(Table134567891011121314151617343[[#This Row],[USA]]/100 +1)^4-1</f>
        <v/>
      </c>
    </row>
    <row r="212">
      <c r="A212" s="42" t="n">
        <v>36526</v>
      </c>
      <c r="B212" s="43">
        <f>VLOOKUP(A212,'Data qoq'!$B:$AT,MATCH($B$1,'Data qoq'!$B$1:$AT$1,0),FALSE)</f>
        <v/>
      </c>
      <c r="C212" s="43">
        <f>Table134567891011121314151617343[[#This Row],[USA]]-B211</f>
        <v/>
      </c>
      <c r="D212" s="55">
        <f>(Table134567891011121314151617343[[#This Row],[USA]]/100 +1)^4-1</f>
        <v/>
      </c>
    </row>
    <row r="213">
      <c r="A213" s="42" t="n">
        <v>36617</v>
      </c>
      <c r="B213" s="43">
        <f>VLOOKUP(A213,'Data qoq'!$B:$AT,MATCH($B$1,'Data qoq'!$B$1:$AT$1,0),FALSE)</f>
        <v/>
      </c>
      <c r="C213" s="43">
        <f>Table134567891011121314151617343[[#This Row],[USA]]-B212</f>
        <v/>
      </c>
      <c r="D213" s="55">
        <f>(Table134567891011121314151617343[[#This Row],[USA]]/100 +1)^4-1</f>
        <v/>
      </c>
    </row>
    <row r="214">
      <c r="A214" s="42" t="n">
        <v>36708</v>
      </c>
      <c r="B214" s="43">
        <f>VLOOKUP(A214,'Data qoq'!$B:$AT,MATCH($B$1,'Data qoq'!$B$1:$AT$1,0),FALSE)</f>
        <v/>
      </c>
      <c r="C214" s="43">
        <f>Table134567891011121314151617343[[#This Row],[USA]]-B213</f>
        <v/>
      </c>
      <c r="D214" s="55">
        <f>(Table134567891011121314151617343[[#This Row],[USA]]/100 +1)^4-1</f>
        <v/>
      </c>
    </row>
    <row r="215">
      <c r="A215" s="42" t="n">
        <v>36800</v>
      </c>
      <c r="B215" s="43">
        <f>VLOOKUP(A215,'Data qoq'!$B:$AT,MATCH($B$1,'Data qoq'!$B$1:$AT$1,0),FALSE)</f>
        <v/>
      </c>
      <c r="C215" s="43">
        <f>Table134567891011121314151617343[[#This Row],[USA]]-B214</f>
        <v/>
      </c>
      <c r="D215" s="55">
        <f>(Table134567891011121314151617343[[#This Row],[USA]]/100 +1)^4-1</f>
        <v/>
      </c>
    </row>
    <row r="216">
      <c r="A216" s="42" t="n">
        <v>36892</v>
      </c>
      <c r="B216" s="43">
        <f>VLOOKUP(A216,'Data qoq'!$B:$AT,MATCH($B$1,'Data qoq'!$B$1:$AT$1,0),FALSE)</f>
        <v/>
      </c>
      <c r="C216" s="43">
        <f>Table134567891011121314151617343[[#This Row],[USA]]-B215</f>
        <v/>
      </c>
      <c r="D216" s="55">
        <f>(Table134567891011121314151617343[[#This Row],[USA]]/100 +1)^4-1</f>
        <v/>
      </c>
    </row>
    <row r="217">
      <c r="A217" s="42" t="n">
        <v>36982</v>
      </c>
      <c r="B217" s="43">
        <f>VLOOKUP(A217,'Data qoq'!$B:$AT,MATCH($B$1,'Data qoq'!$B$1:$AT$1,0),FALSE)</f>
        <v/>
      </c>
      <c r="C217" s="43">
        <f>Table134567891011121314151617343[[#This Row],[USA]]-B216</f>
        <v/>
      </c>
      <c r="D217" s="55">
        <f>(Table134567891011121314151617343[[#This Row],[USA]]/100 +1)^4-1</f>
        <v/>
      </c>
    </row>
    <row r="218">
      <c r="A218" s="42" t="n">
        <v>37073</v>
      </c>
      <c r="B218" s="43">
        <f>VLOOKUP(A218,'Data qoq'!$B:$AT,MATCH($B$1,'Data qoq'!$B$1:$AT$1,0),FALSE)</f>
        <v/>
      </c>
      <c r="C218" s="43">
        <f>Table134567891011121314151617343[[#This Row],[USA]]-B217</f>
        <v/>
      </c>
      <c r="D218" s="55">
        <f>(Table134567891011121314151617343[[#This Row],[USA]]/100 +1)^4-1</f>
        <v/>
      </c>
    </row>
    <row r="219">
      <c r="A219" s="42" t="n">
        <v>37165</v>
      </c>
      <c r="B219" s="43">
        <f>VLOOKUP(A219,'Data qoq'!$B:$AT,MATCH($B$1,'Data qoq'!$B$1:$AT$1,0),FALSE)</f>
        <v/>
      </c>
      <c r="C219" s="43">
        <f>Table134567891011121314151617343[[#This Row],[USA]]-B218</f>
        <v/>
      </c>
      <c r="D219" s="55">
        <f>(Table134567891011121314151617343[[#This Row],[USA]]/100 +1)^4-1</f>
        <v/>
      </c>
    </row>
    <row r="220">
      <c r="A220" s="42" t="n">
        <v>37257</v>
      </c>
      <c r="B220" s="43">
        <f>VLOOKUP(A220,'Data qoq'!$B:$AT,MATCH($B$1,'Data qoq'!$B$1:$AT$1,0),FALSE)</f>
        <v/>
      </c>
      <c r="C220" s="43">
        <f>Table134567891011121314151617343[[#This Row],[USA]]-B219</f>
        <v/>
      </c>
      <c r="D220" s="55">
        <f>(Table134567891011121314151617343[[#This Row],[USA]]/100 +1)^4-1</f>
        <v/>
      </c>
    </row>
    <row r="221">
      <c r="A221" s="42" t="n">
        <v>37347</v>
      </c>
      <c r="B221" s="43">
        <f>VLOOKUP(A221,'Data qoq'!$B:$AT,MATCH($B$1,'Data qoq'!$B$1:$AT$1,0),FALSE)</f>
        <v/>
      </c>
      <c r="C221" s="43">
        <f>Table134567891011121314151617343[[#This Row],[USA]]-B220</f>
        <v/>
      </c>
      <c r="D221" s="55">
        <f>(Table134567891011121314151617343[[#This Row],[USA]]/100 +1)^4-1</f>
        <v/>
      </c>
    </row>
    <row r="222">
      <c r="A222" s="42" t="n">
        <v>37438</v>
      </c>
      <c r="B222" s="43">
        <f>VLOOKUP(A222,'Data qoq'!$B:$AT,MATCH($B$1,'Data qoq'!$B$1:$AT$1,0),FALSE)</f>
        <v/>
      </c>
      <c r="C222" s="43">
        <f>Table134567891011121314151617343[[#This Row],[USA]]-B221</f>
        <v/>
      </c>
      <c r="D222" s="55">
        <f>(Table134567891011121314151617343[[#This Row],[USA]]/100 +1)^4-1</f>
        <v/>
      </c>
    </row>
    <row r="223">
      <c r="A223" s="42" t="n">
        <v>37530</v>
      </c>
      <c r="B223" s="43">
        <f>VLOOKUP(A223,'Data qoq'!$B:$AT,MATCH($B$1,'Data qoq'!$B$1:$AT$1,0),FALSE)</f>
        <v/>
      </c>
      <c r="C223" s="43">
        <f>Table134567891011121314151617343[[#This Row],[USA]]-B222</f>
        <v/>
      </c>
      <c r="D223" s="55">
        <f>(Table134567891011121314151617343[[#This Row],[USA]]/100 +1)^4-1</f>
        <v/>
      </c>
    </row>
    <row r="224">
      <c r="A224" s="42" t="n">
        <v>37622</v>
      </c>
      <c r="B224" s="43">
        <f>VLOOKUP(A224,'Data qoq'!$B:$AT,MATCH($B$1,'Data qoq'!$B$1:$AT$1,0),FALSE)</f>
        <v/>
      </c>
      <c r="C224" s="43">
        <f>Table134567891011121314151617343[[#This Row],[USA]]-B223</f>
        <v/>
      </c>
      <c r="D224" s="55">
        <f>(Table134567891011121314151617343[[#This Row],[USA]]/100 +1)^4-1</f>
        <v/>
      </c>
    </row>
    <row r="225">
      <c r="A225" s="42" t="n">
        <v>37712</v>
      </c>
      <c r="B225" s="43">
        <f>VLOOKUP(A225,'Data qoq'!$B:$AT,MATCH($B$1,'Data qoq'!$B$1:$AT$1,0),FALSE)</f>
        <v/>
      </c>
      <c r="C225" s="43">
        <f>Table134567891011121314151617343[[#This Row],[USA]]-B224</f>
        <v/>
      </c>
      <c r="D225" s="55">
        <f>(Table134567891011121314151617343[[#This Row],[USA]]/100 +1)^4-1</f>
        <v/>
      </c>
    </row>
    <row r="226">
      <c r="A226" s="42" t="n">
        <v>37803</v>
      </c>
      <c r="B226" s="43">
        <f>VLOOKUP(A226,'Data qoq'!$B:$AT,MATCH($B$1,'Data qoq'!$B$1:$AT$1,0),FALSE)</f>
        <v/>
      </c>
      <c r="C226" s="43">
        <f>Table134567891011121314151617343[[#This Row],[USA]]-B225</f>
        <v/>
      </c>
      <c r="D226" s="55">
        <f>(Table134567891011121314151617343[[#This Row],[USA]]/100 +1)^4-1</f>
        <v/>
      </c>
    </row>
    <row r="227">
      <c r="A227" s="42" t="n">
        <v>37895</v>
      </c>
      <c r="B227" s="43">
        <f>VLOOKUP(A227,'Data qoq'!$B:$AT,MATCH($B$1,'Data qoq'!$B$1:$AT$1,0),FALSE)</f>
        <v/>
      </c>
      <c r="C227" s="43">
        <f>Table134567891011121314151617343[[#This Row],[USA]]-B226</f>
        <v/>
      </c>
      <c r="D227" s="55">
        <f>(Table134567891011121314151617343[[#This Row],[USA]]/100 +1)^4-1</f>
        <v/>
      </c>
    </row>
    <row r="228">
      <c r="A228" s="42" t="n">
        <v>37987</v>
      </c>
      <c r="B228" s="43">
        <f>VLOOKUP(A228,'Data qoq'!$B:$AT,MATCH($B$1,'Data qoq'!$B$1:$AT$1,0),FALSE)</f>
        <v/>
      </c>
      <c r="C228" s="43">
        <f>Table134567891011121314151617343[[#This Row],[USA]]-B227</f>
        <v/>
      </c>
      <c r="D228" s="55">
        <f>(Table134567891011121314151617343[[#This Row],[USA]]/100 +1)^4-1</f>
        <v/>
      </c>
    </row>
    <row r="229">
      <c r="A229" s="42" t="n">
        <v>38078</v>
      </c>
      <c r="B229" s="43">
        <f>VLOOKUP(A229,'Data qoq'!$B:$AT,MATCH($B$1,'Data qoq'!$B$1:$AT$1,0),FALSE)</f>
        <v/>
      </c>
      <c r="C229" s="43">
        <f>Table134567891011121314151617343[[#This Row],[USA]]-B228</f>
        <v/>
      </c>
      <c r="D229" s="55">
        <f>(Table134567891011121314151617343[[#This Row],[USA]]/100 +1)^4-1</f>
        <v/>
      </c>
    </row>
    <row r="230">
      <c r="A230" s="42" t="n">
        <v>38169</v>
      </c>
      <c r="B230" s="43">
        <f>VLOOKUP(A230,'Data qoq'!$B:$AT,MATCH($B$1,'Data qoq'!$B$1:$AT$1,0),FALSE)</f>
        <v/>
      </c>
      <c r="C230" s="43">
        <f>Table134567891011121314151617343[[#This Row],[USA]]-B229</f>
        <v/>
      </c>
      <c r="D230" s="55">
        <f>(Table134567891011121314151617343[[#This Row],[USA]]/100 +1)^4-1</f>
        <v/>
      </c>
    </row>
    <row r="231">
      <c r="A231" s="42" t="n">
        <v>38261</v>
      </c>
      <c r="B231" s="43">
        <f>VLOOKUP(A231,'Data qoq'!$B:$AT,MATCH($B$1,'Data qoq'!$B$1:$AT$1,0),FALSE)</f>
        <v/>
      </c>
      <c r="C231" s="43">
        <f>Table134567891011121314151617343[[#This Row],[USA]]-B230</f>
        <v/>
      </c>
      <c r="D231" s="55">
        <f>(Table134567891011121314151617343[[#This Row],[USA]]/100 +1)^4-1</f>
        <v/>
      </c>
    </row>
    <row r="232">
      <c r="A232" s="42" t="n">
        <v>38353</v>
      </c>
      <c r="B232" s="43">
        <f>VLOOKUP(A232,'Data qoq'!$B:$AT,MATCH($B$1,'Data qoq'!$B$1:$AT$1,0),FALSE)</f>
        <v/>
      </c>
      <c r="C232" s="43">
        <f>Table134567891011121314151617343[[#This Row],[USA]]-B231</f>
        <v/>
      </c>
      <c r="D232" s="55">
        <f>(Table134567891011121314151617343[[#This Row],[USA]]/100 +1)^4-1</f>
        <v/>
      </c>
    </row>
    <row r="233">
      <c r="A233" s="42" t="n">
        <v>38443</v>
      </c>
      <c r="B233" s="43">
        <f>VLOOKUP(A233,'Data qoq'!$B:$AT,MATCH($B$1,'Data qoq'!$B$1:$AT$1,0),FALSE)</f>
        <v/>
      </c>
      <c r="C233" s="43">
        <f>Table134567891011121314151617343[[#This Row],[USA]]-B232</f>
        <v/>
      </c>
      <c r="D233" s="55">
        <f>(Table134567891011121314151617343[[#This Row],[USA]]/100 +1)^4-1</f>
        <v/>
      </c>
    </row>
    <row r="234">
      <c r="A234" s="42" t="n">
        <v>38534</v>
      </c>
      <c r="B234" s="43">
        <f>VLOOKUP(A234,'Data qoq'!$B:$AT,MATCH($B$1,'Data qoq'!$B$1:$AT$1,0),FALSE)</f>
        <v/>
      </c>
      <c r="C234" s="43">
        <f>Table134567891011121314151617343[[#This Row],[USA]]-B233</f>
        <v/>
      </c>
      <c r="D234" s="55">
        <f>(Table134567891011121314151617343[[#This Row],[USA]]/100 +1)^4-1</f>
        <v/>
      </c>
    </row>
    <row r="235">
      <c r="A235" s="42" t="n">
        <v>38626</v>
      </c>
      <c r="B235" s="43">
        <f>VLOOKUP(A235,'Data qoq'!$B:$AT,MATCH($B$1,'Data qoq'!$B$1:$AT$1,0),FALSE)</f>
        <v/>
      </c>
      <c r="C235" s="43">
        <f>Table134567891011121314151617343[[#This Row],[USA]]-B234</f>
        <v/>
      </c>
      <c r="D235" s="55">
        <f>(Table134567891011121314151617343[[#This Row],[USA]]/100 +1)^4-1</f>
        <v/>
      </c>
    </row>
    <row r="236">
      <c r="A236" s="42" t="n">
        <v>38718</v>
      </c>
      <c r="B236" s="43">
        <f>VLOOKUP(A236,'Data qoq'!$B:$AT,MATCH($B$1,'Data qoq'!$B$1:$AT$1,0),FALSE)</f>
        <v/>
      </c>
      <c r="C236" s="43">
        <f>Table134567891011121314151617343[[#This Row],[USA]]-B235</f>
        <v/>
      </c>
      <c r="D236" s="55">
        <f>(Table134567891011121314151617343[[#This Row],[USA]]/100 +1)^4-1</f>
        <v/>
      </c>
    </row>
    <row r="237">
      <c r="A237" s="42" t="n">
        <v>38808</v>
      </c>
      <c r="B237" s="43">
        <f>VLOOKUP(A237,'Data qoq'!$B:$AT,MATCH($B$1,'Data qoq'!$B$1:$AT$1,0),FALSE)</f>
        <v/>
      </c>
      <c r="C237" s="43">
        <f>Table134567891011121314151617343[[#This Row],[USA]]-B236</f>
        <v/>
      </c>
      <c r="D237" s="55">
        <f>(Table134567891011121314151617343[[#This Row],[USA]]/100 +1)^4-1</f>
        <v/>
      </c>
    </row>
    <row r="238">
      <c r="A238" s="42" t="n">
        <v>38899</v>
      </c>
      <c r="B238" s="43">
        <f>VLOOKUP(A238,'Data qoq'!$B:$AT,MATCH($B$1,'Data qoq'!$B$1:$AT$1,0),FALSE)</f>
        <v/>
      </c>
      <c r="C238" s="43">
        <f>Table134567891011121314151617343[[#This Row],[USA]]-B237</f>
        <v/>
      </c>
      <c r="D238" s="55">
        <f>(Table134567891011121314151617343[[#This Row],[USA]]/100 +1)^4-1</f>
        <v/>
      </c>
    </row>
    <row r="239">
      <c r="A239" s="42" t="n">
        <v>38991</v>
      </c>
      <c r="B239" s="43">
        <f>VLOOKUP(A239,'Data qoq'!$B:$AT,MATCH($B$1,'Data qoq'!$B$1:$AT$1,0),FALSE)</f>
        <v/>
      </c>
      <c r="C239" s="43">
        <f>Table134567891011121314151617343[[#This Row],[USA]]-B238</f>
        <v/>
      </c>
      <c r="D239" s="55">
        <f>(Table134567891011121314151617343[[#This Row],[USA]]/100 +1)^4-1</f>
        <v/>
      </c>
    </row>
    <row r="240">
      <c r="A240" s="42" t="n">
        <v>39083</v>
      </c>
      <c r="B240" s="43">
        <f>VLOOKUP(A240,'Data qoq'!$B:$AT,MATCH($B$1,'Data qoq'!$B$1:$AT$1,0),FALSE)</f>
        <v/>
      </c>
      <c r="C240" s="43">
        <f>Table134567891011121314151617343[[#This Row],[USA]]-B239</f>
        <v/>
      </c>
      <c r="D240" s="55">
        <f>(Table134567891011121314151617343[[#This Row],[USA]]/100 +1)^4-1</f>
        <v/>
      </c>
    </row>
    <row r="241">
      <c r="A241" s="42" t="n">
        <v>39173</v>
      </c>
      <c r="B241" s="43">
        <f>VLOOKUP(A241,'Data qoq'!$B:$AT,MATCH($B$1,'Data qoq'!$B$1:$AT$1,0),FALSE)</f>
        <v/>
      </c>
      <c r="C241" s="43">
        <f>Table134567891011121314151617343[[#This Row],[USA]]-B240</f>
        <v/>
      </c>
      <c r="D241" s="55">
        <f>(Table134567891011121314151617343[[#This Row],[USA]]/100 +1)^4-1</f>
        <v/>
      </c>
    </row>
    <row r="242">
      <c r="A242" s="42" t="n">
        <v>39264</v>
      </c>
      <c r="B242" s="43">
        <f>VLOOKUP(A242,'Data qoq'!$B:$AT,MATCH($B$1,'Data qoq'!$B$1:$AT$1,0),FALSE)</f>
        <v/>
      </c>
      <c r="C242" s="43">
        <f>Table134567891011121314151617343[[#This Row],[USA]]-B241</f>
        <v/>
      </c>
      <c r="D242" s="55">
        <f>(Table134567891011121314151617343[[#This Row],[USA]]/100 +1)^4-1</f>
        <v/>
      </c>
    </row>
    <row r="243">
      <c r="A243" s="42" t="n">
        <v>39356</v>
      </c>
      <c r="B243" s="43">
        <f>VLOOKUP(A243,'Data qoq'!$B:$AT,MATCH($B$1,'Data qoq'!$B$1:$AT$1,0),FALSE)</f>
        <v/>
      </c>
      <c r="C243" s="43">
        <f>Table134567891011121314151617343[[#This Row],[USA]]-B242</f>
        <v/>
      </c>
      <c r="D243" s="55">
        <f>(Table134567891011121314151617343[[#This Row],[USA]]/100 +1)^4-1</f>
        <v/>
      </c>
    </row>
    <row r="244">
      <c r="A244" s="42" t="n">
        <v>39448</v>
      </c>
      <c r="B244" s="43">
        <f>VLOOKUP(A244,'Data qoq'!$B:$AT,MATCH($B$1,'Data qoq'!$B$1:$AT$1,0),FALSE)</f>
        <v/>
      </c>
      <c r="C244" s="43">
        <f>Table134567891011121314151617343[[#This Row],[USA]]-B243</f>
        <v/>
      </c>
      <c r="D244" s="55">
        <f>(Table134567891011121314151617343[[#This Row],[USA]]/100 +1)^4-1</f>
        <v/>
      </c>
    </row>
    <row r="245">
      <c r="A245" s="42" t="n">
        <v>39539</v>
      </c>
      <c r="B245" s="43">
        <f>VLOOKUP(A245,'Data qoq'!$B:$AT,MATCH($B$1,'Data qoq'!$B$1:$AT$1,0),FALSE)</f>
        <v/>
      </c>
      <c r="C245" s="43">
        <f>Table134567891011121314151617343[[#This Row],[USA]]-B244</f>
        <v/>
      </c>
      <c r="D245" s="55">
        <f>(Table134567891011121314151617343[[#This Row],[USA]]/100 +1)^4-1</f>
        <v/>
      </c>
    </row>
    <row r="246">
      <c r="A246" s="42" t="n">
        <v>39630</v>
      </c>
      <c r="B246" s="43">
        <f>VLOOKUP(A246,'Data qoq'!$B:$AT,MATCH($B$1,'Data qoq'!$B$1:$AT$1,0),FALSE)</f>
        <v/>
      </c>
      <c r="C246" s="43">
        <f>Table134567891011121314151617343[[#This Row],[USA]]-B245</f>
        <v/>
      </c>
      <c r="D246" s="55">
        <f>(Table134567891011121314151617343[[#This Row],[USA]]/100 +1)^4-1</f>
        <v/>
      </c>
    </row>
    <row r="247">
      <c r="A247" s="42" t="n">
        <v>39722</v>
      </c>
      <c r="B247" s="43">
        <f>VLOOKUP(A247,'Data qoq'!$B:$AT,MATCH($B$1,'Data qoq'!$B$1:$AT$1,0),FALSE)</f>
        <v/>
      </c>
      <c r="C247" s="43">
        <f>Table134567891011121314151617343[[#This Row],[USA]]-B246</f>
        <v/>
      </c>
      <c r="D247" s="55">
        <f>(Table134567891011121314151617343[[#This Row],[USA]]/100 +1)^4-1</f>
        <v/>
      </c>
    </row>
    <row r="248">
      <c r="A248" s="42" t="n">
        <v>39814</v>
      </c>
      <c r="B248" s="43">
        <f>VLOOKUP(A248,'Data qoq'!$B:$AT,MATCH($B$1,'Data qoq'!$B$1:$AT$1,0),FALSE)</f>
        <v/>
      </c>
      <c r="C248" s="43">
        <f>Table134567891011121314151617343[[#This Row],[USA]]-B247</f>
        <v/>
      </c>
      <c r="D248" s="55">
        <f>(Table134567891011121314151617343[[#This Row],[USA]]/100 +1)^4-1</f>
        <v/>
      </c>
    </row>
    <row r="249">
      <c r="A249" s="42" t="n">
        <v>39904</v>
      </c>
      <c r="B249" s="43">
        <f>VLOOKUP(A249,'Data qoq'!$B:$AT,MATCH($B$1,'Data qoq'!$B$1:$AT$1,0),FALSE)</f>
        <v/>
      </c>
      <c r="C249" s="43">
        <f>Table134567891011121314151617343[[#This Row],[USA]]-B248</f>
        <v/>
      </c>
      <c r="D249" s="55">
        <f>(Table134567891011121314151617343[[#This Row],[USA]]/100 +1)^4-1</f>
        <v/>
      </c>
    </row>
    <row r="250">
      <c r="A250" s="42" t="n">
        <v>39995</v>
      </c>
      <c r="B250" s="43">
        <f>VLOOKUP(A250,'Data qoq'!$B:$AT,MATCH($B$1,'Data qoq'!$B$1:$AT$1,0),FALSE)</f>
        <v/>
      </c>
      <c r="C250" s="43">
        <f>Table134567891011121314151617343[[#This Row],[USA]]-B249</f>
        <v/>
      </c>
      <c r="D250" s="55">
        <f>(Table134567891011121314151617343[[#This Row],[USA]]/100 +1)^4-1</f>
        <v/>
      </c>
    </row>
    <row r="251">
      <c r="A251" s="42" t="n">
        <v>40087</v>
      </c>
      <c r="B251" s="43">
        <f>VLOOKUP(A251,'Data qoq'!$B:$AT,MATCH($B$1,'Data qoq'!$B$1:$AT$1,0),FALSE)</f>
        <v/>
      </c>
      <c r="C251" s="43">
        <f>Table134567891011121314151617343[[#This Row],[USA]]-B250</f>
        <v/>
      </c>
      <c r="D251" s="55">
        <f>(Table134567891011121314151617343[[#This Row],[USA]]/100 +1)^4-1</f>
        <v/>
      </c>
    </row>
    <row r="252">
      <c r="A252" s="42" t="n">
        <v>40179</v>
      </c>
      <c r="B252" s="43">
        <f>VLOOKUP(A252,'Data qoq'!$B:$AT,MATCH($B$1,'Data qoq'!$B$1:$AT$1,0),FALSE)</f>
        <v/>
      </c>
      <c r="C252" s="43">
        <f>Table134567891011121314151617343[[#This Row],[USA]]-B251</f>
        <v/>
      </c>
      <c r="D252" s="55">
        <f>(Table134567891011121314151617343[[#This Row],[USA]]/100 +1)^4-1</f>
        <v/>
      </c>
    </row>
    <row r="253">
      <c r="A253" s="42" t="n">
        <v>40269</v>
      </c>
      <c r="B253" s="43">
        <f>VLOOKUP(A253,'Data qoq'!$B:$AT,MATCH($B$1,'Data qoq'!$B$1:$AT$1,0),FALSE)</f>
        <v/>
      </c>
      <c r="C253" s="43">
        <f>Table134567891011121314151617343[[#This Row],[USA]]-B252</f>
        <v/>
      </c>
      <c r="D253" s="55">
        <f>(Table134567891011121314151617343[[#This Row],[USA]]/100 +1)^4-1</f>
        <v/>
      </c>
    </row>
    <row r="254">
      <c r="A254" s="42" t="n">
        <v>40360</v>
      </c>
      <c r="B254" s="43">
        <f>VLOOKUP(A254,'Data qoq'!$B:$AT,MATCH($B$1,'Data qoq'!$B$1:$AT$1,0),FALSE)</f>
        <v/>
      </c>
      <c r="C254" s="43">
        <f>Table134567891011121314151617343[[#This Row],[USA]]-B253</f>
        <v/>
      </c>
      <c r="D254" s="55">
        <f>(Table134567891011121314151617343[[#This Row],[USA]]/100 +1)^4-1</f>
        <v/>
      </c>
    </row>
    <row r="255">
      <c r="A255" s="42" t="n">
        <v>40452</v>
      </c>
      <c r="B255" s="43">
        <f>VLOOKUP(A255,'Data qoq'!$B:$AT,MATCH($B$1,'Data qoq'!$B$1:$AT$1,0),FALSE)</f>
        <v/>
      </c>
      <c r="C255" s="43">
        <f>Table134567891011121314151617343[[#This Row],[USA]]-B254</f>
        <v/>
      </c>
      <c r="D255" s="55">
        <f>(Table134567891011121314151617343[[#This Row],[USA]]/100 +1)^4-1</f>
        <v/>
      </c>
    </row>
    <row r="256">
      <c r="A256" s="42" t="n">
        <v>40544</v>
      </c>
      <c r="B256" s="43">
        <f>VLOOKUP(A256,'Data qoq'!$B:$AT,MATCH($B$1,'Data qoq'!$B$1:$AT$1,0),FALSE)</f>
        <v/>
      </c>
      <c r="C256" s="43">
        <f>Table134567891011121314151617343[[#This Row],[USA]]-B255</f>
        <v/>
      </c>
      <c r="D256" s="55">
        <f>(Table134567891011121314151617343[[#This Row],[USA]]/100 +1)^4-1</f>
        <v/>
      </c>
    </row>
    <row r="257">
      <c r="A257" s="42" t="n">
        <v>40634</v>
      </c>
      <c r="B257" s="43">
        <f>VLOOKUP(A257,'Data qoq'!$B:$AT,MATCH($B$1,'Data qoq'!$B$1:$AT$1,0),FALSE)</f>
        <v/>
      </c>
      <c r="C257" s="43">
        <f>Table134567891011121314151617343[[#This Row],[USA]]-B256</f>
        <v/>
      </c>
      <c r="D257" s="55">
        <f>(Table134567891011121314151617343[[#This Row],[USA]]/100 +1)^4-1</f>
        <v/>
      </c>
    </row>
    <row r="258">
      <c r="A258" s="42" t="n">
        <v>40725</v>
      </c>
      <c r="B258" s="43">
        <f>VLOOKUP(A258,'Data qoq'!$B:$AT,MATCH($B$1,'Data qoq'!$B$1:$AT$1,0),FALSE)</f>
        <v/>
      </c>
      <c r="C258" s="43">
        <f>Table134567891011121314151617343[[#This Row],[USA]]-B257</f>
        <v/>
      </c>
      <c r="D258" s="55">
        <f>(Table134567891011121314151617343[[#This Row],[USA]]/100 +1)^4-1</f>
        <v/>
      </c>
    </row>
    <row r="259">
      <c r="A259" s="42" t="n">
        <v>40817</v>
      </c>
      <c r="B259" s="43">
        <f>VLOOKUP(A259,'Data qoq'!$B:$AT,MATCH($B$1,'Data qoq'!$B$1:$AT$1,0),FALSE)</f>
        <v/>
      </c>
      <c r="C259" s="43">
        <f>Table134567891011121314151617343[[#This Row],[USA]]-B258</f>
        <v/>
      </c>
      <c r="D259" s="55">
        <f>(Table134567891011121314151617343[[#This Row],[USA]]/100 +1)^4-1</f>
        <v/>
      </c>
    </row>
    <row r="260">
      <c r="A260" s="42" t="n">
        <v>40909</v>
      </c>
      <c r="B260" s="43">
        <f>VLOOKUP(A260,'Data qoq'!$B:$AT,MATCH($B$1,'Data qoq'!$B$1:$AT$1,0),FALSE)</f>
        <v/>
      </c>
      <c r="C260" s="43">
        <f>Table134567891011121314151617343[[#This Row],[USA]]-B259</f>
        <v/>
      </c>
      <c r="D260" s="55">
        <f>(Table134567891011121314151617343[[#This Row],[USA]]/100 +1)^4-1</f>
        <v/>
      </c>
    </row>
    <row r="261">
      <c r="A261" s="42" t="n">
        <v>41000</v>
      </c>
      <c r="B261" s="43">
        <f>VLOOKUP(A261,'Data qoq'!$B:$AT,MATCH($B$1,'Data qoq'!$B$1:$AT$1,0),FALSE)</f>
        <v/>
      </c>
      <c r="C261" s="43">
        <f>Table134567891011121314151617343[[#This Row],[USA]]-B260</f>
        <v/>
      </c>
      <c r="D261" s="55">
        <f>(Table134567891011121314151617343[[#This Row],[USA]]/100 +1)^4-1</f>
        <v/>
      </c>
    </row>
    <row r="262">
      <c r="A262" s="42" t="n">
        <v>41091</v>
      </c>
      <c r="B262" s="43">
        <f>VLOOKUP(A262,'Data qoq'!$B:$AT,MATCH($B$1,'Data qoq'!$B$1:$AT$1,0),FALSE)</f>
        <v/>
      </c>
      <c r="C262" s="43">
        <f>Table134567891011121314151617343[[#This Row],[USA]]-B261</f>
        <v/>
      </c>
      <c r="D262" s="55">
        <f>(Table134567891011121314151617343[[#This Row],[USA]]/100 +1)^4-1</f>
        <v/>
      </c>
    </row>
    <row r="263">
      <c r="A263" s="42" t="n">
        <v>41183</v>
      </c>
      <c r="B263" s="43">
        <f>VLOOKUP(A263,'Data qoq'!$B:$AT,MATCH($B$1,'Data qoq'!$B$1:$AT$1,0),FALSE)</f>
        <v/>
      </c>
      <c r="C263" s="43">
        <f>Table134567891011121314151617343[[#This Row],[USA]]-B262</f>
        <v/>
      </c>
      <c r="D263" s="55">
        <f>(Table134567891011121314151617343[[#This Row],[USA]]/100 +1)^4-1</f>
        <v/>
      </c>
    </row>
    <row r="264">
      <c r="A264" s="42" t="n">
        <v>41275</v>
      </c>
      <c r="B264" s="43">
        <f>VLOOKUP(A264,'Data qoq'!$B:$AT,MATCH($B$1,'Data qoq'!$B$1:$AT$1,0),FALSE)</f>
        <v/>
      </c>
      <c r="C264" s="43">
        <f>Table134567891011121314151617343[[#This Row],[USA]]-B263</f>
        <v/>
      </c>
      <c r="D264" s="55">
        <f>(Table134567891011121314151617343[[#This Row],[USA]]/100 +1)^4-1</f>
        <v/>
      </c>
    </row>
    <row r="265">
      <c r="A265" s="42" t="n">
        <v>41365</v>
      </c>
      <c r="B265" s="43">
        <f>VLOOKUP(A265,'Data qoq'!$B:$AT,MATCH($B$1,'Data qoq'!$B$1:$AT$1,0),FALSE)</f>
        <v/>
      </c>
      <c r="C265" s="43">
        <f>Table134567891011121314151617343[[#This Row],[USA]]-B264</f>
        <v/>
      </c>
      <c r="D265" s="55">
        <f>(Table134567891011121314151617343[[#This Row],[USA]]/100 +1)^4-1</f>
        <v/>
      </c>
    </row>
    <row r="266">
      <c r="A266" s="42" t="n">
        <v>41456</v>
      </c>
      <c r="B266" s="43">
        <f>VLOOKUP(A266,'Data qoq'!$B:$AT,MATCH($B$1,'Data qoq'!$B$1:$AT$1,0),FALSE)</f>
        <v/>
      </c>
      <c r="C266" s="43">
        <f>Table134567891011121314151617343[[#This Row],[USA]]-B265</f>
        <v/>
      </c>
      <c r="D266" s="55">
        <f>(Table134567891011121314151617343[[#This Row],[USA]]/100 +1)^4-1</f>
        <v/>
      </c>
    </row>
    <row r="267">
      <c r="A267" s="42" t="n">
        <v>41548</v>
      </c>
      <c r="B267" s="43">
        <f>VLOOKUP(A267,'Data qoq'!$B:$AT,MATCH($B$1,'Data qoq'!$B$1:$AT$1,0),FALSE)</f>
        <v/>
      </c>
      <c r="C267" s="43">
        <f>Table134567891011121314151617343[[#This Row],[USA]]-B266</f>
        <v/>
      </c>
      <c r="D267" s="55">
        <f>(Table134567891011121314151617343[[#This Row],[USA]]/100 +1)^4-1</f>
        <v/>
      </c>
    </row>
    <row r="268">
      <c r="A268" s="42" t="n">
        <v>41640</v>
      </c>
      <c r="B268" s="43">
        <f>VLOOKUP(A268,'Data qoq'!$B:$AT,MATCH($B$1,'Data qoq'!$B$1:$AT$1,0),FALSE)</f>
        <v/>
      </c>
      <c r="C268" s="43">
        <f>Table134567891011121314151617343[[#This Row],[USA]]-B267</f>
        <v/>
      </c>
      <c r="D268" s="55">
        <f>(Table134567891011121314151617343[[#This Row],[USA]]/100 +1)^4-1</f>
        <v/>
      </c>
    </row>
    <row r="269">
      <c r="A269" s="42" t="n">
        <v>41730</v>
      </c>
      <c r="B269" s="43">
        <f>VLOOKUP(A269,'Data qoq'!$B:$AT,MATCH($B$1,'Data qoq'!$B$1:$AT$1,0),FALSE)</f>
        <v/>
      </c>
      <c r="C269" s="43">
        <f>Table134567891011121314151617343[[#This Row],[USA]]-B268</f>
        <v/>
      </c>
      <c r="D269" s="55">
        <f>(Table134567891011121314151617343[[#This Row],[USA]]/100 +1)^4-1</f>
        <v/>
      </c>
    </row>
    <row r="270">
      <c r="A270" s="42" t="n">
        <v>41821</v>
      </c>
      <c r="B270" s="43">
        <f>VLOOKUP(A270,'Data qoq'!$B:$AT,MATCH($B$1,'Data qoq'!$B$1:$AT$1,0),FALSE)</f>
        <v/>
      </c>
      <c r="C270" s="43">
        <f>Table134567891011121314151617343[[#This Row],[USA]]-B269</f>
        <v/>
      </c>
      <c r="D270" s="55">
        <f>(Table134567891011121314151617343[[#This Row],[USA]]/100 +1)^4-1</f>
        <v/>
      </c>
    </row>
    <row r="271">
      <c r="A271" s="42" t="n">
        <v>41913</v>
      </c>
      <c r="B271" s="43">
        <f>VLOOKUP(A271,'Data qoq'!$B:$AT,MATCH($B$1,'Data qoq'!$B$1:$AT$1,0),FALSE)</f>
        <v/>
      </c>
      <c r="C271" s="43">
        <f>Table134567891011121314151617343[[#This Row],[USA]]-B270</f>
        <v/>
      </c>
      <c r="D271" s="55">
        <f>(Table134567891011121314151617343[[#This Row],[USA]]/100 +1)^4-1</f>
        <v/>
      </c>
    </row>
    <row r="272">
      <c r="A272" s="42" t="n">
        <v>42005</v>
      </c>
      <c r="B272" s="43">
        <f>VLOOKUP(A272,'Data qoq'!$B:$AT,MATCH($B$1,'Data qoq'!$B$1:$AT$1,0),FALSE)</f>
        <v/>
      </c>
      <c r="C272" s="43">
        <f>Table134567891011121314151617343[[#This Row],[USA]]-B271</f>
        <v/>
      </c>
      <c r="D272" s="55">
        <f>(Table134567891011121314151617343[[#This Row],[USA]]/100 +1)^4-1</f>
        <v/>
      </c>
    </row>
    <row r="273">
      <c r="A273" s="42" t="n">
        <v>42095</v>
      </c>
      <c r="B273" s="43">
        <f>VLOOKUP(A273,'Data qoq'!$B:$AT,MATCH($B$1,'Data qoq'!$B$1:$AT$1,0),FALSE)</f>
        <v/>
      </c>
      <c r="C273" s="43">
        <f>Table134567891011121314151617343[[#This Row],[USA]]-B272</f>
        <v/>
      </c>
      <c r="D273" s="55">
        <f>(Table134567891011121314151617343[[#This Row],[USA]]/100 +1)^4-1</f>
        <v/>
      </c>
    </row>
    <row r="274">
      <c r="A274" s="42" t="n">
        <v>42186</v>
      </c>
      <c r="B274" s="43">
        <f>VLOOKUP(A274,'Data qoq'!$B:$AT,MATCH($B$1,'Data qoq'!$B$1:$AT$1,0),FALSE)</f>
        <v/>
      </c>
      <c r="C274" s="43">
        <f>Table134567891011121314151617343[[#This Row],[USA]]-B273</f>
        <v/>
      </c>
      <c r="D274" s="55">
        <f>(Table134567891011121314151617343[[#This Row],[USA]]/100 +1)^4-1</f>
        <v/>
      </c>
    </row>
    <row r="275">
      <c r="A275" s="42" t="n">
        <v>42278</v>
      </c>
      <c r="B275" s="43">
        <f>VLOOKUP(A275,'Data qoq'!$B:$AT,MATCH($B$1,'Data qoq'!$B$1:$AT$1,0),FALSE)</f>
        <v/>
      </c>
      <c r="C275" s="43">
        <f>Table134567891011121314151617343[[#This Row],[USA]]-B274</f>
        <v/>
      </c>
      <c r="D275" s="55">
        <f>(Table134567891011121314151617343[[#This Row],[USA]]/100 +1)^4-1</f>
        <v/>
      </c>
    </row>
    <row r="276">
      <c r="A276" s="42" t="n">
        <v>42370</v>
      </c>
      <c r="B276" s="43">
        <f>VLOOKUP(A276,'Data qoq'!$B:$AT,MATCH($B$1,'Data qoq'!$B$1:$AT$1,0),FALSE)</f>
        <v/>
      </c>
      <c r="C276" s="43">
        <f>Table134567891011121314151617343[[#This Row],[USA]]-B275</f>
        <v/>
      </c>
      <c r="D276" s="55">
        <f>(Table134567891011121314151617343[[#This Row],[USA]]/100 +1)^4-1</f>
        <v/>
      </c>
    </row>
    <row r="277">
      <c r="A277" s="42" t="n">
        <v>42461</v>
      </c>
      <c r="B277" s="43">
        <f>VLOOKUP(A277,'Data qoq'!$B:$AT,MATCH($B$1,'Data qoq'!$B$1:$AT$1,0),FALSE)</f>
        <v/>
      </c>
      <c r="C277" s="43">
        <f>Table134567891011121314151617343[[#This Row],[USA]]-B276</f>
        <v/>
      </c>
      <c r="D277" s="55">
        <f>(Table134567891011121314151617343[[#This Row],[USA]]/100 +1)^4-1</f>
        <v/>
      </c>
    </row>
    <row r="278">
      <c r="A278" s="42" t="n">
        <v>42552</v>
      </c>
      <c r="B278" s="43">
        <f>VLOOKUP(A278,'Data qoq'!$B:$AT,MATCH($B$1,'Data qoq'!$B$1:$AT$1,0),FALSE)</f>
        <v/>
      </c>
      <c r="C278" s="43">
        <f>Table134567891011121314151617343[[#This Row],[USA]]-B277</f>
        <v/>
      </c>
      <c r="D278" s="55">
        <f>(Table134567891011121314151617343[[#This Row],[USA]]/100 +1)^4-1</f>
        <v/>
      </c>
    </row>
    <row r="279">
      <c r="A279" s="42" t="n">
        <v>42644</v>
      </c>
      <c r="B279" s="43">
        <f>VLOOKUP(A279,'Data qoq'!$B:$AT,MATCH($B$1,'Data qoq'!$B$1:$AT$1,0),FALSE)</f>
        <v/>
      </c>
      <c r="C279" s="43">
        <f>Table134567891011121314151617343[[#This Row],[USA]]-B278</f>
        <v/>
      </c>
      <c r="D279" s="55">
        <f>(Table134567891011121314151617343[[#This Row],[USA]]/100 +1)^4-1</f>
        <v/>
      </c>
    </row>
    <row r="280">
      <c r="A280" s="42" t="n">
        <v>42736</v>
      </c>
      <c r="B280" s="43">
        <f>VLOOKUP(A280,'Data qoq'!$B:$AT,MATCH($B$1,'Data qoq'!$B$1:$AT$1,0),FALSE)</f>
        <v/>
      </c>
      <c r="C280" s="43">
        <f>Table134567891011121314151617343[[#This Row],[USA]]-B279</f>
        <v/>
      </c>
      <c r="D280" s="55">
        <f>(Table134567891011121314151617343[[#This Row],[USA]]/100 +1)^4-1</f>
        <v/>
      </c>
    </row>
    <row r="281">
      <c r="A281" s="42" t="n">
        <v>42826</v>
      </c>
      <c r="B281" s="43">
        <f>VLOOKUP(A281,'Data qoq'!$B:$AT,MATCH($B$1,'Data qoq'!$B$1:$AT$1,0),FALSE)</f>
        <v/>
      </c>
      <c r="C281" s="43">
        <f>Table134567891011121314151617343[[#This Row],[USA]]-B280</f>
        <v/>
      </c>
      <c r="D281" s="55">
        <f>(Table134567891011121314151617343[[#This Row],[USA]]/100 +1)^4-1</f>
        <v/>
      </c>
    </row>
    <row r="282">
      <c r="A282" s="42" t="n">
        <v>42917</v>
      </c>
      <c r="B282" s="43">
        <f>VLOOKUP(A282,'Data qoq'!$B:$AT,MATCH($B$1,'Data qoq'!$B$1:$AT$1,0),FALSE)</f>
        <v/>
      </c>
      <c r="C282" s="43">
        <f>Table134567891011121314151617343[[#This Row],[USA]]-B281</f>
        <v/>
      </c>
      <c r="D282" s="55">
        <f>(Table134567891011121314151617343[[#This Row],[USA]]/100 +1)^4-1</f>
        <v/>
      </c>
    </row>
    <row r="283">
      <c r="A283" s="42" t="n">
        <v>43009</v>
      </c>
      <c r="B283" s="43">
        <f>VLOOKUP(A283,'Data qoq'!$B:$AT,MATCH($B$1,'Data qoq'!$B$1:$AT$1,0),FALSE)</f>
        <v/>
      </c>
      <c r="C283" s="43">
        <f>Table134567891011121314151617343[[#This Row],[USA]]-B282</f>
        <v/>
      </c>
      <c r="D283" s="55">
        <f>(Table134567891011121314151617343[[#This Row],[USA]]/100 +1)^4-1</f>
        <v/>
      </c>
    </row>
    <row r="284">
      <c r="A284" s="42" t="n">
        <v>43101</v>
      </c>
      <c r="B284" s="43">
        <f>VLOOKUP(A284,'Data qoq'!$B:$AT,MATCH($B$1,'Data qoq'!$B$1:$AT$1,0),FALSE)</f>
        <v/>
      </c>
      <c r="C284" s="43">
        <f>Table134567891011121314151617343[[#This Row],[USA]]-B283</f>
        <v/>
      </c>
      <c r="D284" s="55">
        <f>(Table134567891011121314151617343[[#This Row],[USA]]/100 +1)^4-1</f>
        <v/>
      </c>
    </row>
    <row r="285">
      <c r="A285" s="42" t="n">
        <v>43191</v>
      </c>
      <c r="B285" s="43">
        <f>VLOOKUP(A285,'Data qoq'!$B:$AT,MATCH($B$1,'Data qoq'!$B$1:$AT$1,0),FALSE)</f>
        <v/>
      </c>
      <c r="C285" s="43">
        <f>Table134567891011121314151617343[[#This Row],[USA]]-B284</f>
        <v/>
      </c>
      <c r="D285" s="55">
        <f>(Table134567891011121314151617343[[#This Row],[USA]]/100 +1)^4-1</f>
        <v/>
      </c>
    </row>
    <row r="286">
      <c r="A286" s="42" t="n">
        <v>43282</v>
      </c>
      <c r="B286" s="43">
        <f>VLOOKUP(A286,'Data qoq'!$B:$AT,MATCH($B$1,'Data qoq'!$B$1:$AT$1,0),FALSE)</f>
        <v/>
      </c>
      <c r="C286" s="43">
        <f>Table134567891011121314151617343[[#This Row],[USA]]-B285</f>
        <v/>
      </c>
      <c r="D286" s="55">
        <f>(Table134567891011121314151617343[[#This Row],[USA]]/100 +1)^4-1</f>
        <v/>
      </c>
    </row>
    <row r="287">
      <c r="A287" s="42" t="n">
        <v>43374</v>
      </c>
      <c r="B287" s="43">
        <f>VLOOKUP(A287,'Data qoq'!$B:$AT,MATCH($B$1,'Data qoq'!$B$1:$AT$1,0),FALSE)</f>
        <v/>
      </c>
      <c r="C287" s="43">
        <f>Table134567891011121314151617343[[#This Row],[USA]]-B286</f>
        <v/>
      </c>
      <c r="D287" s="55">
        <f>(Table134567891011121314151617343[[#This Row],[USA]]/100 +1)^4-1</f>
        <v/>
      </c>
    </row>
    <row r="288">
      <c r="A288" s="42" t="n">
        <v>43466</v>
      </c>
      <c r="B288" s="43">
        <f>VLOOKUP(A288,'Data qoq'!$B:$AT,MATCH($B$1,'Data qoq'!$B$1:$AT$1,0),FALSE)</f>
        <v/>
      </c>
      <c r="C288" s="43">
        <f>Table134567891011121314151617343[[#This Row],[USA]]-B287</f>
        <v/>
      </c>
      <c r="D288" s="55">
        <f>(Table134567891011121314151617343[[#This Row],[USA]]/100 +1)^4-1</f>
        <v/>
      </c>
    </row>
    <row r="289">
      <c r="A289" s="42" t="n">
        <v>43556</v>
      </c>
      <c r="B289" s="43">
        <f>VLOOKUP(A289,'Data qoq'!$B:$AT,MATCH($B$1,'Data qoq'!$B$1:$AT$1,0),FALSE)</f>
        <v/>
      </c>
      <c r="C289" s="43">
        <f>Table134567891011121314151617343[[#This Row],[USA]]-B288</f>
        <v/>
      </c>
      <c r="D289" s="55">
        <f>(Table134567891011121314151617343[[#This Row],[USA]]/100 +1)^4-1</f>
        <v/>
      </c>
    </row>
    <row r="290">
      <c r="A290" s="42" t="n">
        <v>43647</v>
      </c>
      <c r="B290" s="43">
        <f>VLOOKUP(A290,'Data qoq'!$B:$AT,MATCH($B$1,'Data qoq'!$B$1:$AT$1,0),FALSE)</f>
        <v/>
      </c>
      <c r="C290" s="43">
        <f>Table134567891011121314151617343[[#This Row],[USA]]-B289</f>
        <v/>
      </c>
      <c r="D290" s="55">
        <f>(Table134567891011121314151617343[[#This Row],[USA]]/100 +1)^4-1</f>
        <v/>
      </c>
    </row>
    <row r="291" customFormat="1" s="74">
      <c r="A291" s="42" t="n">
        <v>43739</v>
      </c>
      <c r="B291" s="43">
        <f>VLOOKUP(A291,'Data qoq'!$B:$AT,MATCH($B$1,'Data qoq'!$B$1:$AT$1,0),FALSE)</f>
        <v/>
      </c>
      <c r="C291" s="43">
        <f>Table134567891011121314151617343[[#This Row],[USA]]-B290</f>
        <v/>
      </c>
      <c r="D291" s="55">
        <f>(Table134567891011121314151617343[[#This Row],[USA]]/100 +1)^4-1</f>
        <v/>
      </c>
    </row>
    <row r="292" customFormat="1" s="74">
      <c r="A292" s="42" t="n">
        <v>43831</v>
      </c>
      <c r="B292" s="43">
        <f>VLOOKUP(A292,'Data qoq'!$B:$AT,MATCH($B$1,'Data qoq'!$B$1:$AT$1,0),FALSE)</f>
        <v/>
      </c>
      <c r="C292" s="43">
        <f>Table134567891011121314151617343[[#This Row],[USA]]-B291</f>
        <v/>
      </c>
      <c r="D292" s="55">
        <f>(Table134567891011121314151617343[[#This Row],[USA]]/100 +1)^4-1</f>
        <v/>
      </c>
    </row>
    <row r="293" customFormat="1" s="74">
      <c r="A293" s="42" t="n">
        <v>43922</v>
      </c>
      <c r="B293" s="43">
        <f>VLOOKUP(A293,'Data qoq'!$B:$AT,MATCH($B$1,'Data qoq'!$B$1:$AT$1,0),FALSE)</f>
        <v/>
      </c>
      <c r="C293" s="43">
        <f>Table134567891011121314151617343[[#This Row],[USA]]-B292</f>
        <v/>
      </c>
      <c r="D293" s="55">
        <f>(Table134567891011121314151617343[[#This Row],[USA]]/100 +1)^4-1</f>
        <v/>
      </c>
    </row>
    <row r="294" customFormat="1" s="74">
      <c r="A294" s="42" t="n">
        <v>44013</v>
      </c>
      <c r="B294" s="43">
        <f>VLOOKUP(A294,'Data qoq'!$B:$AT,MATCH($B$1,'Data qoq'!$B$1:$AT$1,0),FALSE)</f>
        <v/>
      </c>
      <c r="C294" s="43">
        <f>Table134567891011121314151617343[[#This Row],[USA]]-B293</f>
        <v/>
      </c>
      <c r="D294" s="55">
        <f>(Table134567891011121314151617343[[#This Row],[USA]]/100 +1)^4-1</f>
        <v/>
      </c>
    </row>
    <row r="295" customFormat="1" s="74">
      <c r="A295" s="42" t="n">
        <v>44105</v>
      </c>
      <c r="B295" s="43">
        <f>VLOOKUP(A295,'Data qoq'!$B:$AT,MATCH($B$1,'Data qoq'!$B$1:$AT$1,0),FALSE)</f>
        <v/>
      </c>
      <c r="C295" s="43">
        <f>Table134567891011121314151617343[[#This Row],[USA]]-B294</f>
        <v/>
      </c>
      <c r="D295" s="55">
        <f>(Table134567891011121314151617343[[#This Row],[USA]]/100 +1)^4-1</f>
        <v/>
      </c>
    </row>
    <row r="296" customFormat="1" s="74">
      <c r="A296" s="42" t="n">
        <v>44197</v>
      </c>
      <c r="B296" s="43">
        <f>VLOOKUP(A296,'Data qoq'!$B:$AT,MATCH($B$1,'Data qoq'!$B$1:$AT$1,0),FALSE)</f>
        <v/>
      </c>
      <c r="C296" s="43">
        <f>Table134567891011121314151617343[[#This Row],[USA]]-B295</f>
        <v/>
      </c>
      <c r="D296" s="55">
        <f>(Table134567891011121314151617343[[#This Row],[USA]]/100 +1)^4-1</f>
        <v/>
      </c>
    </row>
    <row r="297" customFormat="1" s="74">
      <c r="A297" s="42" t="n">
        <v>44287</v>
      </c>
      <c r="B297" s="43">
        <f>VLOOKUP(A297,'Data qoq'!$B:$AT,MATCH($B$1,'Data qoq'!$B$1:$AT$1,0),FALSE)</f>
        <v/>
      </c>
      <c r="C297" s="43">
        <f>Table134567891011121314151617343[[#This Row],[USA]]-B296</f>
        <v/>
      </c>
      <c r="D297" s="55">
        <f>(Table134567891011121314151617343[[#This Row],[USA]]/100 +1)^4-1</f>
        <v/>
      </c>
    </row>
    <row r="298" customFormat="1" s="74">
      <c r="A298" s="42" t="n">
        <v>44378</v>
      </c>
      <c r="B298" s="43">
        <f>VLOOKUP(A298,'Data qoq'!$B:$AT,MATCH($B$1,'Data qoq'!$B$1:$AT$1,0),FALSE)</f>
        <v/>
      </c>
      <c r="C298" s="43">
        <f>Table134567891011121314151617343[[#This Row],[USA]]-B297</f>
        <v/>
      </c>
      <c r="D298" s="55">
        <f>(Table134567891011121314151617343[[#This Row],[USA]]/100 +1)^4-1</f>
        <v/>
      </c>
    </row>
    <row r="299" customFormat="1" s="74">
      <c r="A299" s="42" t="n">
        <v>44470</v>
      </c>
      <c r="B299" s="43">
        <f>VLOOKUP(A299,'Data qoq'!$B:$AT,MATCH($B$1,'Data qoq'!$B$1:$AT$1,0),FALSE)</f>
        <v/>
      </c>
      <c r="C299" s="43">
        <f>Table134567891011121314151617343[[#This Row],[USA]]-B298</f>
        <v/>
      </c>
      <c r="D299" s="55">
        <f>(Table134567891011121314151617343[[#This Row],[USA]]/100 +1)^4-1</f>
        <v/>
      </c>
    </row>
    <row r="300" customFormat="1" s="74">
      <c r="A300" s="49" t="n"/>
      <c r="B300" s="50" t="n"/>
      <c r="C300" s="41" t="n"/>
      <c r="D300" s="56" t="n"/>
    </row>
    <row r="301" customFormat="1" s="74">
      <c r="A301" s="49" t="n"/>
      <c r="B301" s="50" t="n"/>
      <c r="C301" s="41" t="n"/>
      <c r="D301" s="56" t="n"/>
    </row>
    <row r="302" customFormat="1" s="74">
      <c r="A302" s="49" t="n"/>
      <c r="B302" s="50" t="n"/>
      <c r="C302" s="41" t="n"/>
      <c r="D302" s="56" t="n"/>
    </row>
    <row r="303" customFormat="1" s="74">
      <c r="A303" s="49" t="n"/>
      <c r="B303" s="50" t="n"/>
      <c r="C303" s="41" t="n"/>
      <c r="D303" s="56" t="n"/>
    </row>
    <row r="304" customFormat="1" s="74">
      <c r="A304" s="49" t="n"/>
      <c r="B304" s="50" t="n"/>
      <c r="C304" s="41" t="n"/>
      <c r="D304" s="56" t="n"/>
    </row>
    <row r="305" customFormat="1" s="74">
      <c r="A305" s="49" t="n"/>
      <c r="B305" s="50" t="n"/>
      <c r="C305" s="41" t="n"/>
      <c r="D305" s="56" t="n"/>
    </row>
    <row r="306" customFormat="1" s="74">
      <c r="A306" s="49" t="n"/>
      <c r="B306" s="50" t="n"/>
      <c r="C306" s="41" t="n"/>
      <c r="D306" s="56" t="n"/>
    </row>
    <row r="307" customFormat="1" s="74">
      <c r="A307" s="49" t="n"/>
      <c r="B307" s="50" t="n"/>
      <c r="C307" s="41" t="n"/>
      <c r="D307" s="56" t="n"/>
    </row>
    <row r="308" customFormat="1" s="74">
      <c r="A308" s="49" t="n"/>
      <c r="B308" s="50" t="n"/>
      <c r="C308" s="41" t="n"/>
      <c r="D308" s="56" t="n"/>
    </row>
    <row r="309" customFormat="1" s="74">
      <c r="A309" s="49" t="n"/>
      <c r="B309" s="50" t="n"/>
      <c r="C309" s="41" t="n"/>
      <c r="D309" s="56" t="n"/>
    </row>
    <row r="310" customFormat="1" s="74">
      <c r="A310" s="49" t="n"/>
      <c r="B310" s="50" t="n"/>
      <c r="C310" s="41" t="n"/>
      <c r="D310" s="56" t="n"/>
    </row>
    <row r="311" customFormat="1" s="74">
      <c r="A311" s="49" t="n"/>
      <c r="B311" s="50" t="n"/>
      <c r="C311" s="41" t="n"/>
      <c r="D311" s="56" t="n"/>
    </row>
    <row r="312" customFormat="1" s="74">
      <c r="A312" s="49" t="n"/>
      <c r="B312" s="50" t="n"/>
      <c r="C312" s="41" t="n"/>
      <c r="D312" s="56" t="n"/>
    </row>
    <row r="313" customFormat="1" s="74">
      <c r="A313" s="49" t="n"/>
      <c r="B313" s="50" t="n"/>
      <c r="C313" s="41" t="n"/>
      <c r="D313" s="56" t="n"/>
    </row>
    <row r="314" customFormat="1" s="74">
      <c r="A314" s="49" t="n"/>
      <c r="B314" s="50" t="n"/>
      <c r="C314" s="41" t="n"/>
      <c r="D314" s="56" t="n"/>
    </row>
    <row r="315" customFormat="1" s="74">
      <c r="A315" s="49" t="n"/>
      <c r="B315" s="50" t="n"/>
      <c r="C315" s="41" t="n"/>
      <c r="D315" s="56" t="n"/>
    </row>
    <row r="316" customFormat="1" s="74">
      <c r="A316" s="49" t="n"/>
      <c r="B316" s="50" t="n"/>
      <c r="C316" s="41" t="n"/>
      <c r="D316" s="56" t="n"/>
    </row>
    <row r="317" customFormat="1" s="74">
      <c r="A317" s="49" t="n"/>
      <c r="B317" s="50" t="n"/>
      <c r="C317" s="41" t="n"/>
      <c r="D317" s="56" t="n"/>
    </row>
    <row r="318" customFormat="1" s="74">
      <c r="A318" s="49" t="n"/>
      <c r="B318" s="50" t="n"/>
      <c r="C318" s="41" t="n"/>
      <c r="D318" s="56" t="n"/>
    </row>
    <row r="319" customFormat="1" s="74">
      <c r="A319" s="49" t="n"/>
      <c r="B319" s="50" t="n"/>
      <c r="C319" s="41" t="n"/>
      <c r="D319" s="56" t="n"/>
    </row>
    <row r="320" customFormat="1" s="74">
      <c r="A320" s="49" t="n"/>
      <c r="B320" s="50" t="n"/>
      <c r="C320" s="41" t="n"/>
      <c r="D320" s="56" t="n"/>
    </row>
    <row r="321" customFormat="1" s="74">
      <c r="A321" s="49" t="n"/>
      <c r="B321" s="50" t="n"/>
      <c r="C321" s="41" t="n"/>
      <c r="D321" s="56" t="n"/>
    </row>
    <row r="322" customFormat="1" s="74">
      <c r="A322" s="49" t="n"/>
      <c r="B322" s="50" t="n"/>
      <c r="C322" s="41" t="n"/>
      <c r="D322" s="56" t="n"/>
    </row>
    <row r="323" customFormat="1" s="74">
      <c r="A323" s="49" t="n"/>
      <c r="B323" s="50" t="n"/>
      <c r="C323" s="41" t="n"/>
      <c r="D323" s="56" t="n"/>
    </row>
    <row r="324" customFormat="1" s="74">
      <c r="A324" s="49" t="n"/>
      <c r="B324" s="50" t="n"/>
      <c r="C324" s="41" t="n"/>
      <c r="D324" s="56" t="n"/>
    </row>
    <row r="325" customFormat="1" s="74">
      <c r="A325" s="49" t="n"/>
      <c r="B325" s="50" t="n"/>
      <c r="C325" s="41" t="n"/>
      <c r="D325" s="56" t="n"/>
    </row>
    <row r="326" customFormat="1" s="74">
      <c r="A326" s="49" t="n"/>
      <c r="B326" s="50" t="n"/>
      <c r="C326" s="41" t="n"/>
      <c r="D326" s="56" t="n"/>
    </row>
    <row r="327" customFormat="1" s="74">
      <c r="A327" s="49" t="n"/>
      <c r="B327" s="50" t="n"/>
      <c r="C327" s="41" t="n"/>
      <c r="D327" s="56" t="n"/>
    </row>
    <row r="328" customFormat="1" s="74">
      <c r="A328" s="49" t="n"/>
      <c r="B328" s="50" t="n"/>
      <c r="C328" s="41" t="n"/>
      <c r="D328" s="56" t="n"/>
    </row>
    <row r="329" customFormat="1" s="74">
      <c r="A329" s="49" t="n"/>
      <c r="B329" s="50" t="n"/>
      <c r="C329" s="41" t="n"/>
      <c r="D329" s="56" t="n"/>
    </row>
    <row r="330" customFormat="1" s="74">
      <c r="A330" s="49" t="n"/>
      <c r="B330" s="50" t="n"/>
      <c r="C330" s="41" t="n"/>
      <c r="D330" s="56" t="n"/>
    </row>
    <row r="331" customFormat="1" s="74">
      <c r="A331" s="49" t="n"/>
      <c r="B331" s="50" t="n"/>
      <c r="C331" s="41" t="n"/>
      <c r="D331" s="56" t="n"/>
    </row>
    <row r="332" customFormat="1" s="74">
      <c r="A332" s="49" t="n"/>
      <c r="B332" s="50" t="n"/>
      <c r="C332" s="41" t="n"/>
      <c r="D332" s="56" t="n"/>
    </row>
    <row r="333" customFormat="1" s="74">
      <c r="A333" s="49" t="n"/>
      <c r="B333" s="50" t="n"/>
      <c r="C333" s="41" t="n"/>
      <c r="D333" s="56" t="n"/>
    </row>
    <row r="334" customFormat="1" s="74">
      <c r="A334" s="49" t="n"/>
      <c r="B334" s="50" t="n"/>
      <c r="C334" s="41" t="n"/>
      <c r="D334" s="56" t="n"/>
    </row>
    <row r="335" customFormat="1" s="74">
      <c r="A335" s="49" t="n"/>
      <c r="B335" s="50" t="n"/>
      <c r="C335" s="41" t="n"/>
      <c r="D335" s="56" t="n"/>
    </row>
    <row r="336" customFormat="1" s="74">
      <c r="A336" s="49" t="n"/>
      <c r="B336" s="50" t="n"/>
      <c r="C336" s="41" t="n"/>
      <c r="D336" s="56" t="n"/>
    </row>
    <row r="337" customFormat="1" s="74">
      <c r="A337" s="49" t="n"/>
      <c r="B337" s="50" t="n"/>
      <c r="C337" s="41" t="n"/>
      <c r="D337" s="56" t="n"/>
    </row>
    <row r="338" customFormat="1" s="74">
      <c r="A338" s="49" t="n"/>
      <c r="B338" s="50" t="n"/>
      <c r="C338" s="41" t="n"/>
      <c r="D338" s="56" t="n"/>
    </row>
    <row r="339" customFormat="1" s="74">
      <c r="A339" s="49" t="n"/>
      <c r="B339" s="50" t="n"/>
      <c r="C339" s="41" t="n"/>
      <c r="D339" s="56" t="n"/>
    </row>
    <row r="340" customFormat="1" s="74">
      <c r="A340" s="49" t="n"/>
      <c r="B340" s="50" t="n"/>
      <c r="C340" s="41" t="n"/>
      <c r="D340" s="56" t="n"/>
    </row>
    <row r="341" customFormat="1" s="74">
      <c r="A341" s="49" t="n"/>
      <c r="B341" s="50" t="n"/>
      <c r="C341" s="41" t="n"/>
      <c r="D341" s="56" t="n"/>
    </row>
    <row r="342" customFormat="1" s="74">
      <c r="A342" s="49" t="n"/>
      <c r="B342" s="50" t="n"/>
      <c r="C342" s="41" t="n"/>
      <c r="D342" s="56" t="n"/>
    </row>
    <row r="343" customFormat="1" s="74">
      <c r="A343" s="49" t="n"/>
      <c r="B343" s="50" t="n"/>
      <c r="C343" s="41" t="n"/>
      <c r="D343" s="56" t="n"/>
    </row>
    <row r="344" customFormat="1" s="74">
      <c r="A344" s="49" t="n"/>
      <c r="B344" s="50" t="n"/>
      <c r="C344" s="41" t="n"/>
      <c r="D344" s="56" t="n"/>
    </row>
    <row r="345" customFormat="1" s="74">
      <c r="A345" s="49" t="n"/>
      <c r="B345" s="50" t="n"/>
      <c r="C345" s="41" t="n"/>
      <c r="D345" s="56" t="n"/>
    </row>
    <row r="346" customFormat="1" s="74">
      <c r="A346" s="49" t="n"/>
      <c r="B346" s="50" t="n"/>
      <c r="C346" s="41" t="n"/>
      <c r="D346" s="56" t="n"/>
    </row>
    <row r="347" customFormat="1" s="74">
      <c r="A347" s="49" t="n"/>
      <c r="B347" s="50" t="n"/>
      <c r="C347" s="41" t="n"/>
      <c r="D347" s="56" t="n"/>
    </row>
    <row r="348" customFormat="1" s="74">
      <c r="A348" s="49" t="n"/>
      <c r="B348" s="50" t="n"/>
      <c r="C348" s="41" t="n"/>
      <c r="D348" s="56" t="n"/>
    </row>
    <row r="349" customFormat="1" s="74">
      <c r="A349" s="49" t="n"/>
      <c r="B349" s="50" t="n"/>
      <c r="C349" s="41" t="n"/>
      <c r="D349" s="56" t="n"/>
    </row>
    <row r="350" customFormat="1" s="74">
      <c r="A350" s="49" t="n"/>
      <c r="B350" s="50" t="n"/>
      <c r="C350" s="41" t="n"/>
      <c r="D350" s="56" t="n"/>
    </row>
    <row r="351" customFormat="1" s="74">
      <c r="A351" s="49" t="n"/>
      <c r="B351" s="50" t="n"/>
      <c r="C351" s="41" t="n"/>
      <c r="D351" s="56" t="n"/>
    </row>
    <row r="352" customFormat="1" s="74">
      <c r="A352" s="49" t="n"/>
      <c r="B352" s="50" t="n"/>
      <c r="C352" s="41" t="n"/>
      <c r="D352" s="56" t="n"/>
    </row>
    <row r="353" customFormat="1" s="74">
      <c r="A353" s="49" t="n"/>
      <c r="B353" s="50" t="n"/>
      <c r="C353" s="41" t="n"/>
      <c r="D353" s="56" t="n"/>
    </row>
    <row r="354" customFormat="1" s="74">
      <c r="A354" s="49" t="n"/>
      <c r="B354" s="50" t="n"/>
      <c r="C354" s="41" t="n"/>
      <c r="D354" s="56" t="n"/>
    </row>
    <row r="355" customFormat="1" s="74">
      <c r="A355" s="49" t="n"/>
      <c r="B355" s="50" t="n"/>
      <c r="C355" s="41" t="n"/>
      <c r="D355" s="56" t="n"/>
    </row>
    <row r="356" customFormat="1" s="74">
      <c r="A356" s="49" t="n"/>
      <c r="B356" s="50" t="n"/>
      <c r="C356" s="41" t="n"/>
      <c r="D356" s="56" t="n"/>
    </row>
    <row r="357" customFormat="1" s="74">
      <c r="A357" s="49" t="n"/>
      <c r="B357" s="50" t="n"/>
      <c r="C357" s="41" t="n"/>
      <c r="D357" s="56" t="n"/>
    </row>
    <row r="358" customFormat="1" s="74">
      <c r="A358" s="49" t="n"/>
      <c r="B358" s="50" t="n"/>
      <c r="C358" s="41" t="n"/>
      <c r="D358" s="56" t="n"/>
    </row>
    <row r="359" customFormat="1" s="74">
      <c r="A359" s="49" t="n"/>
      <c r="B359" s="50" t="n"/>
      <c r="C359" s="41" t="n"/>
      <c r="D359" s="56" t="n"/>
    </row>
    <row r="360" customFormat="1" s="74">
      <c r="A360" s="49" t="n"/>
      <c r="B360" s="50" t="n"/>
      <c r="C360" s="41" t="n"/>
      <c r="D360" s="56" t="n"/>
    </row>
    <row r="361" customFormat="1" s="74">
      <c r="A361" s="49" t="n"/>
      <c r="B361" s="50" t="n"/>
      <c r="C361" s="41" t="n"/>
      <c r="D361" s="56" t="n"/>
    </row>
    <row r="362" customFormat="1" s="74">
      <c r="A362" s="49" t="n"/>
      <c r="B362" s="50" t="n"/>
      <c r="C362" s="41" t="n"/>
      <c r="D362" s="56" t="n"/>
    </row>
    <row r="363" customFormat="1" s="74">
      <c r="A363" s="49" t="n"/>
      <c r="B363" s="50" t="n"/>
      <c r="C363" s="41" t="n"/>
      <c r="D363" s="56" t="n"/>
    </row>
    <row r="364" customFormat="1" s="74">
      <c r="A364" s="49" t="n"/>
      <c r="B364" s="50" t="n"/>
      <c r="C364" s="41" t="n"/>
      <c r="D364" s="56" t="n"/>
    </row>
    <row r="365" customFormat="1" s="74">
      <c r="A365" s="49" t="n"/>
      <c r="B365" s="50" t="n"/>
      <c r="C365" s="41" t="n"/>
      <c r="D365" s="56" t="n"/>
    </row>
    <row r="366" customFormat="1" s="74">
      <c r="A366" s="49" t="n"/>
      <c r="B366" s="50" t="n"/>
      <c r="C366" s="41" t="n"/>
      <c r="D366" s="56" t="n"/>
    </row>
    <row r="367" customFormat="1" s="74">
      <c r="A367" s="49" t="n"/>
      <c r="B367" s="50" t="n"/>
      <c r="C367" s="41" t="n"/>
      <c r="D367" s="56" t="n"/>
    </row>
    <row r="368" customFormat="1" s="74">
      <c r="A368" s="49" t="n"/>
      <c r="B368" s="50" t="n"/>
      <c r="C368" s="41" t="n"/>
      <c r="D368" s="56" t="n"/>
    </row>
    <row r="369" customFormat="1" s="74">
      <c r="A369" s="49" t="n"/>
      <c r="B369" s="50" t="n"/>
      <c r="C369" s="41" t="n"/>
      <c r="D369" s="56" t="n"/>
    </row>
    <row r="370" customFormat="1" s="74">
      <c r="A370" s="49" t="n"/>
      <c r="B370" s="50" t="n"/>
      <c r="C370" s="41" t="n"/>
      <c r="D370" s="56" t="n"/>
    </row>
    <row r="371" customFormat="1" s="74">
      <c r="A371" s="49" t="n"/>
      <c r="B371" s="50" t="n"/>
      <c r="C371" s="41" t="n"/>
      <c r="D371" s="56" t="n"/>
    </row>
    <row r="372" customFormat="1" s="74">
      <c r="A372" s="49" t="n"/>
      <c r="B372" s="50" t="n"/>
      <c r="C372" s="41" t="n"/>
      <c r="D372" s="56" t="n"/>
    </row>
    <row r="373" customFormat="1" s="74">
      <c r="A373" s="49" t="n"/>
      <c r="B373" s="50" t="n"/>
      <c r="C373" s="41" t="n"/>
      <c r="D373" s="56" t="n"/>
    </row>
    <row r="374" customFormat="1" s="74">
      <c r="A374" s="49" t="n"/>
      <c r="B374" s="50" t="n"/>
      <c r="C374" s="41" t="n"/>
      <c r="D374" s="56" t="n"/>
    </row>
    <row r="375" customFormat="1" s="74">
      <c r="A375" s="49" t="n"/>
      <c r="B375" s="50" t="n"/>
      <c r="C375" s="41" t="n"/>
      <c r="D375" s="56" t="n"/>
    </row>
    <row r="376" customFormat="1" s="74">
      <c r="A376" s="49" t="n"/>
      <c r="B376" s="50" t="n"/>
      <c r="C376" s="41" t="n"/>
      <c r="D376" s="56" t="n"/>
    </row>
    <row r="377" customFormat="1" s="74">
      <c r="A377" s="49" t="n"/>
      <c r="B377" s="50" t="n"/>
      <c r="C377" s="41" t="n"/>
      <c r="D377" s="56" t="n"/>
    </row>
    <row r="378" customFormat="1" s="74">
      <c r="A378" s="49" t="n"/>
      <c r="B378" s="50" t="n"/>
      <c r="C378" s="41" t="n"/>
      <c r="D378" s="56" t="n"/>
    </row>
    <row r="379" customFormat="1" s="74">
      <c r="A379" s="49" t="n"/>
      <c r="B379" s="50" t="n"/>
      <c r="C379" s="41" t="n"/>
      <c r="D379" s="56" t="n"/>
    </row>
    <row r="380" customFormat="1" s="74">
      <c r="A380" s="49" t="n"/>
      <c r="B380" s="50" t="n"/>
      <c r="C380" s="41" t="n"/>
      <c r="D380" s="56" t="n"/>
    </row>
    <row r="381" customFormat="1" s="74">
      <c r="A381" s="49" t="n"/>
      <c r="B381" s="50" t="n"/>
      <c r="C381" s="41" t="n"/>
      <c r="D381" s="56" t="n"/>
    </row>
    <row r="382" customFormat="1" s="74">
      <c r="A382" s="49" t="n"/>
      <c r="B382" s="50" t="n"/>
      <c r="C382" s="41" t="n"/>
      <c r="D382" s="56" t="n"/>
    </row>
    <row r="383" customFormat="1" s="74">
      <c r="A383" s="49" t="n"/>
      <c r="B383" s="50" t="n"/>
      <c r="C383" s="41" t="n"/>
      <c r="D383" s="56" t="n"/>
    </row>
    <row r="384" customFormat="1" s="74">
      <c r="A384" s="49" t="n"/>
      <c r="B384" s="50" t="n"/>
      <c r="C384" s="41" t="n"/>
      <c r="D384" s="56" t="n"/>
    </row>
    <row r="385" customFormat="1" s="74">
      <c r="A385" s="49" t="n"/>
      <c r="B385" s="50" t="n"/>
      <c r="C385" s="41" t="n"/>
      <c r="D385" s="56" t="n"/>
    </row>
    <row r="386" customFormat="1" s="74">
      <c r="A386" s="49" t="n"/>
      <c r="B386" s="50" t="n"/>
      <c r="C386" s="41" t="n"/>
      <c r="D386" s="56" t="n"/>
    </row>
    <row r="387" customFormat="1" s="74">
      <c r="A387" s="49" t="n"/>
      <c r="B387" s="50" t="n"/>
      <c r="C387" s="41" t="n"/>
      <c r="D387" s="56" t="n"/>
    </row>
    <row r="388" customFormat="1" s="74">
      <c r="A388" s="49" t="n"/>
      <c r="B388" s="50" t="n"/>
      <c r="C388" s="41" t="n"/>
      <c r="D388" s="56" t="n"/>
    </row>
    <row r="389" customFormat="1" s="74">
      <c r="A389" s="49" t="n"/>
      <c r="B389" s="50" t="n"/>
      <c r="C389" s="41" t="n"/>
      <c r="D389" s="56" t="n"/>
    </row>
    <row r="390" customFormat="1" s="74">
      <c r="A390" s="49" t="n"/>
      <c r="B390" s="50" t="n"/>
      <c r="C390" s="41" t="n"/>
      <c r="D390" s="56" t="n"/>
    </row>
    <row r="391" customFormat="1" s="74">
      <c r="A391" s="49" t="n"/>
      <c r="B391" s="50" t="n"/>
      <c r="C391" s="41" t="n"/>
      <c r="D391" s="56" t="n"/>
    </row>
    <row r="392" customFormat="1" s="74">
      <c r="A392" s="49" t="n"/>
      <c r="B392" s="50" t="n"/>
      <c r="C392" s="41" t="n"/>
      <c r="D392" s="56" t="n"/>
    </row>
    <row r="393" customFormat="1" s="74">
      <c r="A393" s="49" t="n"/>
      <c r="B393" s="50" t="n"/>
      <c r="C393" s="41" t="n"/>
      <c r="D393" s="56" t="n"/>
    </row>
    <row r="394" customFormat="1" s="74">
      <c r="A394" s="49" t="n"/>
      <c r="B394" s="50" t="n"/>
      <c r="C394" s="41" t="n"/>
      <c r="D394" s="56" t="n"/>
    </row>
    <row r="395" customFormat="1" s="74">
      <c r="A395" s="49" t="n"/>
      <c r="B395" s="50" t="n"/>
      <c r="C395" s="41" t="n"/>
      <c r="D395" s="56" t="n"/>
    </row>
    <row r="396" customFormat="1" s="74">
      <c r="A396" s="49" t="n"/>
      <c r="B396" s="50" t="n"/>
      <c r="C396" s="41" t="n"/>
      <c r="D396" s="56" t="n"/>
    </row>
    <row r="397" customFormat="1" s="74">
      <c r="A397" s="49" t="n"/>
      <c r="B397" s="50" t="n"/>
      <c r="C397" s="41" t="n"/>
      <c r="D397" s="56" t="n"/>
    </row>
    <row r="398" customFormat="1" s="74">
      <c r="A398" s="49" t="n"/>
      <c r="B398" s="50" t="n"/>
      <c r="C398" s="41" t="n"/>
      <c r="D398" s="56" t="n"/>
    </row>
    <row r="399" customFormat="1" s="74">
      <c r="A399" s="49" t="n"/>
      <c r="B399" s="50" t="n"/>
      <c r="C399" s="41" t="n"/>
      <c r="D399" s="56" t="n"/>
    </row>
    <row r="400" customFormat="1" s="74">
      <c r="A400" s="49" t="n"/>
      <c r="B400" s="50" t="n"/>
      <c r="C400" s="41" t="n"/>
      <c r="D400" s="56" t="n"/>
    </row>
    <row r="401" customFormat="1" s="74">
      <c r="A401" s="49" t="n"/>
      <c r="B401" s="50" t="n"/>
      <c r="C401" s="41" t="n"/>
      <c r="D401" s="56" t="n"/>
    </row>
    <row r="402" customFormat="1" s="74">
      <c r="A402" s="49" t="n"/>
      <c r="B402" s="50" t="n"/>
      <c r="C402" s="41" t="n"/>
      <c r="D402" s="56" t="n"/>
    </row>
    <row r="403" customFormat="1" s="74">
      <c r="A403" s="49" t="n"/>
      <c r="B403" s="50" t="n"/>
      <c r="C403" s="41" t="n"/>
      <c r="D403" s="56" t="n"/>
    </row>
    <row r="404" customFormat="1" s="74">
      <c r="A404" s="49" t="n"/>
      <c r="B404" s="50" t="n"/>
      <c r="C404" s="41" t="n"/>
      <c r="D404" s="56" t="n"/>
    </row>
    <row r="405" customFormat="1" s="74">
      <c r="A405" s="49" t="n"/>
      <c r="B405" s="50" t="n"/>
      <c r="C405" s="41" t="n"/>
      <c r="D405" s="56" t="n"/>
    </row>
    <row r="406" customFormat="1" s="74">
      <c r="A406" s="49" t="n"/>
      <c r="B406" s="50" t="n"/>
      <c r="C406" s="41" t="n"/>
      <c r="D406" s="56" t="n"/>
    </row>
    <row r="407" customFormat="1" s="74">
      <c r="A407" s="49" t="n"/>
      <c r="B407" s="50" t="n"/>
      <c r="C407" s="41" t="n"/>
      <c r="D407" s="56" t="n"/>
    </row>
    <row r="408" customFormat="1" s="74">
      <c r="A408" s="49" t="n"/>
      <c r="B408" s="50" t="n"/>
      <c r="C408" s="41" t="n"/>
      <c r="D408" s="56" t="n"/>
    </row>
    <row r="409" customFormat="1" s="74">
      <c r="A409" s="49" t="n"/>
      <c r="B409" s="50" t="n"/>
      <c r="C409" s="41" t="n"/>
      <c r="D409" s="56" t="n"/>
    </row>
    <row r="410" customFormat="1" s="74">
      <c r="A410" s="49" t="n"/>
      <c r="B410" s="50" t="n"/>
      <c r="C410" s="41" t="n"/>
      <c r="D410" s="56" t="n"/>
    </row>
    <row r="411" customFormat="1" s="74">
      <c r="A411" s="49" t="n"/>
      <c r="B411" s="50" t="n"/>
      <c r="C411" s="41" t="n"/>
      <c r="D411" s="56" t="n"/>
    </row>
    <row r="412" customFormat="1" s="74">
      <c r="A412" s="49" t="n"/>
      <c r="B412" s="50" t="n"/>
      <c r="C412" s="41" t="n"/>
      <c r="D412" s="56" t="n"/>
    </row>
    <row r="413" customFormat="1" s="74">
      <c r="A413" s="49" t="n"/>
      <c r="B413" s="50" t="n"/>
      <c r="C413" s="41" t="n"/>
      <c r="D413" s="56" t="n"/>
    </row>
    <row r="414" customFormat="1" s="74">
      <c r="A414" s="49" t="n"/>
      <c r="B414" s="50" t="n"/>
      <c r="C414" s="41" t="n"/>
      <c r="D414" s="56" t="n"/>
    </row>
    <row r="415" customFormat="1" s="74">
      <c r="A415" s="49" t="n"/>
      <c r="B415" s="50" t="n"/>
      <c r="C415" s="41" t="n"/>
      <c r="D415" s="56" t="n"/>
    </row>
    <row r="416" customFormat="1" s="74">
      <c r="A416" s="49" t="n"/>
      <c r="B416" s="50" t="n"/>
      <c r="C416" s="41" t="n"/>
      <c r="D416" s="56" t="n"/>
    </row>
    <row r="417" customFormat="1" s="74">
      <c r="A417" s="49" t="n"/>
      <c r="B417" s="50" t="n"/>
      <c r="C417" s="41" t="n"/>
      <c r="D417" s="56" t="n"/>
    </row>
    <row r="418" customFormat="1" s="74">
      <c r="A418" s="49" t="n"/>
      <c r="B418" s="50" t="n"/>
      <c r="C418" s="41" t="n"/>
      <c r="D418" s="56" t="n"/>
    </row>
    <row r="419" customFormat="1" s="74">
      <c r="A419" s="49" t="n"/>
      <c r="B419" s="50" t="n"/>
      <c r="C419" s="41" t="n"/>
      <c r="D419" s="56" t="n"/>
    </row>
    <row r="420" customFormat="1" s="74">
      <c r="A420" s="49" t="n"/>
      <c r="B420" s="50" t="n"/>
      <c r="C420" s="41" t="n"/>
      <c r="D420" s="56" t="n"/>
    </row>
    <row r="421" customFormat="1" s="74">
      <c r="A421" s="49" t="n"/>
      <c r="B421" s="50" t="n"/>
      <c r="C421" s="41" t="n"/>
      <c r="D421" s="56" t="n"/>
    </row>
    <row r="422" customFormat="1" s="74">
      <c r="A422" s="49" t="n"/>
      <c r="B422" s="50" t="n"/>
      <c r="C422" s="41" t="n"/>
      <c r="D422" s="56" t="n"/>
    </row>
    <row r="423" customFormat="1" s="74">
      <c r="A423" s="49" t="n"/>
      <c r="B423" s="50" t="n"/>
      <c r="C423" s="41" t="n"/>
      <c r="D423" s="56" t="n"/>
    </row>
    <row r="424" customFormat="1" s="74">
      <c r="A424" s="49" t="n"/>
      <c r="B424" s="50" t="n"/>
      <c r="C424" s="41" t="n"/>
      <c r="D424" s="56" t="n"/>
    </row>
    <row r="425" customFormat="1" s="74">
      <c r="A425" s="49" t="n"/>
      <c r="B425" s="50" t="n"/>
      <c r="C425" s="41" t="n"/>
      <c r="D425" s="56" t="n"/>
    </row>
    <row r="426" customFormat="1" s="74">
      <c r="A426" s="49" t="n"/>
      <c r="B426" s="50" t="n"/>
      <c r="C426" s="41" t="n"/>
      <c r="D426" s="56" t="n"/>
    </row>
    <row r="427" customFormat="1" s="74">
      <c r="A427" s="49" t="n"/>
      <c r="B427" s="50" t="n"/>
      <c r="C427" s="41" t="n"/>
      <c r="D427" s="56" t="n"/>
    </row>
    <row r="428" customFormat="1" s="74">
      <c r="A428" s="49" t="n"/>
      <c r="B428" s="50" t="n"/>
      <c r="C428" s="41" t="n"/>
      <c r="D428" s="56" t="n"/>
    </row>
    <row r="429" customFormat="1" s="74">
      <c r="A429" s="49" t="n"/>
      <c r="B429" s="50" t="n"/>
      <c r="C429" s="41" t="n"/>
      <c r="D429" s="56" t="n"/>
    </row>
    <row r="430" customFormat="1" s="74">
      <c r="A430" s="49" t="n"/>
      <c r="B430" s="50" t="n"/>
      <c r="C430" s="41" t="n"/>
      <c r="D430" s="56" t="n"/>
    </row>
    <row r="431" customFormat="1" s="74">
      <c r="A431" s="49" t="n"/>
      <c r="B431" s="50" t="n"/>
      <c r="C431" s="41" t="n"/>
      <c r="D431" s="56" t="n"/>
    </row>
    <row r="432">
      <c r="A432" s="38" t="n"/>
    </row>
    <row r="433">
      <c r="A433" s="38" t="n"/>
    </row>
    <row r="434">
      <c r="A434" s="38" t="n"/>
    </row>
    <row r="435">
      <c r="A435" s="38" t="n"/>
    </row>
  </sheetData>
  <conditionalFormatting sqref="D232:D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2019-09-02T12:09:42Z</dcterms:created>
  <dcterms:modified xmlns:dcterms="http://purl.org/dc/terms/" xmlns:xsi="http://www.w3.org/2001/XMLSchema-instance" xsi:type="dcterms:W3CDTF">2021-12-24T08:20:42Z</dcterms:modified>
  <cp:lastModifiedBy>Mark Mukherjee</cp:lastModifiedBy>
</cp:coreProperties>
</file>