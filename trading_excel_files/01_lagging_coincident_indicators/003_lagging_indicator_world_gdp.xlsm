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pt idx="200">
                  <v>5.531736362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pt idx="200">
                  <v>1.679094392</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pt idx="60">
                  <v>0.06887440582681625</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0" headerRowCount="1" totalsRowShown="0" headerRowDxfId="10" dataDxfId="9">
  <autoFilter ref="A1:C300"/>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0" headerRowCount="1" totalsRowShown="0" headerRowDxfId="5" dataDxfId="4">
  <autoFilter ref="A1:D300"/>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7"/>
    <col width="9.1640625" customWidth="1" style="74" min="28"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62"/>
    <col width="9.1640625" customWidth="1" style="68" min="63"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C300" t="n">
        <v>1.549841884</v>
      </c>
      <c r="D300" t="n">
        <v>3.426812884</v>
      </c>
      <c r="E300" t="n">
        <v>-2.221334829</v>
      </c>
      <c r="F300" t="n">
        <v>0.504809392</v>
      </c>
      <c r="G300" t="n">
        <v>0.544195167</v>
      </c>
      <c r="H300" t="n">
        <v>1.600008023</v>
      </c>
      <c r="I300" t="n">
        <v>0.285262675</v>
      </c>
      <c r="J300" t="n">
        <v>1.820110121</v>
      </c>
      <c r="K300" t="n">
        <v>1.6</v>
      </c>
      <c r="L300" t="n">
        <v>0.899968903</v>
      </c>
      <c r="M300" t="n">
        <v>-0.731986727</v>
      </c>
      <c r="N300" t="n">
        <v>1.100008259</v>
      </c>
      <c r="O300" t="n">
        <v>0.294477</v>
      </c>
      <c r="P300" t="n">
        <v>2.011580755</v>
      </c>
      <c r="Q300" t="n">
        <v>1.766512983</v>
      </c>
      <c r="R300" t="n">
        <v>0.428945</v>
      </c>
      <c r="S300" t="n">
        <v>0.607777492</v>
      </c>
      <c r="T300" t="n">
        <v>0.71059852</v>
      </c>
      <c r="U300" t="n">
        <v>1.171356</v>
      </c>
      <c r="V300" t="n">
        <v>0.963245341</v>
      </c>
      <c r="W300" t="n">
        <v>0.423738482</v>
      </c>
      <c r="X300" t="n">
        <v>2.100002401</v>
      </c>
      <c r="Y300" t="n">
        <v>1.8396</v>
      </c>
      <c r="Z300" t="n">
        <v>-5.362431683</v>
      </c>
      <c r="AA300" t="n">
        <v>2.226395248</v>
      </c>
      <c r="AB300" t="n">
        <v>3.913467602</v>
      </c>
      <c r="AC300" t="n">
        <v>0.612598122</v>
      </c>
      <c r="AD300" t="n">
        <v>1.321551523</v>
      </c>
      <c r="AE300" t="n">
        <v>1.118547956</v>
      </c>
      <c r="AF300" t="n">
        <v>0.512538741</v>
      </c>
      <c r="AG300" t="n">
        <v>-0.103574205</v>
      </c>
      <c r="AH300" t="n">
        <v>0.999489277</v>
      </c>
      <c r="AI300" t="n">
        <v>0.927153127</v>
      </c>
      <c r="AJ300" t="n">
        <v>0.069559206</v>
      </c>
      <c r="AK300" t="n">
        <v>3.005064372</v>
      </c>
      <c r="AL300" t="n">
        <v>1.2</v>
      </c>
      <c r="AM300" t="n">
        <v>1.700000006</v>
      </c>
      <c r="AN300" t="n">
        <v>1.600006732</v>
      </c>
      <c r="AP300" t="n">
        <v>0.337460253</v>
      </c>
      <c r="AQ300" t="n">
        <v>5.366343876</v>
      </c>
      <c r="AR300" t="n">
        <v>1.400036967</v>
      </c>
      <c r="AS300" t="n">
        <v>1.510970702</v>
      </c>
      <c r="AT300" t="n">
        <v>1.679094392</v>
      </c>
      <c r="AU300" t="n">
        <v>1.163438831</v>
      </c>
    </row>
    <row r="301">
      <c r="A301" t="inlineStr">
        <is>
          <t>2022-Q1</t>
        </is>
      </c>
      <c r="B301" s="87" t="n">
        <v>44652</v>
      </c>
      <c r="D301" t="n">
        <v>0.754403551</v>
      </c>
      <c r="E301" t="n">
        <v>2.540250896</v>
      </c>
      <c r="F301" t="n">
        <v>0.333295226</v>
      </c>
      <c r="G301" t="n">
        <v>0.996078394</v>
      </c>
      <c r="H301" t="n">
        <v>1.400004705</v>
      </c>
      <c r="I301" t="n">
        <v>0.476612281</v>
      </c>
      <c r="J301" t="n">
        <v>-0.762510553</v>
      </c>
      <c r="K301" t="n">
        <v>1.3</v>
      </c>
      <c r="L301" t="n">
        <v>0.699990862</v>
      </c>
      <c r="M301" t="n">
        <v>0.197742042</v>
      </c>
      <c r="N301" t="n">
        <v>-0.099863771</v>
      </c>
      <c r="O301" t="n">
        <v>0.189099</v>
      </c>
      <c r="P301" t="n">
        <v>0.322286957</v>
      </c>
      <c r="Q301" t="n">
        <v>0.08781096400000001</v>
      </c>
      <c r="R301" t="n">
        <v>0.392566</v>
      </c>
      <c r="S301" t="n">
        <v>0.441553589</v>
      </c>
      <c r="T301" t="n">
        <v>-0.0472544</v>
      </c>
      <c r="U301" t="n">
        <v>-0.09872300000000001</v>
      </c>
      <c r="V301" t="n">
        <v>0.751223416</v>
      </c>
      <c r="X301" t="n">
        <v>2.09999708</v>
      </c>
      <c r="Y301" t="n">
        <v>0.75499</v>
      </c>
      <c r="Z301" t="n">
        <v>10.849862417</v>
      </c>
      <c r="AA301" t="n">
        <v>1.106165939</v>
      </c>
      <c r="AB301" t="n">
        <v>-0.412984578</v>
      </c>
      <c r="AC301" t="n">
        <v>-0.164189413</v>
      </c>
      <c r="AD301" t="n">
        <v>-0.246936474</v>
      </c>
      <c r="AE301" t="n">
        <v>0.732000112</v>
      </c>
      <c r="AF301" t="n">
        <v>1.247036304</v>
      </c>
      <c r="AG301" t="n">
        <v>2.099321344</v>
      </c>
      <c r="AH301" t="n">
        <v>1.237696969</v>
      </c>
      <c r="AI301" t="n">
        <v>0.026801524</v>
      </c>
      <c r="AJ301" t="n">
        <v>-0.966770209</v>
      </c>
      <c r="AL301" t="n">
        <v>0.1</v>
      </c>
      <c r="AM301" t="n">
        <v>2.465744638</v>
      </c>
      <c r="AN301" t="n">
        <v>2.6</v>
      </c>
      <c r="AP301" t="n">
        <v>0.360030805</v>
      </c>
      <c r="AQ301" t="n">
        <v>0.7987754929999999</v>
      </c>
      <c r="AR301" t="n">
        <v>-0.425856796</v>
      </c>
      <c r="AS301" t="n">
        <v>1.200618334</v>
      </c>
      <c r="AT301" t="n">
        <v>-0.355417395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4"/>
    <col width="9.1640625" customWidth="1" style="68" min="55"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C300" t="n">
        <v>8.438045628999999</v>
      </c>
      <c r="D300" t="n">
        <v>4.197186304</v>
      </c>
      <c r="E300" t="n">
        <v>5.375035814</v>
      </c>
      <c r="F300" t="n">
        <v>5.624878053</v>
      </c>
      <c r="G300" t="n">
        <v>1.563602225</v>
      </c>
      <c r="H300" t="n">
        <v>3.364372007</v>
      </c>
      <c r="I300" t="n">
        <v>3.940940974</v>
      </c>
      <c r="J300" t="n">
        <v>11.778259595</v>
      </c>
      <c r="K300" t="n">
        <v>4</v>
      </c>
      <c r="L300" t="n">
        <v>3.385131794</v>
      </c>
      <c r="M300" t="n">
        <v>1.375282927</v>
      </c>
      <c r="N300" t="n">
        <v>3.877064279</v>
      </c>
      <c r="O300" t="n">
        <v>4.607040264</v>
      </c>
      <c r="P300" t="n">
        <v>5.233834699</v>
      </c>
      <c r="Q300" t="n">
        <v>8.804094873</v>
      </c>
      <c r="R300" t="n">
        <v>4.750314814</v>
      </c>
      <c r="T300" t="n">
        <v>3.768305856</v>
      </c>
      <c r="U300" t="n">
        <v>5.420140196</v>
      </c>
      <c r="V300" t="n">
        <v>4.479742246</v>
      </c>
      <c r="X300" t="n">
        <v>6.460175987</v>
      </c>
      <c r="Y300" t="n">
        <v>7.659610819</v>
      </c>
      <c r="Z300" t="n">
        <v>7.179939198</v>
      </c>
      <c r="AA300" t="n">
        <v>4.87505</v>
      </c>
      <c r="AB300" t="n">
        <v>9.997674557</v>
      </c>
      <c r="AC300" t="n">
        <v>3.927250623</v>
      </c>
      <c r="AD300" t="n">
        <v>9.220314215</v>
      </c>
      <c r="AE300" t="n">
        <v>6.396497393</v>
      </c>
      <c r="AF300" t="n">
        <v>0.685472495</v>
      </c>
      <c r="AG300" t="n">
        <v>3.993905937</v>
      </c>
      <c r="AH300" t="n">
        <v>4.818085012</v>
      </c>
      <c r="AI300" t="n">
        <v>3.481113483</v>
      </c>
      <c r="AJ300" t="n">
        <v>2.747212204</v>
      </c>
      <c r="AK300" t="n">
        <v>6.094782145</v>
      </c>
      <c r="AL300" t="n">
        <v>4.803623724</v>
      </c>
      <c r="AM300" t="n">
        <v>3.118318979</v>
      </c>
      <c r="AN300" t="n">
        <v>4.9</v>
      </c>
      <c r="AO300" t="n">
        <v>7.606392655</v>
      </c>
      <c r="AP300" t="n">
        <v>5.770635482</v>
      </c>
      <c r="AR300" t="n">
        <v>1.135402184</v>
      </c>
      <c r="AS300" t="n">
        <v>10.510873512</v>
      </c>
      <c r="AT300" t="n">
        <v>5.871456886</v>
      </c>
      <c r="AU300" t="n">
        <v>8.426259075999999</v>
      </c>
      <c r="AV300" t="n">
        <v>5.531736362</v>
      </c>
      <c r="AW300" t="n">
        <v>1.774554255</v>
      </c>
    </row>
    <row r="301">
      <c r="A301" t="inlineStr">
        <is>
          <t>2022-Q1</t>
        </is>
      </c>
      <c r="B301" s="87" t="n">
        <v>44652</v>
      </c>
      <c r="D301" t="n">
        <v>3.34632484</v>
      </c>
      <c r="E301" t="n">
        <v>8.729846415000001</v>
      </c>
      <c r="F301" t="n">
        <v>4.639879669</v>
      </c>
      <c r="G301" t="n">
        <v>1.509197968</v>
      </c>
      <c r="H301" t="n">
        <v>3.495231047</v>
      </c>
      <c r="I301" t="n">
        <v>4.541366619</v>
      </c>
      <c r="J301" t="n">
        <v>6.880497804</v>
      </c>
      <c r="K301" t="n">
        <v>4.8</v>
      </c>
      <c r="L301" t="n">
        <v>4.607517712</v>
      </c>
      <c r="M301" t="n">
        <v>3.72356387</v>
      </c>
      <c r="N301" t="n">
        <v>6.779693318</v>
      </c>
      <c r="O301" t="n">
        <v>5.004850824</v>
      </c>
      <c r="P301" t="n">
        <v>6.41140033</v>
      </c>
      <c r="Q301" t="n">
        <v>4.686746666</v>
      </c>
      <c r="R301" t="n">
        <v>5.192628542</v>
      </c>
      <c r="T301" t="n">
        <v>4.007808104</v>
      </c>
      <c r="U301" t="n">
        <v>5.287593823</v>
      </c>
      <c r="V301" t="n">
        <v>3.827307843</v>
      </c>
      <c r="X301" t="n">
        <v>8.714465841000001</v>
      </c>
      <c r="Z301" t="n">
        <v>7.470812627</v>
      </c>
      <c r="AA301" t="n">
        <v>4.06287</v>
      </c>
      <c r="AB301" t="n">
        <v>11.293798133</v>
      </c>
      <c r="AC301" t="n">
        <v>7.27664664</v>
      </c>
      <c r="AD301" t="n">
        <v>9.019135861000001</v>
      </c>
      <c r="AE301" t="n">
        <v>5.750091785</v>
      </c>
      <c r="AF301" t="n">
        <v>0.464318138</v>
      </c>
      <c r="AG301" t="n">
        <v>3.068754229</v>
      </c>
      <c r="AH301" t="n">
        <v>4.016169704</v>
      </c>
      <c r="AI301" t="n">
        <v>4.415443241</v>
      </c>
      <c r="AJ301" t="n">
        <v>1.600001818</v>
      </c>
      <c r="AK301" t="n">
        <v>6.96156338</v>
      </c>
      <c r="AL301" t="n">
        <v>3.727841006</v>
      </c>
      <c r="AN301" t="n">
        <v>4.2</v>
      </c>
      <c r="AO301" t="n">
        <v>9.163820548</v>
      </c>
      <c r="AP301" t="n">
        <v>11.88150185</v>
      </c>
      <c r="AR301" t="n">
        <v>2.996984072</v>
      </c>
      <c r="AS301" t="n">
        <v>9.588075010000001</v>
      </c>
      <c r="AT301" t="n">
        <v>3.021456847</v>
      </c>
      <c r="AU301" t="n">
        <v>7.361665803</v>
      </c>
      <c r="AV301" t="n">
        <v>3.569753965</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7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82" activePane="bottomRight" state="frozen"/>
      <selection activeCell="L191" sqref="L191"/>
      <selection pane="topRight" activeCell="L191" sqref="L191"/>
      <selection pane="bottomLeft" activeCell="L191" sqref="L191"/>
      <selection pane="bottomRight" activeCell="AH84" sqref="AH84"/>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2021-Q3</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2021-Q3</t>
        </is>
      </c>
    </row>
    <row r="4" ht="16" customHeight="1" s="68" thickBot="1">
      <c r="B4" s="4" t="inlineStr">
        <is>
          <t>max 1y</t>
        </is>
      </c>
      <c r="C4" s="13">
        <f>MAX(C90:C98)</f>
        <v/>
      </c>
      <c r="D4" s="13">
        <f>MAX(D90:D98)</f>
        <v/>
      </c>
      <c r="E4" s="13">
        <f>MAX(E90:E98)</f>
        <v/>
      </c>
      <c r="F4" s="13">
        <f>MAX(F90:F98)</f>
        <v/>
      </c>
      <c r="G4" s="13">
        <f>MAX(G90:G98)</f>
        <v/>
      </c>
      <c r="H4" s="13">
        <f>MAX(H90:H98)</f>
        <v/>
      </c>
      <c r="I4" s="13">
        <f>MAX(I90:I98)</f>
        <v/>
      </c>
      <c r="J4" s="13">
        <f>MAX(J90:J98)</f>
        <v/>
      </c>
      <c r="K4" s="13">
        <f>MAX(K90:K98)</f>
        <v/>
      </c>
      <c r="L4" s="13">
        <f>MAX(L90:L98)</f>
        <v/>
      </c>
      <c r="M4" s="13">
        <f>MAX(M90:M98)</f>
        <v/>
      </c>
      <c r="N4" s="13">
        <f>MAX(N90:N98)</f>
        <v/>
      </c>
      <c r="O4" s="13">
        <f>MAX(O90:O98)</f>
        <v/>
      </c>
      <c r="P4" s="13">
        <f>MAX(P90:P98)</f>
        <v/>
      </c>
      <c r="Q4" s="13">
        <f>MAX(Q90:Q98)</f>
        <v/>
      </c>
      <c r="R4" s="13">
        <f>MAX(R90:R98)</f>
        <v/>
      </c>
      <c r="S4" s="13">
        <f>MAX(S90:S98)</f>
        <v/>
      </c>
      <c r="T4" s="13">
        <f>MAX(T90:T98)</f>
        <v/>
      </c>
      <c r="U4" s="13">
        <f>MAX(U90:U98)</f>
        <v/>
      </c>
      <c r="V4" s="13">
        <f>MAX(V90:V98)</f>
        <v/>
      </c>
      <c r="W4" s="13">
        <f>MAX(W90:W98)</f>
        <v/>
      </c>
      <c r="X4" s="13">
        <f>MAX(X90:X98)</f>
        <v/>
      </c>
      <c r="Y4" s="13">
        <f>MAX(Y90:Y98)</f>
        <v/>
      </c>
      <c r="Z4" s="13">
        <f>MAX(Z90:Z98)</f>
        <v/>
      </c>
      <c r="AA4" s="13">
        <f>MAX(AA90:AA98)</f>
        <v/>
      </c>
      <c r="AB4" s="74" t="n"/>
      <c r="AD4" s="14" t="inlineStr">
        <is>
          <t>12 months</t>
        </is>
      </c>
      <c r="AE4" s="66" t="inlineStr">
        <is>
          <t>2020-Q4</t>
        </is>
      </c>
    </row>
    <row r="5">
      <c r="B5" s="4" t="inlineStr">
        <is>
          <t>min 1y</t>
        </is>
      </c>
      <c r="C5" s="13">
        <f>MIN(C90:C98)</f>
        <v/>
      </c>
      <c r="D5" s="13">
        <f>MIN(D90:D98)</f>
        <v/>
      </c>
      <c r="E5" s="13">
        <f>MIN(E90:E98)</f>
        <v/>
      </c>
      <c r="F5" s="13">
        <f>MIN(F90:F98)</f>
        <v/>
      </c>
      <c r="G5" s="13">
        <f>MIN(G90:G98)</f>
        <v/>
      </c>
      <c r="H5" s="13">
        <f>MIN(H90:H98)</f>
        <v/>
      </c>
      <c r="I5" s="13">
        <f>MIN(I90:I98)</f>
        <v/>
      </c>
      <c r="J5" s="13">
        <f>MIN(J90:J98)</f>
        <v/>
      </c>
      <c r="K5" s="13">
        <f>MIN(K90:K98)</f>
        <v/>
      </c>
      <c r="L5" s="13">
        <f>MIN(L90:L98)</f>
        <v/>
      </c>
      <c r="M5" s="13">
        <f>MIN(M90:M98)</f>
        <v/>
      </c>
      <c r="N5" s="13">
        <f>MIN(N90:N98)</f>
        <v/>
      </c>
      <c r="O5" s="13">
        <f>MIN(O90:O98)</f>
        <v/>
      </c>
      <c r="P5" s="13">
        <f>MIN(P90:P98)</f>
        <v/>
      </c>
      <c r="Q5" s="13">
        <f>MIN(Q90:Q98)</f>
        <v/>
      </c>
      <c r="R5" s="13">
        <f>MIN(R90:R98)</f>
        <v/>
      </c>
      <c r="S5" s="13">
        <f>MIN(S90:S98)</f>
        <v/>
      </c>
      <c r="T5" s="13">
        <f>MIN(T90:T98)</f>
        <v/>
      </c>
      <c r="U5" s="13">
        <f>MIN(U90:U98)</f>
        <v/>
      </c>
      <c r="V5" s="13">
        <f>MIN(V90:V98)</f>
        <v/>
      </c>
      <c r="W5" s="13">
        <f>MIN(W90:W98)</f>
        <v/>
      </c>
      <c r="X5" s="13">
        <f>MIN(X90:X98)</f>
        <v/>
      </c>
      <c r="Y5" s="13">
        <f>MIN(Y90:Y98)</f>
        <v/>
      </c>
      <c r="Z5" s="13">
        <f>MIN(Z90:Z98)</f>
        <v/>
      </c>
      <c r="AA5" s="13">
        <f>MIN(AA90:AA98)</f>
        <v/>
      </c>
      <c r="AB5" s="74" t="n"/>
      <c r="AC5" s="16" t="inlineStr">
        <is>
          <t>SPREAD</t>
        </is>
      </c>
      <c r="AE5" s="17" t="n"/>
    </row>
    <row r="6">
      <c r="B6" s="4" t="inlineStr">
        <is>
          <t>1y avg</t>
        </is>
      </c>
      <c r="C6" s="13">
        <f>AVERAGE(C90:C98)</f>
        <v/>
      </c>
      <c r="D6" s="13">
        <f>AVERAGE(D90:D98)</f>
        <v/>
      </c>
      <c r="E6" s="13">
        <f>AVERAGE(E90:E98)</f>
        <v/>
      </c>
      <c r="F6" s="13">
        <f>AVERAGE(F90:F98)</f>
        <v/>
      </c>
      <c r="G6" s="13">
        <f>AVERAGE(G90:G98)</f>
        <v/>
      </c>
      <c r="H6" s="13">
        <f>AVERAGE(H90:H98)</f>
        <v/>
      </c>
      <c r="I6" s="13">
        <f>AVERAGE(I90:I98)</f>
        <v/>
      </c>
      <c r="J6" s="13">
        <f>AVERAGE(J90:J98)</f>
        <v/>
      </c>
      <c r="K6" s="13">
        <f>AVERAGE(K90:K98)</f>
        <v/>
      </c>
      <c r="L6" s="13">
        <f>AVERAGE(L90:L98)</f>
        <v/>
      </c>
      <c r="M6" s="13">
        <f>AVERAGE(M90:M98)</f>
        <v/>
      </c>
      <c r="N6" s="13">
        <f>AVERAGE(N90:N98)</f>
        <v/>
      </c>
      <c r="O6" s="13">
        <f>AVERAGE(O90:O98)</f>
        <v/>
      </c>
      <c r="P6" s="13">
        <f>AVERAGE(P90:P98)</f>
        <v/>
      </c>
      <c r="Q6" s="13">
        <f>AVERAGE(Q90:Q98)</f>
        <v/>
      </c>
      <c r="R6" s="13">
        <f>AVERAGE(R90:R98)</f>
        <v/>
      </c>
      <c r="S6" s="13">
        <f>AVERAGE(S90:S98)</f>
        <v/>
      </c>
      <c r="T6" s="13">
        <f>AVERAGE(T90:T98)</f>
        <v/>
      </c>
      <c r="U6" s="13">
        <f>AVERAGE(U90:U98)</f>
        <v/>
      </c>
      <c r="V6" s="13">
        <f>AVERAGE(V90:V98)</f>
        <v/>
      </c>
      <c r="W6" s="13">
        <f>AVERAGE(W90:W98)</f>
        <v/>
      </c>
      <c r="X6" s="13">
        <f>AVERAGE(X90:X98)</f>
        <v/>
      </c>
      <c r="Y6" s="13">
        <f>AVERAGE(Y90:Y98)</f>
        <v/>
      </c>
      <c r="Z6" s="13">
        <f>AVERAGE(Z90:Z98)</f>
        <v/>
      </c>
      <c r="AA6" s="13">
        <f>AVERAGE(AA90:AA98)</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4"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4"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4"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4"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4"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4"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4"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4"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4"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4"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4"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4"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4">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4">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4">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4">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4">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4">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4">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4">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4">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4">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4">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4">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4">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4">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pane ySplit="3" topLeftCell="A4" activePane="bottomLeft" state="frozen"/>
      <selection pane="bottomLeft" activeCell="AB71" sqref="AB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f>C71-G71</f>
        <v/>
      </c>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f>C72-G72</f>
        <v/>
      </c>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f>C73-G73</f>
        <v/>
      </c>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f>C74-G74</f>
        <v/>
      </c>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f>C75-G75</f>
        <v/>
      </c>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f>C76-G76</f>
        <v/>
      </c>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f>C77-G77</f>
        <v/>
      </c>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f>C78-G78</f>
        <v/>
      </c>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f>C79-G79</f>
        <v/>
      </c>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f>C80-G80</f>
        <v/>
      </c>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f>C81-G81</f>
        <v/>
      </c>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f>C82-G82</f>
        <v/>
      </c>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f>C83-G83</f>
        <v/>
      </c>
    </row>
    <row r="84" customFormat="1" s="74">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f>C84-G84</f>
        <v/>
      </c>
    </row>
    <row r="85" customFormat="1" s="74">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f>C85-G85</f>
        <v/>
      </c>
    </row>
    <row r="86" customFormat="1" s="74">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f>C86-G86</f>
        <v/>
      </c>
    </row>
    <row r="87" customFormat="1" s="74">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f>C87-G87</f>
        <v/>
      </c>
    </row>
    <row r="88" customFormat="1" s="74">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f>C88-G88</f>
        <v/>
      </c>
    </row>
    <row r="89" customFormat="1" s="74">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f>C89-G89</f>
        <v/>
      </c>
    </row>
    <row r="90" customFormat="1" s="74">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f>C90-G90</f>
        <v/>
      </c>
    </row>
    <row r="91" customFormat="1" s="74">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f>C91-G91</f>
        <v/>
      </c>
    </row>
    <row r="92" customFormat="1" s="74">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f>C92-G92</f>
        <v/>
      </c>
    </row>
    <row r="93" customFormat="1" s="74">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f>C93-G93</f>
        <v/>
      </c>
    </row>
    <row r="94" customFormat="1" s="74">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f>C94-G94</f>
        <v/>
      </c>
    </row>
    <row r="95" customFormat="1" s="74">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f>C95-G95</f>
        <v/>
      </c>
    </row>
    <row r="96" customFormat="1" s="74">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f>C96-G96</f>
        <v/>
      </c>
    </row>
    <row r="97" customFormat="1" s="74">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tabSelected="1" zoomScale="130" zoomScaleNormal="130" workbookViewId="0">
      <pane ySplit="3" topLeftCell="A73" activePane="bottomLeft" state="frozen"/>
      <selection pane="bottomLeft" activeCell="AB97" sqref="AB97"/>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4">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4">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4">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4">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4">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4">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4">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4">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4">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4">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4">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4">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4">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4">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4">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topLeftCell="A2" zoomScale="180" zoomScaleNormal="180" workbookViewId="0">
      <selection activeCell="H9" sqref="H9"/>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21"/>
    <col width="9.1640625" customWidth="1" style="74" min="22"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2" t="n">
        <v>44562</v>
      </c>
      <c r="B300" s="43">
        <f>VLOOKUP(A300,'Data yoy'!$B:$AW,MATCH($B$1,'Data yoy'!$B$1:$AW$1,0),FALSE)</f>
        <v/>
      </c>
      <c r="C300" s="43">
        <f>Table13456789101112131415161734[[#This Row],[USA]]-B299</f>
        <v/>
      </c>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2" t="n">
        <v>44562</v>
      </c>
      <c r="B300" s="43">
        <f>VLOOKUP(A300,'Data qoq'!$B:$AT,MATCH($B$1,'Data qoq'!$B$1:$AT$1,0),FALSE)</f>
        <v/>
      </c>
      <c r="C300" s="43">
        <f>Table134567891011121314151617343[[#This Row],[USA]]-B299</f>
        <v/>
      </c>
      <c r="D300" s="55">
        <f>(Table134567891011121314151617343[[#This Row],[USA]]/100 +1)^4-1</f>
        <v/>
      </c>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2022-02-16T07:05:53Z</dcterms:modified>
  <cp:lastModifiedBy>Mark Mukherjee</cp:lastModifiedBy>
</cp:coreProperties>
</file>