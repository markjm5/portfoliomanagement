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5400" yWindow="600" windowWidth="45400" windowHeight="2586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20">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10" fillId="0" borderId="0"/>
  </cellStyleXfs>
  <cellXfs count="107">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1" fillId="2" borderId="18" applyAlignment="1" pivotButton="0" quotePrefix="0" xfId="0">
      <alignment horizontal="center"/>
    </xf>
    <xf numFmtId="164" fontId="11" fillId="2" borderId="17" applyAlignment="1" pivotButton="0" quotePrefix="0" xfId="0">
      <alignment horizontal="center"/>
    </xf>
    <xf numFmtId="164" fontId="11" fillId="2" borderId="9" applyAlignment="1" pivotButton="0" quotePrefix="0" xfId="0">
      <alignment horizontal="center"/>
    </xf>
    <xf numFmtId="164" fontId="11" fillId="2" borderId="19" applyAlignment="1" pivotButton="0" quotePrefix="0" xfId="0">
      <alignment horizontal="center"/>
    </xf>
    <xf numFmtId="164" fontId="11"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3" fillId="10" borderId="0" applyAlignment="1" pivotButton="0" quotePrefix="0" xfId="0">
      <alignment horizontal="center" wrapText="1"/>
    </xf>
    <xf numFmtId="10" fontId="1" fillId="2" borderId="0" pivotButton="0" quotePrefix="0" xfId="0"/>
    <xf numFmtId="10" fontId="12"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4" fillId="10" borderId="0" applyAlignment="1" pivotButton="0" quotePrefix="0" xfId="2">
      <alignment horizontal="center" wrapText="1"/>
    </xf>
    <xf numFmtId="10" fontId="14" fillId="10" borderId="0" applyAlignment="1" pivotButton="0" quotePrefix="0" xfId="0">
      <alignment horizontal="center" wrapText="1"/>
    </xf>
    <xf numFmtId="164" fontId="14"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5" fillId="0" borderId="0" pivotButton="0" quotePrefix="0" xfId="0"/>
    <xf numFmtId="0" fontId="17" fillId="11" borderId="1" applyAlignment="1" pivotButton="0" quotePrefix="0" xfId="0">
      <alignment horizontal="center" vertical="center"/>
    </xf>
    <xf numFmtId="0" fontId="17" fillId="11" borderId="1" applyAlignment="1" pivotButton="0" quotePrefix="0" xfId="0">
      <alignment vertical="center"/>
    </xf>
    <xf numFmtId="0" fontId="17" fillId="11" borderId="16" applyAlignment="1" pivotButton="0" quotePrefix="0" xfId="0">
      <alignment horizontal="center" vertical="center"/>
    </xf>
    <xf numFmtId="0" fontId="18" fillId="11" borderId="17" pivotButton="0" quotePrefix="0" xfId="0"/>
    <xf numFmtId="0" fontId="18" fillId="11" borderId="19" pivotButton="0" quotePrefix="0" xfId="0"/>
    <xf numFmtId="0" fontId="10" fillId="0" borderId="0" pivotButton="0" quotePrefix="0" xfId="2"/>
    <xf numFmtId="17" fontId="19" fillId="3" borderId="2" applyAlignment="1" pivotButton="0" quotePrefix="0" xfId="0">
      <alignment horizontal="left" vertical="top" wrapText="1"/>
    </xf>
    <xf numFmtId="14" fontId="13" fillId="3" borderId="5" pivotButton="0" quotePrefix="0" xfId="0"/>
    <xf numFmtId="14" fontId="13" fillId="3" borderId="7" pivotButton="0" quotePrefix="0" xfId="0"/>
    <xf numFmtId="0" fontId="13" fillId="2" borderId="0" pivotButton="0" quotePrefix="0" xfId="0"/>
    <xf numFmtId="0" fontId="9" fillId="12" borderId="14" applyAlignment="1" pivotButton="0" quotePrefix="0" xfId="0">
      <alignment horizontal="center" vertical="top" wrapText="1"/>
    </xf>
    <xf numFmtId="10" fontId="9" fillId="13" borderId="14" applyAlignment="1" pivotButton="0" quotePrefix="0" xfId="0">
      <alignment horizontal="center" vertical="top" wrapText="1"/>
    </xf>
    <xf numFmtId="10" fontId="9" fillId="14" borderId="14" applyAlignment="1" pivotButton="0" quotePrefix="0" xfId="0">
      <alignment horizontal="center" vertical="top" wrapText="1"/>
    </xf>
    <xf numFmtId="10" fontId="9" fillId="15" borderId="14" applyAlignment="1" pivotButton="0" quotePrefix="0" xfId="0">
      <alignment horizontal="center" vertical="top" wrapText="1"/>
    </xf>
    <xf numFmtId="10" fontId="9" fillId="16" borderId="14" applyAlignment="1" pivotButton="0" quotePrefix="0" xfId="0">
      <alignment horizontal="center" vertical="top" wrapText="1"/>
    </xf>
    <xf numFmtId="10" fontId="9" fillId="17" borderId="14" applyAlignment="1" pivotButton="0" quotePrefix="0" xfId="0">
      <alignment horizontal="center" vertical="top" wrapText="1"/>
    </xf>
    <xf numFmtId="10" fontId="9" fillId="18" borderId="14" applyAlignment="1" pivotButton="0" quotePrefix="0" xfId="0">
      <alignment horizontal="center" vertical="top" wrapText="1"/>
    </xf>
    <xf numFmtId="10" fontId="9" fillId="20" borderId="14" applyAlignment="1" pivotButton="0" quotePrefix="0" xfId="0">
      <alignment horizontal="center" vertical="top" wrapText="1"/>
    </xf>
    <xf numFmtId="10" fontId="9" fillId="21" borderId="14" applyAlignment="1" pivotButton="0" quotePrefix="0" xfId="0">
      <alignment horizontal="center" vertical="top" wrapText="1"/>
    </xf>
    <xf numFmtId="10" fontId="9" fillId="19" borderId="14" applyAlignment="1" pivotButton="0" quotePrefix="0" xfId="0">
      <alignment horizontal="center" vertical="top" wrapText="1"/>
    </xf>
    <xf numFmtId="10" fontId="9" fillId="22" borderId="14" applyAlignment="1" pivotButton="0" quotePrefix="0" xfId="0">
      <alignment horizontal="center" vertical="top" wrapText="1"/>
    </xf>
    <xf numFmtId="10" fontId="9" fillId="23" borderId="14" applyAlignment="1" pivotButton="0" quotePrefix="0" xfId="0">
      <alignment horizontal="center" vertical="top" wrapText="1"/>
    </xf>
    <xf numFmtId="10" fontId="9" fillId="24" borderId="14" applyAlignment="1" pivotButton="0" quotePrefix="0" xfId="0">
      <alignment horizontal="center" vertical="top" wrapText="1"/>
    </xf>
    <xf numFmtId="10" fontId="9" fillId="25" borderId="14" applyAlignment="1" pivotButton="0" quotePrefix="0" xfId="0">
      <alignment horizontal="center" vertical="top" wrapText="1"/>
    </xf>
    <xf numFmtId="10" fontId="9" fillId="26" borderId="14" applyAlignment="1" pivotButton="0" quotePrefix="0" xfId="0">
      <alignment horizontal="center" vertical="top" wrapText="1"/>
    </xf>
    <xf numFmtId="0" fontId="0" fillId="0" borderId="0" pivotButton="0" quotePrefix="0" xfId="0"/>
    <xf numFmtId="0" fontId="0" fillId="2" borderId="0" pivotButton="0" quotePrefix="0" xfId="0"/>
    <xf numFmtId="165" fontId="0" fillId="0" borderId="0" pivotButton="0" quotePrefix="0" xfId="0"/>
    <xf numFmtId="0" fontId="0" fillId="2" borderId="0" pivotButton="0" quotePrefix="0" xfId="0"/>
    <xf numFmtId="0" fontId="1" fillId="11" borderId="3" applyAlignment="1" pivotButton="0" quotePrefix="0" xfId="0">
      <alignment horizontal="center"/>
    </xf>
    <xf numFmtId="0" fontId="0" fillId="0" borderId="21" pivotButton="0" quotePrefix="0" xfId="0"/>
    <xf numFmtId="0" fontId="0" fillId="0" borderId="22" pivotButton="0" quotePrefix="0" xfId="0"/>
    <xf numFmtId="0" fontId="0" fillId="2" borderId="0" applyAlignment="1" pivotButton="0" quotePrefix="0" xfId="0">
      <alignment wrapText="1"/>
    </xf>
    <xf numFmtId="0" fontId="10"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20" pivotButton="0" quotePrefix="0" xfId="0"/>
    <xf numFmtId="0" fontId="0" fillId="0" borderId="16" pivotButton="0" quotePrefix="0" xfId="0"/>
    <xf numFmtId="0" fontId="16" fillId="2" borderId="0" applyAlignment="1" pivotButton="0" quotePrefix="0" xfId="0">
      <alignment wrapText="1"/>
    </xf>
    <xf numFmtId="0" fontId="8" fillId="2" borderId="15" applyAlignment="1" pivotButton="0" quotePrefix="0" xfId="0">
      <alignment horizontal="left" vertical="center"/>
    </xf>
    <xf numFmtId="0" fontId="0" fillId="0" borderId="15" pivotButton="0" quotePrefix="0" xfId="0"/>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yoy'!#REF!,MATCH($B$1,'Data yoy'!#REF!,0),FALSE)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K18" sqref="K18"/>
    </sheetView>
  </sheetViews>
  <sheetFormatPr baseColWidth="10" defaultColWidth="9.1640625" defaultRowHeight="15"/>
  <cols>
    <col width="5.1640625" customWidth="1" style="91" min="1" max="1"/>
    <col width="12.83203125" customWidth="1" style="91" min="2" max="10"/>
    <col width="6.6640625" customWidth="1" style="91" min="11" max="12"/>
    <col width="18" customWidth="1" style="91" min="13" max="16"/>
    <col width="9.1640625" customWidth="1" style="91" min="17" max="25"/>
    <col width="9.1640625" customWidth="1" style="91" min="26" max="16384"/>
  </cols>
  <sheetData>
    <row r="1">
      <c r="B1" s="97" t="n"/>
    </row>
    <row r="2" ht="16" customHeight="1" s="88" thickBot="1">
      <c r="B2" s="98" t="n"/>
      <c r="C2" s="98" t="n"/>
      <c r="D2" s="98" t="n"/>
      <c r="E2" s="98" t="n"/>
      <c r="F2" s="98" t="n"/>
      <c r="G2" s="98" t="n"/>
      <c r="H2" s="98" t="n"/>
      <c r="I2" s="98" t="n"/>
      <c r="J2" s="98" t="n"/>
    </row>
    <row r="3" ht="16" customHeight="1" s="88" thickBot="1">
      <c r="B3" s="99" t="inlineStr">
        <is>
          <t>World GDP</t>
        </is>
      </c>
      <c r="C3" s="100" t="n"/>
      <c r="D3" s="100" t="n"/>
      <c r="E3" s="100" t="n"/>
      <c r="F3" s="100" t="n"/>
      <c r="G3" s="100" t="n"/>
      <c r="H3" s="100" t="n"/>
      <c r="I3" s="100" t="n"/>
      <c r="J3" s="101" t="n"/>
    </row>
    <row r="5">
      <c r="B5" s="92" t="inlineStr">
        <is>
          <t>Definition</t>
        </is>
      </c>
      <c r="C5" s="93" t="n"/>
      <c r="D5" s="93" t="n"/>
      <c r="E5" s="93" t="n"/>
      <c r="F5" s="93" t="n"/>
      <c r="G5" s="93" t="n"/>
      <c r="H5" s="93" t="n"/>
      <c r="I5" s="93" t="n"/>
      <c r="J5" s="94" t="n"/>
    </row>
    <row r="7" ht="132" customHeight="1" s="88">
      <c r="B7" s="102"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2" t="n"/>
      <c r="C8" s="60" t="n"/>
      <c r="D8" s="60" t="n"/>
      <c r="E8" s="60" t="n"/>
    </row>
    <row r="9">
      <c r="B9" s="92" t="inlineStr">
        <is>
          <t>Process / TO DO LIST</t>
        </is>
      </c>
      <c r="C9" s="93" t="n"/>
      <c r="D9" s="93" t="n"/>
      <c r="E9" s="93" t="n"/>
      <c r="F9" s="93" t="n"/>
      <c r="G9" s="93" t="n"/>
      <c r="H9" s="93" t="n"/>
      <c r="I9" s="93" t="n"/>
      <c r="J9" s="94" t="n"/>
      <c r="M9" s="92" t="inlineStr">
        <is>
          <t>Summary</t>
        </is>
      </c>
      <c r="N9" s="93" t="n"/>
      <c r="O9" s="93" t="n"/>
      <c r="P9" s="94" t="n"/>
    </row>
    <row r="10" ht="16" customHeight="1" s="88" thickBot="1"/>
    <row r="11" ht="17" customHeight="1" s="88" thickBot="1">
      <c r="B11" s="92" t="inlineStr">
        <is>
          <t>TO DO LIST</t>
        </is>
      </c>
      <c r="C11" s="93" t="n"/>
      <c r="D11" s="93" t="n"/>
      <c r="E11" s="93" t="n"/>
      <c r="F11" s="94" t="n"/>
      <c r="G11" s="92" t="inlineStr">
        <is>
          <t>Comments</t>
        </is>
      </c>
      <c r="H11" s="93" t="n"/>
      <c r="I11" s="93" t="n"/>
      <c r="J11" s="94" t="n"/>
      <c r="M11" s="63" t="inlineStr">
        <is>
          <t>Country Name</t>
        </is>
      </c>
      <c r="N11" s="64" t="inlineStr">
        <is>
          <t>% World GDP</t>
        </is>
      </c>
      <c r="O11" s="63" t="inlineStr">
        <is>
          <t xml:space="preserve">GDP y/y </t>
        </is>
      </c>
      <c r="P11" s="65" t="inlineStr">
        <is>
          <t xml:space="preserve">GDP q/q </t>
        </is>
      </c>
    </row>
    <row r="12" ht="16" customHeight="1" s="88">
      <c r="M12" s="66" t="inlineStr">
        <is>
          <t>United States</t>
        </is>
      </c>
      <c r="N12" s="33" t="n">
        <v>0.2472163512061494</v>
      </c>
      <c r="O12" s="34" t="n">
        <v>0.122</v>
      </c>
      <c r="P12" s="35" t="n">
        <v>0.066</v>
      </c>
    </row>
    <row r="13" ht="16" customHeight="1" s="88">
      <c r="B13" s="96" t="inlineStr">
        <is>
          <t>https://data.oecd.org/gdp/quarterly-gdp.htm#indicator-chart</t>
        </is>
      </c>
      <c r="G13" s="91" t="inlineStr">
        <is>
          <t>Data qoq</t>
        </is>
      </c>
      <c r="M13" s="66" t="inlineStr">
        <is>
          <t>China</t>
        </is>
      </c>
      <c r="N13" s="34" t="n">
        <v>0.1738437378233815</v>
      </c>
      <c r="O13" s="34" t="n">
        <v>0.079</v>
      </c>
      <c r="P13" s="35" t="n">
        <v>0.013</v>
      </c>
    </row>
    <row r="14" ht="16" customHeight="1" s="88">
      <c r="B14" s="91" t="inlineStr">
        <is>
          <t>Select Quarterly GDP</t>
        </is>
      </c>
      <c r="G14" s="91" t="inlineStr">
        <is>
          <t>To update manually or with macro</t>
        </is>
      </c>
      <c r="M14" s="66" t="inlineStr">
        <is>
          <t>Euro Area</t>
        </is>
      </c>
      <c r="N14" s="34" t="n">
        <v>0.152708079961271</v>
      </c>
      <c r="O14" s="34" t="n">
        <v>0.143</v>
      </c>
      <c r="P14" s="35" t="n">
        <v>0.022</v>
      </c>
    </row>
    <row r="15" ht="16" customHeight="1" s="88">
      <c r="B15" s="91" t="inlineStr">
        <is>
          <t>Select Table</t>
        </is>
      </c>
      <c r="G15" s="91" t="inlineStr">
        <is>
          <t>In Data qoq tab</t>
        </is>
      </c>
      <c r="M15" s="66" t="inlineStr">
        <is>
          <t>Japan</t>
        </is>
      </c>
      <c r="N15" s="34" t="n">
        <v>0.05980564640870931</v>
      </c>
      <c r="O15" s="34" t="n">
        <v>0.076</v>
      </c>
      <c r="P15" s="35" t="n">
        <v>0.005</v>
      </c>
    </row>
    <row r="16" ht="16" customHeight="1" s="88">
      <c r="B16" s="91" t="inlineStr">
        <is>
          <t>Select Percentage change, previous period</t>
        </is>
      </c>
      <c r="M16" s="66" t="inlineStr">
        <is>
          <t>Germany</t>
        </is>
      </c>
      <c r="N16" s="34" t="n">
        <v>0.04493984012468857</v>
      </c>
      <c r="O16" s="34" t="n">
        <v>0.094</v>
      </c>
      <c r="P16" s="35" t="n">
        <v>0.016</v>
      </c>
    </row>
    <row r="17" ht="16" customHeight="1" s="88">
      <c r="B17" s="91" t="inlineStr">
        <is>
          <t>Select latest data available</t>
        </is>
      </c>
      <c r="M17" s="66" t="inlineStr">
        <is>
          <t>United Kingdom</t>
        </is>
      </c>
      <c r="N17" s="34" t="n">
        <v>0.03197506228524873</v>
      </c>
      <c r="O17" s="34" t="n">
        <v>0.222</v>
      </c>
      <c r="P17" s="35" t="n">
        <v>0.048</v>
      </c>
    </row>
    <row r="18" ht="16" customHeight="1" s="88">
      <c r="M18" s="66" t="inlineStr">
        <is>
          <t>India</t>
        </is>
      </c>
      <c r="N18" s="34" t="n">
        <v>0.03097141372755074</v>
      </c>
      <c r="O18" s="34" t="n">
        <v>0.201</v>
      </c>
      <c r="P18" s="35" t="n">
        <v>0.021</v>
      </c>
    </row>
    <row r="19" ht="16" customHeight="1" s="88">
      <c r="B19" s="96" t="inlineStr">
        <is>
          <t>https://data.oecd.org/gdp/quarterly-gdp.htm#indicator-chart</t>
        </is>
      </c>
      <c r="G19" s="91" t="inlineStr">
        <is>
          <t>Data yoy</t>
        </is>
      </c>
      <c r="M19" s="66" t="inlineStr">
        <is>
          <t>France</t>
        </is>
      </c>
      <c r="N19" s="34" t="n">
        <v>0.03073526112573945</v>
      </c>
      <c r="O19" s="34" t="n">
        <v>0.187</v>
      </c>
      <c r="P19" s="35" t="n">
        <v>0.011</v>
      </c>
    </row>
    <row r="20" ht="16" customHeight="1" s="88">
      <c r="B20" s="91" t="inlineStr">
        <is>
          <t>Select Quarterly GDP</t>
        </is>
      </c>
      <c r="G20" s="91" t="inlineStr">
        <is>
          <t>To update manually or with macro</t>
        </is>
      </c>
      <c r="M20" s="66" t="inlineStr">
        <is>
          <t>Brazil</t>
        </is>
      </c>
      <c r="N20" s="34" t="n">
        <v>0.01706202548086573</v>
      </c>
      <c r="O20" s="34" t="n">
        <v>0.124</v>
      </c>
      <c r="P20" s="35" t="n">
        <v>-0.001</v>
      </c>
    </row>
    <row r="21" ht="16" customHeight="1" s="88">
      <c r="B21" s="91" t="inlineStr">
        <is>
          <t>Select Table</t>
        </is>
      </c>
      <c r="G21" s="91" t="inlineStr">
        <is>
          <t>In Data you tab</t>
        </is>
      </c>
      <c r="M21" s="66" t="inlineStr">
        <is>
          <t>Italy</t>
        </is>
      </c>
      <c r="N21" s="34" t="n">
        <v>0.02226919035080469</v>
      </c>
      <c r="O21" s="34" t="n">
        <v>0.173</v>
      </c>
      <c r="P21" s="35" t="n">
        <v>0.027</v>
      </c>
    </row>
    <row r="22" ht="16" customHeight="1" s="88">
      <c r="B22" s="91" t="inlineStr">
        <is>
          <t>Select Percentage change, previous year</t>
        </is>
      </c>
      <c r="M22" s="66" t="inlineStr">
        <is>
          <t>Canada</t>
        </is>
      </c>
      <c r="N22" s="34" t="n">
        <v>0.01939993623879751</v>
      </c>
      <c r="O22" s="34" t="n">
        <v>0.127</v>
      </c>
      <c r="P22" s="35" t="n">
        <v>-0.003</v>
      </c>
    </row>
    <row r="23" ht="16" customHeight="1" s="88">
      <c r="B23" s="91" t="inlineStr">
        <is>
          <t>Select latest data available</t>
        </is>
      </c>
      <c r="M23" s="66" t="inlineStr">
        <is>
          <t>Russia</t>
        </is>
      </c>
      <c r="N23" s="34" t="n">
        <v>0.01752252305439775</v>
      </c>
      <c r="O23" s="34" t="n">
        <v>0.105</v>
      </c>
      <c r="P23" s="35" t="n">
        <v>0</v>
      </c>
    </row>
    <row r="24" ht="16" customHeight="1" s="88">
      <c r="M24" s="66" t="inlineStr">
        <is>
          <t>South Korea</t>
        </is>
      </c>
      <c r="N24" s="34" t="n">
        <v>0.01925824467771074</v>
      </c>
      <c r="O24" s="34" t="n">
        <v>0.06</v>
      </c>
      <c r="P24" s="35" t="n">
        <v>0.008</v>
      </c>
    </row>
    <row r="25" ht="16" customHeight="1" s="88">
      <c r="B25" s="91" t="inlineStr">
        <is>
          <t>https://data.oecd.org/gdp/quarterly-gdp.htm</t>
        </is>
      </c>
      <c r="M25" s="66" t="inlineStr">
        <is>
          <t>Australia</t>
        </is>
      </c>
      <c r="N25" s="34" t="n">
        <v>0.01571595565054138</v>
      </c>
      <c r="O25" s="34" t="n">
        <v>0.096</v>
      </c>
      <c r="P25" s="35" t="n">
        <v>0.007</v>
      </c>
    </row>
    <row r="26" ht="16" customHeight="1" s="88">
      <c r="M26" s="66" t="inlineStr">
        <is>
          <t>Spain</t>
        </is>
      </c>
      <c r="N26" s="34" t="n">
        <v>0.01512557414601315</v>
      </c>
      <c r="O26" s="34" t="n">
        <v>0.175</v>
      </c>
      <c r="P26" s="35" t="n">
        <v>0.011</v>
      </c>
    </row>
    <row r="27" ht="16" customHeight="1" s="88">
      <c r="B27" s="91" t="inlineStr">
        <is>
          <t>World GDP</t>
        </is>
      </c>
      <c r="G27" s="68" t="inlineStr">
        <is>
          <t>https://tradingeconomics.com/</t>
        </is>
      </c>
      <c r="M27" s="66" t="inlineStr">
        <is>
          <t>Mexico</t>
        </is>
      </c>
      <c r="N27" s="34" t="n">
        <v>0.01270500997744743</v>
      </c>
      <c r="O27" s="34" t="n">
        <v>0.196</v>
      </c>
      <c r="P27" s="35" t="n">
        <v>0.015</v>
      </c>
    </row>
    <row r="28" ht="16" customHeight="1" s="88">
      <c r="M28" s="66" t="inlineStr">
        <is>
          <t>Indonesia</t>
        </is>
      </c>
      <c r="N28" s="34" t="n">
        <v>0.01249247263581726</v>
      </c>
      <c r="O28" s="34" t="n">
        <v>0.0707</v>
      </c>
      <c r="P28" s="35" t="n">
        <v>0.0331</v>
      </c>
    </row>
    <row r="29" ht="16" customHeight="1" s="88">
      <c r="M29" s="66" t="inlineStr">
        <is>
          <t>Turkey</t>
        </is>
      </c>
      <c r="N29" s="34" t="n">
        <v>0.008501493665206456</v>
      </c>
      <c r="O29" s="34" t="n">
        <v>0.217</v>
      </c>
      <c r="P29" s="35" t="n">
        <v>0.008999999999999999</v>
      </c>
    </row>
    <row r="30" ht="30" customHeight="1" s="88">
      <c r="M30" s="66" t="inlineStr">
        <is>
          <t>Taiwan</t>
        </is>
      </c>
      <c r="N30" s="34" t="n">
        <v>0.007214461985334923</v>
      </c>
      <c r="O30" s="34" t="n">
        <v>0.0743</v>
      </c>
      <c r="P30" s="35" t="n">
        <v>-0.0107</v>
      </c>
    </row>
    <row r="31" ht="16" customHeight="1" s="88">
      <c r="M31" s="66" t="inlineStr">
        <is>
          <t>Poland</t>
        </is>
      </c>
      <c r="N31" s="34" t="n">
        <v>0.007013732273795327</v>
      </c>
      <c r="O31" s="34" t="n">
        <v>0.111</v>
      </c>
      <c r="P31" s="35" t="n">
        <v>0.021</v>
      </c>
    </row>
    <row r="32" ht="16" customHeight="1" s="88">
      <c r="M32" s="66" t="inlineStr">
        <is>
          <t>Ireland</t>
        </is>
      </c>
      <c r="N32" s="34" t="n">
        <v>0.004947397007946535</v>
      </c>
      <c r="O32" s="34" t="n">
        <v>0.216</v>
      </c>
      <c r="P32" s="35" t="n">
        <v>0.063</v>
      </c>
    </row>
    <row r="33" ht="16" customHeight="1" s="88">
      <c r="M33" s="66" t="inlineStr">
        <is>
          <t>Denmark</t>
        </is>
      </c>
      <c r="N33" s="34" t="n">
        <v>0.004156285791878712</v>
      </c>
      <c r="O33" s="34" t="n">
        <v>0.08500000000000001</v>
      </c>
      <c r="P33" s="35" t="n">
        <v>0.023</v>
      </c>
    </row>
    <row r="34" ht="16" customHeight="1" s="88">
      <c r="M34" s="66" t="inlineStr">
        <is>
          <t>Czech Republic</t>
        </is>
      </c>
      <c r="N34" s="34" t="n">
        <v>0.002881061742097743</v>
      </c>
      <c r="O34" s="34" t="n">
        <v>0.082</v>
      </c>
      <c r="P34" s="35" t="n">
        <v>0.01</v>
      </c>
    </row>
    <row r="35" ht="16" customHeight="1" s="88">
      <c r="M35" s="66" t="inlineStr">
        <is>
          <t>New Zealand</t>
        </is>
      </c>
      <c r="N35" s="34" t="n">
        <v>0.002503217579199679</v>
      </c>
      <c r="O35" s="34" t="n">
        <v>0.174</v>
      </c>
      <c r="P35" s="35" t="n">
        <v>0.028</v>
      </c>
    </row>
    <row r="36" ht="17" customHeight="1" s="88" thickBot="1">
      <c r="M36" s="67" t="inlineStr">
        <is>
          <t>Greece</t>
        </is>
      </c>
      <c r="N36" s="36" t="n">
        <v>0.002231642087116695</v>
      </c>
      <c r="O36" s="36" t="n">
        <v>0.162</v>
      </c>
      <c r="P36" s="37" t="n">
        <v>0.034</v>
      </c>
    </row>
    <row r="38">
      <c r="B38" s="1" t="n"/>
    </row>
    <row r="39">
      <c r="B39" s="95" t="n"/>
    </row>
    <row r="40">
      <c r="B40" s="61" t="n"/>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88" min="1" max="1"/>
    <col width="16.1640625" customWidth="1" style="88" min="2" max="2"/>
    <col width="9.1640625" customWidth="1" style="2" min="3" max="5"/>
    <col width="10.6640625" bestFit="1" customWidth="1" style="2" min="6" max="6"/>
    <col width="10.6640625" customWidth="1" style="2" min="7" max="7"/>
    <col width="9.1640625" customWidth="1" style="2" min="8" max="46"/>
    <col width="9.1640625" customWidth="1" style="88" min="47" max="55"/>
    <col width="9.1640625" customWidth="1" style="88" min="5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6" t="n">
        <v>17349</v>
      </c>
      <c r="AT2" t="n">
        <v>-0.266705989</v>
      </c>
    </row>
    <row r="3">
      <c r="A3" t="inlineStr">
        <is>
          <t>1947-Q3</t>
        </is>
      </c>
      <c r="B3" s="106" t="n">
        <v>17441</v>
      </c>
      <c r="AT3" t="n">
        <v>-0.206503225</v>
      </c>
    </row>
    <row r="4">
      <c r="A4" t="inlineStr">
        <is>
          <t>1947-Q4</t>
        </is>
      </c>
      <c r="B4" s="106" t="n">
        <v>17533</v>
      </c>
      <c r="AT4" t="n">
        <v>1.56427638</v>
      </c>
    </row>
    <row r="5">
      <c r="A5" t="inlineStr">
        <is>
          <t>1948-Q1</t>
        </is>
      </c>
      <c r="B5" s="106" t="n">
        <v>17624</v>
      </c>
      <c r="AT5" t="n">
        <v>1.504200324</v>
      </c>
    </row>
    <row r="6">
      <c r="A6" t="inlineStr">
        <is>
          <t>1948-Q2</t>
        </is>
      </c>
      <c r="B6" s="106" t="n">
        <v>17715</v>
      </c>
      <c r="AT6" t="n">
        <v>1.650680594</v>
      </c>
    </row>
    <row r="7">
      <c r="A7" t="inlineStr">
        <is>
          <t>1948-Q3</t>
        </is>
      </c>
      <c r="B7" s="106" t="n">
        <v>17807</v>
      </c>
      <c r="AT7" t="n">
        <v>0.572930191</v>
      </c>
    </row>
    <row r="8">
      <c r="A8" t="inlineStr">
        <is>
          <t>1948-Q4</t>
        </is>
      </c>
      <c r="B8" s="106" t="n">
        <v>17899</v>
      </c>
      <c r="AT8" t="n">
        <v>0.111712158</v>
      </c>
    </row>
    <row r="9">
      <c r="A9" t="inlineStr">
        <is>
          <t>1949-Q1</t>
        </is>
      </c>
      <c r="B9" s="106" t="n">
        <v>17989</v>
      </c>
      <c r="AT9" t="n">
        <v>-1.37794649</v>
      </c>
    </row>
    <row r="10">
      <c r="A10" t="inlineStr">
        <is>
          <t>1949-Q2</t>
        </is>
      </c>
      <c r="B10" s="106" t="n">
        <v>18080</v>
      </c>
      <c r="AT10" t="n">
        <v>-0.34110093</v>
      </c>
    </row>
    <row r="11">
      <c r="A11" t="inlineStr">
        <is>
          <t>1949-Q3</t>
        </is>
      </c>
      <c r="B11" s="106" t="n">
        <v>18172</v>
      </c>
      <c r="AT11" t="n">
        <v>1.032424777</v>
      </c>
    </row>
    <row r="12">
      <c r="A12" t="inlineStr">
        <is>
          <t>1949-Q4</t>
        </is>
      </c>
      <c r="B12" s="106" t="n">
        <v>18264</v>
      </c>
      <c r="AT12" t="n">
        <v>-0.83926744</v>
      </c>
    </row>
    <row r="13">
      <c r="A13" t="inlineStr">
        <is>
          <t>1950-Q1</t>
        </is>
      </c>
      <c r="B13" s="106" t="n">
        <v>18354</v>
      </c>
      <c r="AT13" t="n">
        <v>3.930097999</v>
      </c>
    </row>
    <row r="14">
      <c r="A14" t="inlineStr">
        <is>
          <t>1950-Q2</t>
        </is>
      </c>
      <c r="B14" s="106" t="n">
        <v>18445</v>
      </c>
      <c r="AT14" t="n">
        <v>3.049810988</v>
      </c>
    </row>
    <row r="15">
      <c r="A15" t="inlineStr">
        <is>
          <t>1950-Q3</t>
        </is>
      </c>
      <c r="B15" s="106" t="n">
        <v>18537</v>
      </c>
      <c r="AT15" t="n">
        <v>3.864414603</v>
      </c>
    </row>
    <row r="16">
      <c r="A16" t="inlineStr">
        <is>
          <t>1950-Q4</t>
        </is>
      </c>
      <c r="B16" s="106" t="n">
        <v>18629</v>
      </c>
      <c r="AT16" t="n">
        <v>1.914780147</v>
      </c>
    </row>
    <row r="17">
      <c r="A17" t="inlineStr">
        <is>
          <t>1951-Q1</t>
        </is>
      </c>
      <c r="B17" s="106" t="n">
        <v>18719</v>
      </c>
      <c r="AT17" t="n">
        <v>1.358158764</v>
      </c>
    </row>
    <row r="18">
      <c r="A18" t="inlineStr">
        <is>
          <t>1951-Q2</t>
        </is>
      </c>
      <c r="B18" s="106" t="n">
        <v>18810</v>
      </c>
      <c r="AT18" t="n">
        <v>1.732710437</v>
      </c>
    </row>
    <row r="19">
      <c r="A19" t="inlineStr">
        <is>
          <t>1951-Q3</t>
        </is>
      </c>
      <c r="B19" s="106" t="n">
        <v>18902</v>
      </c>
      <c r="AT19" t="n">
        <v>2.060998798</v>
      </c>
    </row>
    <row r="20">
      <c r="A20" t="inlineStr">
        <is>
          <t>1951-Q4</t>
        </is>
      </c>
      <c r="B20" s="106" t="n">
        <v>18994</v>
      </c>
      <c r="AT20" t="n">
        <v>0.220249574</v>
      </c>
    </row>
    <row r="21">
      <c r="A21" t="inlineStr">
        <is>
          <t>1952-Q1</t>
        </is>
      </c>
      <c r="B21" s="106" t="n">
        <v>19085</v>
      </c>
      <c r="AT21" t="n">
        <v>1.068534409</v>
      </c>
    </row>
    <row r="22">
      <c r="A22" t="inlineStr">
        <is>
          <t>1952-Q2</t>
        </is>
      </c>
      <c r="B22" s="106" t="n">
        <v>19176</v>
      </c>
      <c r="AT22" t="n">
        <v>0.215396694</v>
      </c>
    </row>
    <row r="23">
      <c r="A23" t="inlineStr">
        <is>
          <t>1952-Q3</t>
        </is>
      </c>
      <c r="B23" s="106" t="n">
        <v>19268</v>
      </c>
      <c r="AT23" t="n">
        <v>0.721849215</v>
      </c>
    </row>
    <row r="24">
      <c r="A24" t="inlineStr">
        <is>
          <t>1952-Q4</t>
        </is>
      </c>
      <c r="B24" s="106" t="n">
        <v>19360</v>
      </c>
      <c r="AT24" t="n">
        <v>3.284215711</v>
      </c>
    </row>
    <row r="25">
      <c r="A25" t="inlineStr">
        <is>
          <t>1953-Q1</t>
        </is>
      </c>
      <c r="B25" s="106" t="n">
        <v>19450</v>
      </c>
      <c r="AT25" t="n">
        <v>1.858867482</v>
      </c>
    </row>
    <row r="26">
      <c r="A26" t="inlineStr">
        <is>
          <t>1953-Q2</t>
        </is>
      </c>
      <c r="B26" s="106" t="n">
        <v>19541</v>
      </c>
      <c r="AT26" t="n">
        <v>0.77293802</v>
      </c>
    </row>
    <row r="27">
      <c r="A27" t="inlineStr">
        <is>
          <t>1953-Q3</t>
        </is>
      </c>
      <c r="B27" s="106" t="n">
        <v>19633</v>
      </c>
      <c r="AT27" t="n">
        <v>-0.562677031</v>
      </c>
    </row>
    <row r="28">
      <c r="A28" t="inlineStr">
        <is>
          <t>1953-Q4</t>
        </is>
      </c>
      <c r="B28" s="106" t="n">
        <v>19725</v>
      </c>
      <c r="AT28" t="n">
        <v>-1.51394063</v>
      </c>
    </row>
    <row r="29">
      <c r="A29" t="inlineStr">
        <is>
          <t>1954-Q1</t>
        </is>
      </c>
      <c r="B29" s="106" t="n">
        <v>19815</v>
      </c>
      <c r="AT29" t="n">
        <v>-0.478023888</v>
      </c>
    </row>
    <row r="30">
      <c r="A30" t="inlineStr">
        <is>
          <t>1954-Q2</t>
        </is>
      </c>
      <c r="B30" s="106" t="n">
        <v>19906</v>
      </c>
      <c r="AT30" t="n">
        <v>0.108992196</v>
      </c>
    </row>
    <row r="31">
      <c r="A31" t="inlineStr">
        <is>
          <t>1954-Q3</t>
        </is>
      </c>
      <c r="B31" s="106" t="n">
        <v>19998</v>
      </c>
      <c r="AT31" t="n">
        <v>1.129346277</v>
      </c>
    </row>
    <row r="32">
      <c r="A32" t="inlineStr">
        <is>
          <t>1954-Q4</t>
        </is>
      </c>
      <c r="B32" s="106" t="n">
        <v>20090</v>
      </c>
      <c r="AT32" t="n">
        <v>1.956688077</v>
      </c>
    </row>
    <row r="33">
      <c r="A33" t="inlineStr">
        <is>
          <t>1955-Q1</t>
        </is>
      </c>
      <c r="B33" s="106" t="n">
        <v>20180</v>
      </c>
      <c r="AT33" t="n">
        <v>2.856234655</v>
      </c>
    </row>
    <row r="34">
      <c r="A34" t="inlineStr">
        <is>
          <t>1955-Q2</t>
        </is>
      </c>
      <c r="B34" s="106" t="n">
        <v>20271</v>
      </c>
      <c r="V34" t="n">
        <v>0.087361202</v>
      </c>
      <c r="AT34" t="n">
        <v>1.627204957</v>
      </c>
    </row>
    <row r="35">
      <c r="A35" t="inlineStr">
        <is>
          <t>1955-Q3</t>
        </is>
      </c>
      <c r="B35" s="106" t="n">
        <v>20363</v>
      </c>
      <c r="V35" t="n">
        <v>2.021421521</v>
      </c>
      <c r="AT35" t="n">
        <v>1.350464288</v>
      </c>
    </row>
    <row r="36">
      <c r="A36" t="inlineStr">
        <is>
          <t>1955-Q4</t>
        </is>
      </c>
      <c r="B36" s="106" t="n">
        <v>20455</v>
      </c>
      <c r="V36" t="n">
        <v>-0.543717267</v>
      </c>
      <c r="AT36" t="n">
        <v>0.600328737</v>
      </c>
    </row>
    <row r="37">
      <c r="A37" t="inlineStr">
        <is>
          <t>1956-Q1</t>
        </is>
      </c>
      <c r="B37" s="106" t="n">
        <v>20546</v>
      </c>
      <c r="V37" t="n">
        <v>1.149656309</v>
      </c>
      <c r="AT37" t="n">
        <v>-0.388380468</v>
      </c>
    </row>
    <row r="38">
      <c r="A38" t="inlineStr">
        <is>
          <t>1956-Q2</t>
        </is>
      </c>
      <c r="B38" s="106" t="n">
        <v>20637</v>
      </c>
      <c r="V38" t="n">
        <v>-0.176449549</v>
      </c>
      <c r="AT38" t="n">
        <v>0.8263194270000001</v>
      </c>
    </row>
    <row r="39">
      <c r="A39" t="inlineStr">
        <is>
          <t>1956-Q3</t>
        </is>
      </c>
      <c r="B39" s="106" t="n">
        <v>20729</v>
      </c>
      <c r="V39" t="n">
        <v>-0.116248517</v>
      </c>
      <c r="AT39" t="n">
        <v>-0.089839593</v>
      </c>
    </row>
    <row r="40">
      <c r="A40" t="inlineStr">
        <is>
          <t>1956-Q4</t>
        </is>
      </c>
      <c r="B40" s="106" t="n">
        <v>20821</v>
      </c>
      <c r="V40" t="n">
        <v>0.447997959</v>
      </c>
      <c r="AT40" t="n">
        <v>1.645864038</v>
      </c>
    </row>
    <row r="41">
      <c r="A41" t="inlineStr">
        <is>
          <t>1957-Q1</t>
        </is>
      </c>
      <c r="B41" s="106" t="n">
        <v>20911</v>
      </c>
      <c r="V41" t="n">
        <v>1.999857153</v>
      </c>
      <c r="AT41" t="n">
        <v>0.6402911529999999</v>
      </c>
    </row>
    <row r="42">
      <c r="A42" t="inlineStr">
        <is>
          <t>1957-Q2</t>
        </is>
      </c>
      <c r="B42" s="106" t="n">
        <v>21002</v>
      </c>
      <c r="V42" t="n">
        <v>0.010114449</v>
      </c>
      <c r="AT42" t="n">
        <v>-0.219085924</v>
      </c>
    </row>
    <row r="43">
      <c r="A43" t="inlineStr">
        <is>
          <t>1957-Q3</t>
        </is>
      </c>
      <c r="B43" s="106" t="n">
        <v>21094</v>
      </c>
      <c r="V43" t="n">
        <v>-0.614585116</v>
      </c>
      <c r="AT43" t="n">
        <v>0.980018402</v>
      </c>
    </row>
    <row r="44">
      <c r="A44" t="inlineStr">
        <is>
          <t>1957-Q4</t>
        </is>
      </c>
      <c r="B44" s="106" t="n">
        <v>21186</v>
      </c>
      <c r="V44" t="n">
        <v>0.180819087</v>
      </c>
      <c r="AT44" t="n">
        <v>-1.034279655</v>
      </c>
    </row>
    <row r="45">
      <c r="A45" t="inlineStr">
        <is>
          <t>1958-Q1</t>
        </is>
      </c>
      <c r="B45" s="106" t="n">
        <v>21276</v>
      </c>
      <c r="V45" t="n">
        <v>2.200292226</v>
      </c>
      <c r="AT45" t="n">
        <v>-2.595440045</v>
      </c>
    </row>
    <row r="46">
      <c r="A46" t="inlineStr">
        <is>
          <t>1958-Q2</t>
        </is>
      </c>
      <c r="B46" s="106" t="n">
        <v>21367</v>
      </c>
      <c r="V46" t="n">
        <v>-2.376164955</v>
      </c>
      <c r="AT46" t="n">
        <v>0.657226726</v>
      </c>
    </row>
    <row r="47">
      <c r="A47" t="inlineStr">
        <is>
          <t>1958-Q3</t>
        </is>
      </c>
      <c r="B47" s="106" t="n">
        <v>21459</v>
      </c>
      <c r="V47" t="n">
        <v>2.225685444</v>
      </c>
      <c r="AT47" t="n">
        <v>2.313217041</v>
      </c>
    </row>
    <row r="48">
      <c r="A48" t="inlineStr">
        <is>
          <t>1958-Q4</t>
        </is>
      </c>
      <c r="B48" s="106" t="n">
        <v>21551</v>
      </c>
      <c r="V48" t="n">
        <v>0.102656033</v>
      </c>
      <c r="AT48" t="n">
        <v>2.33810956</v>
      </c>
    </row>
    <row r="49">
      <c r="A49" t="inlineStr">
        <is>
          <t>1959-Q1</t>
        </is>
      </c>
      <c r="B49" s="106" t="n">
        <v>21641</v>
      </c>
      <c r="V49" t="n">
        <v>0.652804457</v>
      </c>
      <c r="AT49" t="n">
        <v>1.919552804</v>
      </c>
    </row>
    <row r="50">
      <c r="A50" t="inlineStr">
        <is>
          <t>1959-Q2</t>
        </is>
      </c>
      <c r="B50" s="106" t="n">
        <v>21732</v>
      </c>
      <c r="V50" t="n">
        <v>1.662864964</v>
      </c>
      <c r="AT50" t="n">
        <v>2.255169531</v>
      </c>
    </row>
    <row r="51">
      <c r="A51" t="inlineStr">
        <is>
          <t>1959-Q3</t>
        </is>
      </c>
      <c r="B51" s="106" t="n">
        <v>21824</v>
      </c>
      <c r="V51" t="n">
        <v>2.149476093</v>
      </c>
      <c r="AT51" t="n">
        <v>0.070560341</v>
      </c>
    </row>
    <row r="52">
      <c r="A52" t="inlineStr">
        <is>
          <t>1959-Q4</t>
        </is>
      </c>
      <c r="B52" s="106" t="n">
        <v>21916</v>
      </c>
      <c r="V52" t="n">
        <v>2.561117579</v>
      </c>
      <c r="AT52" t="n">
        <v>0.284889055</v>
      </c>
    </row>
    <row r="53">
      <c r="A53" t="inlineStr">
        <is>
          <t>1960-Q1</t>
        </is>
      </c>
      <c r="B53" s="106" t="n">
        <v>22007</v>
      </c>
      <c r="V53" t="n">
        <v>2.492165135</v>
      </c>
      <c r="AT53" t="n">
        <v>2.247714292</v>
      </c>
    </row>
    <row r="54">
      <c r="A54" t="inlineStr">
        <is>
          <t>1960-Q2</t>
        </is>
      </c>
      <c r="B54" s="106"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106"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106"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106"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106"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106"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106"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106"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106"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106"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106"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106"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106"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106"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106"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106"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106"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106"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106"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106"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106"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106"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106"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106"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106"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106"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106"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106"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106"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106"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106"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106"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106"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106"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106"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106"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106"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106"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106"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106"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106"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106"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106"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106"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106"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106"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106"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106"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106"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106"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106"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106"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106"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106"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106"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106"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106"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106"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106"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106"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106"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106"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106"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106"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106"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106"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106"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106"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106"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106"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106"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106"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106"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106"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106"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106"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106"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106"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106"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106"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106"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106"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106"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106"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106"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106"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106"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106"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106"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106"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106"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106"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106"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106"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106"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106"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106"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106"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106"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106"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106"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106"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106"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106"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106"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106"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106"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106"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106"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106"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106"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106"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106"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106"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106"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106"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106"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106"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106"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106"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106"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106"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106"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106"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106"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106"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106"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106"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106"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106"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106"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106"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106"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106"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106"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106"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106"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106"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106"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106"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106"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106"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106"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106"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106"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106"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106"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106"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106"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106"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106"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106"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106"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106"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106"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106"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0.632664628</v>
      </c>
      <c r="AM209" t="n">
        <v>0.589141986</v>
      </c>
      <c r="AN209" t="n">
        <v>1.32919639</v>
      </c>
      <c r="AP209" t="n">
        <v>-3.336699414</v>
      </c>
      <c r="AQ209" t="n">
        <v>1.641921732</v>
      </c>
      <c r="AR209" t="n">
        <v>1.114387194</v>
      </c>
      <c r="AS209" t="n">
        <v>-1.685820218</v>
      </c>
      <c r="AT209" t="n">
        <v>0.943826615</v>
      </c>
      <c r="AU209" t="n">
        <v>0.961068944</v>
      </c>
    </row>
    <row r="210">
      <c r="A210" t="inlineStr">
        <is>
          <t>1999-Q2</t>
        </is>
      </c>
      <c r="B210" s="106"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106"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106"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106"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0.992782744</v>
      </c>
      <c r="AM213" t="n">
        <v>-0.341017105</v>
      </c>
      <c r="AN213" t="n">
        <v>2.225468585</v>
      </c>
      <c r="AP213" t="n">
        <v>1.064260957</v>
      </c>
      <c r="AQ213" t="n">
        <v>1.046926722</v>
      </c>
      <c r="AR213" t="n">
        <v>0.659311461</v>
      </c>
      <c r="AS213" t="n">
        <v>1.574851379</v>
      </c>
      <c r="AT213" t="n">
        <v>0.364447361</v>
      </c>
      <c r="AU213" t="n">
        <v>1.168839972</v>
      </c>
    </row>
    <row r="214">
      <c r="A214" t="inlineStr">
        <is>
          <t>2000-Q2</t>
        </is>
      </c>
      <c r="B214" s="106"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106"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106"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106"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0.258515982</v>
      </c>
      <c r="AM217" t="n">
        <v>-1.348296185</v>
      </c>
      <c r="AN217" t="n">
        <v>-0.312683656</v>
      </c>
      <c r="AP217" t="n">
        <v>0.7095832</v>
      </c>
      <c r="AQ217" t="n">
        <v>1.262127672</v>
      </c>
      <c r="AR217" t="n">
        <v>0.365595155</v>
      </c>
      <c r="AS217" t="n">
        <v>-5.125129608</v>
      </c>
      <c r="AT217" t="n">
        <v>-0.324221003</v>
      </c>
      <c r="AU217" t="n">
        <v>0.614511833</v>
      </c>
    </row>
    <row r="218">
      <c r="A218" t="inlineStr">
        <is>
          <t>2001-Q2</t>
        </is>
      </c>
      <c r="B218" s="106"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106"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106"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106"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0.551549128</v>
      </c>
      <c r="AM221" t="n">
        <v>0.211495959</v>
      </c>
      <c r="AN221" t="n">
        <v>0.177808538</v>
      </c>
      <c r="AP221" t="n">
        <v>0.322354662</v>
      </c>
      <c r="AQ221" t="n">
        <v>1.343626615</v>
      </c>
      <c r="AR221" t="n">
        <v>-0.153812122</v>
      </c>
      <c r="AS221" t="n">
        <v>3.777582554</v>
      </c>
      <c r="AT221" t="n">
        <v>0.828227216</v>
      </c>
      <c r="AU221" t="n">
        <v>1.08600902</v>
      </c>
    </row>
    <row r="222">
      <c r="A222" t="inlineStr">
        <is>
          <t>2002-Q2</t>
        </is>
      </c>
      <c r="B222" s="106"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106"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106"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106"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0.199666443</v>
      </c>
      <c r="AM225" t="n">
        <v>0.349509187</v>
      </c>
      <c r="AN225" t="n">
        <v>0.105061371</v>
      </c>
      <c r="AP225" t="n">
        <v>1.775973192</v>
      </c>
      <c r="AQ225" t="n">
        <v>-0.018000073</v>
      </c>
      <c r="AR225" t="n">
        <v>1.184954532</v>
      </c>
      <c r="AS225" t="n">
        <v>0.083600699</v>
      </c>
      <c r="AT225" t="n">
        <v>0.516723187</v>
      </c>
      <c r="AU225" t="n">
        <v>0.63476228</v>
      </c>
    </row>
    <row r="226">
      <c r="A226" t="inlineStr">
        <is>
          <t>2003-Q2</t>
        </is>
      </c>
      <c r="B226" s="106"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106"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106"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106" t="n">
        <v>38078</v>
      </c>
      <c r="C229" t="n">
        <v>3.274583293</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0.772159573</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106" t="n">
        <v>38169</v>
      </c>
      <c r="C230" t="n">
        <v>-1.144049651</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106" t="n">
        <v>38261</v>
      </c>
      <c r="C231" t="n">
        <v>4.980561677</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106" t="n">
        <v>38353</v>
      </c>
      <c r="C232" t="n">
        <v>1.494785552</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106" t="n">
        <v>38443</v>
      </c>
      <c r="C233" t="n">
        <v>2.904430455</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0.7539249260000001</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106" t="n">
        <v>38534</v>
      </c>
      <c r="C234" t="n">
        <v>2.095928156</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106" t="n">
        <v>38626</v>
      </c>
      <c r="C235" t="n">
        <v>0.662115453</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106" t="n">
        <v>38718</v>
      </c>
      <c r="C236" t="n">
        <v>2.008210933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106" t="n">
        <v>38808</v>
      </c>
      <c r="C237" t="n">
        <v>2.621456171</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1.032204557</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106" t="n">
        <v>38899</v>
      </c>
      <c r="C238" t="n">
        <v>1.187491236</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106" t="n">
        <v>38991</v>
      </c>
      <c r="C239" t="n">
        <v>2.77681064</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106" t="n">
        <v>39083</v>
      </c>
      <c r="C240" t="n">
        <v>2.197461991</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106" t="n">
        <v>39173</v>
      </c>
      <c r="C241" t="n">
        <v>2.338531794</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0.680657708</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106" t="n">
        <v>39264</v>
      </c>
      <c r="C242" t="n">
        <v>2.164104939</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106" t="n">
        <v>39356</v>
      </c>
      <c r="C243" t="n">
        <v>1.316499198</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106" t="n">
        <v>39448</v>
      </c>
      <c r="C244" t="n">
        <v>3.083338983</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106" t="n">
        <v>39539</v>
      </c>
      <c r="C245" t="n">
        <v>0.92097469</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0.190987631</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106" t="n">
        <v>39630</v>
      </c>
      <c r="C246" t="n">
        <v>0.593733654</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106" t="n">
        <v>39722</v>
      </c>
      <c r="C247" t="n">
        <v>0.741470439</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106" t="n">
        <v>39814</v>
      </c>
      <c r="C248" t="n">
        <v>-4.721966497</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106" t="n">
        <v>39904</v>
      </c>
      <c r="C249" t="n">
        <v>-3.652029894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-2.314390511</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106" t="n">
        <v>39995</v>
      </c>
      <c r="C250" t="n">
        <v>-2.162715783</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106" t="n">
        <v>40087</v>
      </c>
      <c r="C251" t="n">
        <v>3.868023656</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106" t="n">
        <v>40179</v>
      </c>
      <c r="C252" t="n">
        <v>1.88827776</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106" t="n">
        <v>40269</v>
      </c>
      <c r="C253" t="n">
        <v>3.030979099</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0.601840306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106" t="n">
        <v>40360</v>
      </c>
      <c r="C254" t="n">
        <v>4.533181051</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106" t="n">
        <v>40452</v>
      </c>
      <c r="C255" t="n">
        <v>0.466851055</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106" t="n">
        <v>40544</v>
      </c>
      <c r="C256" t="n">
        <v>1.374888085</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106"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0.279897655</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106"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106"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106"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106"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0.482591266</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106"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106"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106"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106"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0.583344606</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106"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106"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106"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106"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0.359659005</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106"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106"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106"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106"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0.8175627680000001</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106"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106"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106"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106"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0.545324135</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106"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106"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106"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106"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0.644388644</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106"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0.724017413</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106"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0.726358226</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106"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0.800169412</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106"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0.5721624</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106"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0.633795394</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106"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0.207748371</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106"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0.2237229</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106"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0.616026976</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106"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0.58126112</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106"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0.445179734</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106"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0.034584867</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106"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-1.9097</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-1.722129876</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106"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-10.415642</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-10.46488283</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106"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9.391014999999999</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9.384773342000001</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106"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0.933611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1.049696965</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106"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0.447648</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0.715657863</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106"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1.754915</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1.681389434</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106" t="n">
        <v>44470</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0.881763</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P299" t="n">
        <v>0.374491642</v>
      </c>
      <c r="AQ299" t="n">
        <v>1.324025237</v>
      </c>
      <c r="AR299" t="n">
        <v>1.980230971</v>
      </c>
      <c r="AS299" t="n">
        <v>2.709424091</v>
      </c>
      <c r="AT299" t="n">
        <v>0.521924732</v>
      </c>
      <c r="AU299" t="n">
        <v>-1.489657575</v>
      </c>
    </row>
    <row r="300">
      <c r="A300" t="inlineStr">
        <is>
          <t>2021-Q4</t>
        </is>
      </c>
      <c r="B300" s="106" t="n">
        <v>44562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0"/>
  <sheetViews>
    <sheetView workbookViewId="0">
      <selection activeCell="B14" sqref="B14"/>
    </sheetView>
  </sheetViews>
  <sheetFormatPr baseColWidth="10" defaultColWidth="9.1640625" defaultRowHeight="15"/>
  <cols>
    <col width="9.1640625" customWidth="1" style="88" min="1" max="1"/>
    <col width="11.1640625" customWidth="1" style="88" min="2" max="2"/>
    <col width="9.1640625" customWidth="1" style="2" min="3" max="5"/>
    <col width="10.6640625" bestFit="1" customWidth="1" style="2" min="6" max="6"/>
    <col width="10.6640625" customWidth="1" style="2" min="7" max="7"/>
    <col width="9.1640625" customWidth="1" style="2" min="8" max="46"/>
    <col width="9.1640625" customWidth="1" style="88" min="47" max="47"/>
    <col width="9.1640625" customWidth="1" style="88" min="4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106" t="n">
        <v>17349</v>
      </c>
    </row>
    <row r="3">
      <c r="A3" t="inlineStr">
        <is>
          <t>1947-Q3</t>
        </is>
      </c>
      <c r="B3" s="106" t="n">
        <v>17441</v>
      </c>
    </row>
    <row r="4">
      <c r="A4" t="inlineStr">
        <is>
          <t>1947-Q4</t>
        </is>
      </c>
      <c r="B4" s="106" t="n">
        <v>17533</v>
      </c>
    </row>
    <row r="5">
      <c r="A5" t="inlineStr">
        <is>
          <t>1948-Q1</t>
        </is>
      </c>
      <c r="B5" s="106" t="n">
        <v>17624</v>
      </c>
      <c r="AV5" t="n">
        <v>2.604733466</v>
      </c>
    </row>
    <row r="6">
      <c r="A6" t="inlineStr">
        <is>
          <t>1948-Q2</t>
        </is>
      </c>
      <c r="B6" s="106" t="n">
        <v>17715</v>
      </c>
      <c r="AV6" t="n">
        <v>4.577323876</v>
      </c>
    </row>
    <row r="7">
      <c r="A7" t="inlineStr">
        <is>
          <t>1948-Q3</t>
        </is>
      </c>
      <c r="B7" s="106" t="n">
        <v>17807</v>
      </c>
      <c r="AV7" t="n">
        <v>5.394121197</v>
      </c>
    </row>
    <row r="8">
      <c r="A8" t="inlineStr">
        <is>
          <t>1948-Q4</t>
        </is>
      </c>
      <c r="B8" s="106" t="n">
        <v>17899</v>
      </c>
      <c r="AV8" t="n">
        <v>3.886782838</v>
      </c>
    </row>
    <row r="9">
      <c r="A9" t="inlineStr">
        <is>
          <t>1949-Q1</t>
        </is>
      </c>
      <c r="B9" s="106" t="n">
        <v>17989</v>
      </c>
      <c r="AV9" t="n">
        <v>0.9369841169999999</v>
      </c>
    </row>
    <row r="10">
      <c r="A10" t="inlineStr">
        <is>
          <t>1949-Q2</t>
        </is>
      </c>
      <c r="B10" s="106" t="n">
        <v>18080</v>
      </c>
      <c r="AV10" t="n">
        <v>-1.04081297</v>
      </c>
    </row>
    <row r="11">
      <c r="A11" t="inlineStr">
        <is>
          <t>1949-Q3</t>
        </is>
      </c>
      <c r="B11" s="106" t="n">
        <v>18172</v>
      </c>
      <c r="AV11" t="n">
        <v>-0.588691206</v>
      </c>
    </row>
    <row r="12">
      <c r="A12" t="inlineStr">
        <is>
          <t>1949-Q4</t>
        </is>
      </c>
      <c r="B12" s="106" t="n">
        <v>18264</v>
      </c>
      <c r="AV12" t="n">
        <v>-1.533017543</v>
      </c>
    </row>
    <row r="13">
      <c r="A13" t="inlineStr">
        <is>
          <t>1950-Q1</t>
        </is>
      </c>
      <c r="B13" s="106" t="n">
        <v>18354</v>
      </c>
      <c r="AV13" t="n">
        <v>3.766680699</v>
      </c>
    </row>
    <row r="14">
      <c r="A14" t="inlineStr">
        <is>
          <t>1950-Q2</t>
        </is>
      </c>
      <c r="B14" s="106" t="n">
        <v>18445</v>
      </c>
      <c r="AV14" t="n">
        <v>7.297360623</v>
      </c>
    </row>
    <row r="15">
      <c r="A15" t="inlineStr">
        <is>
          <t>1950-Q3</t>
        </is>
      </c>
      <c r="B15" s="106" t="n">
        <v>18537</v>
      </c>
      <c r="AV15" t="n">
        <v>10.304959762</v>
      </c>
    </row>
    <row r="16">
      <c r="A16" t="inlineStr">
        <is>
          <t>1950-Q4</t>
        </is>
      </c>
      <c r="B16" s="106" t="n">
        <v>18629</v>
      </c>
      <c r="AV16" t="n">
        <v>13.368522328</v>
      </c>
    </row>
    <row r="17">
      <c r="A17" t="inlineStr">
        <is>
          <t>1951-Q1</t>
        </is>
      </c>
      <c r="B17" s="106" t="n">
        <v>18719</v>
      </c>
      <c r="AV17" t="n">
        <v>10.563012123</v>
      </c>
    </row>
    <row r="18">
      <c r="A18" t="inlineStr">
        <is>
          <t>1951-Q2</t>
        </is>
      </c>
      <c r="B18" s="106" t="n">
        <v>18810</v>
      </c>
      <c r="AV18" t="n">
        <v>9.149883824</v>
      </c>
    </row>
    <row r="19">
      <c r="A19" t="inlineStr">
        <is>
          <t>1951-Q3</t>
        </is>
      </c>
      <c r="B19" s="106" t="n">
        <v>18902</v>
      </c>
      <c r="AV19" t="n">
        <v>7.254695502</v>
      </c>
    </row>
    <row r="20">
      <c r="A20" t="inlineStr">
        <is>
          <t>1951-Q4</t>
        </is>
      </c>
      <c r="B20" s="106" t="n">
        <v>18994</v>
      </c>
      <c r="AV20" t="n">
        <v>5.471378495</v>
      </c>
    </row>
    <row r="21">
      <c r="A21" t="inlineStr">
        <is>
          <t>1952-Q1</t>
        </is>
      </c>
      <c r="B21" s="106" t="n">
        <v>19085</v>
      </c>
      <c r="AV21" t="n">
        <v>5.170000881</v>
      </c>
    </row>
    <row r="22">
      <c r="A22" t="inlineStr">
        <is>
          <t>1952-Q2</t>
        </is>
      </c>
      <c r="B22" s="106" t="n">
        <v>19176</v>
      </c>
      <c r="AV22" t="n">
        <v>3.601420952</v>
      </c>
    </row>
    <row r="23">
      <c r="A23" t="inlineStr">
        <is>
          <t>1952-Q3</t>
        </is>
      </c>
      <c r="B23" s="106" t="n">
        <v>19268</v>
      </c>
      <c r="AV23" t="n">
        <v>2.242059381</v>
      </c>
    </row>
    <row r="24">
      <c r="A24" t="inlineStr">
        <is>
          <t>1952-Q4</t>
        </is>
      </c>
      <c r="B24" s="106" t="n">
        <v>19360</v>
      </c>
      <c r="AV24" t="n">
        <v>5.367836947</v>
      </c>
    </row>
    <row r="25">
      <c r="A25" t="inlineStr">
        <is>
          <t>1953-Q1</t>
        </is>
      </c>
      <c r="B25" s="106" t="n">
        <v>19450</v>
      </c>
      <c r="AV25" t="n">
        <v>6.191789594</v>
      </c>
    </row>
    <row r="26">
      <c r="A26" t="inlineStr">
        <is>
          <t>1953-Q2</t>
        </is>
      </c>
      <c r="B26" s="106" t="n">
        <v>19541</v>
      </c>
      <c r="AV26" t="n">
        <v>6.782580163</v>
      </c>
    </row>
    <row r="27">
      <c r="A27" t="inlineStr">
        <is>
          <t>1953-Q3</t>
        </is>
      </c>
      <c r="B27" s="106" t="n">
        <v>19633</v>
      </c>
      <c r="AV27" t="n">
        <v>5.420760181</v>
      </c>
    </row>
    <row r="28">
      <c r="A28" t="inlineStr">
        <is>
          <t>1953-Q4</t>
        </is>
      </c>
      <c r="B28" s="106" t="n">
        <v>19725</v>
      </c>
      <c r="AV28" t="n">
        <v>0.523348844</v>
      </c>
    </row>
    <row r="29">
      <c r="A29" t="inlineStr">
        <is>
          <t>1954-Q1</t>
        </is>
      </c>
      <c r="B29" s="106" t="n">
        <v>19815</v>
      </c>
      <c r="AV29" t="n">
        <v>-1.782902464</v>
      </c>
    </row>
    <row r="30">
      <c r="A30" t="inlineStr">
        <is>
          <t>1954-Q2</t>
        </is>
      </c>
      <c r="B30" s="106" t="n">
        <v>19906</v>
      </c>
      <c r="AV30" t="n">
        <v>-2.43000905</v>
      </c>
    </row>
    <row r="31">
      <c r="A31" t="inlineStr">
        <is>
          <t>1954-Q3</t>
        </is>
      </c>
      <c r="B31" s="106" t="n">
        <v>19998</v>
      </c>
      <c r="AV31" t="n">
        <v>-0.769760223</v>
      </c>
    </row>
    <row r="32">
      <c r="A32" t="inlineStr">
        <is>
          <t>1954-Q4</t>
        </is>
      </c>
      <c r="B32" s="106" t="n">
        <v>20090</v>
      </c>
      <c r="AV32" t="n">
        <v>2.72709325</v>
      </c>
    </row>
    <row r="33">
      <c r="A33" t="inlineStr">
        <is>
          <t>1955-Q1</t>
        </is>
      </c>
      <c r="B33" s="106" t="n">
        <v>20180</v>
      </c>
      <c r="AV33" t="n">
        <v>6.168731987</v>
      </c>
    </row>
    <row r="34">
      <c r="A34" t="inlineStr">
        <is>
          <t>1955-Q2</t>
        </is>
      </c>
      <c r="B34" s="106" t="n">
        <v>20271</v>
      </c>
      <c r="AV34" t="n">
        <v>7.778844328</v>
      </c>
    </row>
    <row r="35">
      <c r="A35" t="inlineStr">
        <is>
          <t>1955-Q3</t>
        </is>
      </c>
      <c r="B35" s="106" t="n">
        <v>20363</v>
      </c>
      <c r="AV35" t="n">
        <v>8.014501381000001</v>
      </c>
    </row>
    <row r="36">
      <c r="A36" t="inlineStr">
        <is>
          <t>1955-Q4</t>
        </is>
      </c>
      <c r="B36" s="106" t="n">
        <v>20455</v>
      </c>
      <c r="AV36" t="n">
        <v>6.577553198</v>
      </c>
    </row>
    <row r="37">
      <c r="A37" t="inlineStr">
        <is>
          <t>1956-Q1</t>
        </is>
      </c>
      <c r="B37" s="106" t="n">
        <v>20546</v>
      </c>
      <c r="X37" t="n">
        <v>2.722893534</v>
      </c>
      <c r="AV37" t="n">
        <v>3.215548532</v>
      </c>
    </row>
    <row r="38">
      <c r="A38" t="inlineStr">
        <is>
          <t>1956-Q2</t>
        </is>
      </c>
      <c r="B38" s="106" t="n">
        <v>20637</v>
      </c>
      <c r="X38" t="n">
        <v>2.452136034</v>
      </c>
      <c r="AV38" t="n">
        <v>2.402145867</v>
      </c>
    </row>
    <row r="39">
      <c r="A39" t="inlineStr">
        <is>
          <t>1956-Q3</t>
        </is>
      </c>
      <c r="B39" s="106" t="n">
        <v>20729</v>
      </c>
      <c r="X39" t="n">
        <v>0.305441171</v>
      </c>
      <c r="AV39" t="n">
        <v>0.94689641</v>
      </c>
    </row>
    <row r="40">
      <c r="A40" t="inlineStr">
        <is>
          <t>1956-Q4</t>
        </is>
      </c>
      <c r="B40" s="106" t="n">
        <v>20821</v>
      </c>
      <c r="X40" t="n">
        <v>1.305623668</v>
      </c>
      <c r="AV40" t="n">
        <v>1.996033576</v>
      </c>
    </row>
    <row r="41">
      <c r="A41" t="inlineStr">
        <is>
          <t>1957-Q1</t>
        </is>
      </c>
      <c r="B41" s="106" t="n">
        <v>20911</v>
      </c>
      <c r="X41" t="n">
        <v>2.157135477</v>
      </c>
      <c r="AV41" t="n">
        <v>3.04932862</v>
      </c>
    </row>
    <row r="42">
      <c r="A42" t="inlineStr">
        <is>
          <t>1957-Q2</t>
        </is>
      </c>
      <c r="B42" s="106" t="n">
        <v>21002</v>
      </c>
      <c r="X42" t="n">
        <v>2.3480608</v>
      </c>
      <c r="AV42" t="n">
        <v>1.98087427</v>
      </c>
    </row>
    <row r="43">
      <c r="A43" t="inlineStr">
        <is>
          <t>1957-Q3</t>
        </is>
      </c>
      <c r="B43" s="106" t="n">
        <v>21094</v>
      </c>
      <c r="X43" t="n">
        <v>1.837429353</v>
      </c>
      <c r="AV43" t="n">
        <v>3.072905884</v>
      </c>
    </row>
    <row r="44">
      <c r="A44" t="inlineStr">
        <is>
          <t>1957-Q4</t>
        </is>
      </c>
      <c r="B44" s="106" t="n">
        <v>21186</v>
      </c>
      <c r="X44" t="n">
        <v>1.56655477</v>
      </c>
      <c r="AV44" t="n">
        <v>0.355134715</v>
      </c>
    </row>
    <row r="45">
      <c r="A45" t="inlineStr">
        <is>
          <t>1958-Q1</t>
        </is>
      </c>
      <c r="B45" s="106" t="n">
        <v>21276</v>
      </c>
      <c r="X45" t="n">
        <v>1.766138381</v>
      </c>
      <c r="AV45" t="n">
        <v>-2.87142829</v>
      </c>
    </row>
    <row r="46">
      <c r="A46" t="inlineStr">
        <is>
          <t>1958-Q2</t>
        </is>
      </c>
      <c r="B46" s="106" t="n">
        <v>21367</v>
      </c>
      <c r="X46" t="n">
        <v>-0.662040423</v>
      </c>
      <c r="AV46" t="n">
        <v>-2.018409485</v>
      </c>
    </row>
    <row r="47">
      <c r="A47" t="inlineStr">
        <is>
          <t>1958-Q3</t>
        </is>
      </c>
      <c r="B47" s="106" t="n">
        <v>21459</v>
      </c>
      <c r="X47" t="n">
        <v>2.176873943</v>
      </c>
      <c r="AV47" t="n">
        <v>-0.7247978859999999</v>
      </c>
    </row>
    <row r="48">
      <c r="A48" t="inlineStr">
        <is>
          <t>1958-Q4</t>
        </is>
      </c>
      <c r="B48" s="106" t="n">
        <v>21551</v>
      </c>
      <c r="X48" t="n">
        <v>2.097153528</v>
      </c>
      <c r="AV48" t="n">
        <v>2.658137335</v>
      </c>
    </row>
    <row r="49">
      <c r="A49" t="inlineStr">
        <is>
          <t>1959-Q1</t>
        </is>
      </c>
      <c r="B49" s="106" t="n">
        <v>21641</v>
      </c>
      <c r="X49" t="n">
        <v>0.551227456</v>
      </c>
      <c r="AV49" t="n">
        <v>7.416649216</v>
      </c>
    </row>
    <row r="50">
      <c r="A50" t="inlineStr">
        <is>
          <t>1959-Q2</t>
        </is>
      </c>
      <c r="B50" s="106" t="n">
        <v>21732</v>
      </c>
      <c r="X50" t="n">
        <v>4.71137355</v>
      </c>
      <c r="AV50" t="n">
        <v>9.12189848</v>
      </c>
    </row>
    <row r="51">
      <c r="A51" t="inlineStr">
        <is>
          <t>1959-Q3</t>
        </is>
      </c>
      <c r="B51" s="106" t="n">
        <v>21824</v>
      </c>
      <c r="X51" t="n">
        <v>4.633311117</v>
      </c>
      <c r="AV51" t="n">
        <v>6.729998745</v>
      </c>
    </row>
    <row r="52">
      <c r="A52" t="inlineStr">
        <is>
          <t>1959-Q4</t>
        </is>
      </c>
      <c r="B52" s="106" t="n">
        <v>21916</v>
      </c>
      <c r="X52" t="n">
        <v>7.203042849</v>
      </c>
      <c r="AV52" t="n">
        <v>4.588663295</v>
      </c>
    </row>
    <row r="53">
      <c r="A53" t="inlineStr">
        <is>
          <t>1960-Q1</t>
        </is>
      </c>
      <c r="B53" s="106" t="n">
        <v>22007</v>
      </c>
      <c r="X53" t="n">
        <v>9.162104622999999</v>
      </c>
      <c r="AV53" t="n">
        <v>4.925418809</v>
      </c>
    </row>
    <row r="54">
      <c r="A54" t="inlineStr">
        <is>
          <t>1960-Q2</t>
        </is>
      </c>
      <c r="B54" s="106" t="n">
        <v>22098</v>
      </c>
      <c r="X54" t="n">
        <v>6.552386936</v>
      </c>
      <c r="AV54" t="n">
        <v>2.058208212</v>
      </c>
    </row>
    <row r="55">
      <c r="A55" t="inlineStr">
        <is>
          <t>1960-Q3</t>
        </is>
      </c>
      <c r="B55" s="106" t="n">
        <v>22190</v>
      </c>
      <c r="X55" t="n">
        <v>5.886616733</v>
      </c>
      <c r="AV55" t="n">
        <v>2.485388761</v>
      </c>
    </row>
    <row r="56">
      <c r="A56" t="inlineStr">
        <is>
          <t>1960-Q4</t>
        </is>
      </c>
      <c r="B56" s="106" t="n">
        <v>22282</v>
      </c>
      <c r="X56" t="n">
        <v>3.859250851</v>
      </c>
      <c r="AV56" t="n">
        <v>0.882684143</v>
      </c>
    </row>
    <row r="57">
      <c r="A57" t="inlineStr">
        <is>
          <t>1961-Q1</t>
        </is>
      </c>
      <c r="B57" s="106"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106"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106"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106"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106"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106"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106"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106"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106"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106"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106"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106"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106"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106"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106"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106"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106"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106"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106"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106"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106"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106"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106"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106"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106"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106"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106"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106"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106"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106"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106"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106"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106"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106"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106"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106"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106"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106"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106"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106"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106"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106"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106"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106"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106"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106"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106"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106"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106"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106"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106"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106"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106"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106"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106"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106"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106"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106"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106"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106"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106"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106"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106"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106"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106"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106"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106"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106"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106"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106"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106"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106"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106"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106"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106"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106"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106"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106"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106"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106"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106"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106"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106"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106"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106"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106"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106"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106"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106"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106"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106"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106"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106"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106"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106"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106"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106"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106"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106"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106"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106"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106"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106"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106"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106"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106"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106"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106"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106"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106"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106"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106"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106"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106"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106"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106"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106"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106"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106"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106"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106"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106"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106"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106"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106"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106"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106"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106"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106"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106"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106"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106"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106"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106"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106"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106"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106"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106"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106"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106"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106"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106"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106"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106"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106"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106"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106"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106"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106"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106"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106"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106"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106"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2.691806314</v>
      </c>
      <c r="AO209" t="n">
        <v>1.381265466</v>
      </c>
      <c r="AP209" t="n">
        <v>4.809349106</v>
      </c>
      <c r="AR209" t="n">
        <v>3.104377191</v>
      </c>
      <c r="AS209" t="n">
        <v>4.036026006</v>
      </c>
      <c r="AT209" t="n">
        <v>4.254494014</v>
      </c>
      <c r="AU209" t="n">
        <v>-4.090021275</v>
      </c>
      <c r="AV209" t="n">
        <v>4.821857932</v>
      </c>
      <c r="AW209" t="n">
        <v>0.979536196</v>
      </c>
    </row>
    <row r="210">
      <c r="A210" t="inlineStr">
        <is>
          <t>1999-Q2</t>
        </is>
      </c>
      <c r="B210" s="106"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2.969776205</v>
      </c>
      <c r="AO210" t="n">
        <v>4.012286977</v>
      </c>
      <c r="AP210" t="n">
        <v>3.76305499</v>
      </c>
      <c r="AR210" t="n">
        <v>1.338683375</v>
      </c>
      <c r="AS210" t="n">
        <v>7.723274183</v>
      </c>
      <c r="AT210" t="n">
        <v>3.536364442</v>
      </c>
      <c r="AU210" t="n">
        <v>-3.864923672</v>
      </c>
      <c r="AV210" t="n">
        <v>4.727531513</v>
      </c>
      <c r="AW210" t="n">
        <v>1.639478496</v>
      </c>
    </row>
    <row r="211">
      <c r="A211" t="inlineStr">
        <is>
          <t>1999-Q3</t>
        </is>
      </c>
      <c r="B211" s="106"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3.430249909</v>
      </c>
      <c r="AO211" t="n">
        <v>5.424282293</v>
      </c>
      <c r="AP211" t="n">
        <v>3.631586651</v>
      </c>
      <c r="AR211" t="n">
        <v>1.53597906</v>
      </c>
      <c r="AS211" t="n">
        <v>4.029228356</v>
      </c>
      <c r="AT211" t="n">
        <v>3.772483766</v>
      </c>
      <c r="AU211" t="n">
        <v>-4.137498025</v>
      </c>
      <c r="AV211" t="n">
        <v>4.800205237</v>
      </c>
      <c r="AW211" t="n">
        <v>2.974826457</v>
      </c>
    </row>
    <row r="212">
      <c r="A212" t="inlineStr">
        <is>
          <t>1999-Q4</t>
        </is>
      </c>
      <c r="B212" s="106"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3.923460216</v>
      </c>
      <c r="AO212" t="n">
        <v>7.256674333</v>
      </c>
      <c r="AP212" t="n">
        <v>3.447603511</v>
      </c>
      <c r="AR212" t="n">
        <v>-5.997217872</v>
      </c>
      <c r="AS212" t="n">
        <v>5.054276227</v>
      </c>
      <c r="AT212" t="n">
        <v>4.507405266</v>
      </c>
      <c r="AU212" t="n">
        <v>-1.017626507</v>
      </c>
      <c r="AV212" t="n">
        <v>4.82762665</v>
      </c>
      <c r="AW212" t="n">
        <v>4.007388325</v>
      </c>
    </row>
    <row r="213">
      <c r="A213" t="inlineStr">
        <is>
          <t>2000-Q1</t>
        </is>
      </c>
      <c r="B213" s="106"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4.295354579</v>
      </c>
      <c r="AO213" t="n">
        <v>6.264859821</v>
      </c>
      <c r="AP213" t="n">
        <v>4.36261334</v>
      </c>
      <c r="AR213" t="n">
        <v>-1.717387611</v>
      </c>
      <c r="AS213" t="n">
        <v>4.439305858</v>
      </c>
      <c r="AT213" t="n">
        <v>4.037058905</v>
      </c>
      <c r="AU213" t="n">
        <v>2.265206291</v>
      </c>
      <c r="AV213" t="n">
        <v>4.225955859</v>
      </c>
      <c r="AW213" t="n">
        <v>4.221428472</v>
      </c>
    </row>
    <row r="214">
      <c r="A214" t="inlineStr">
        <is>
          <t>2000-Q2</t>
        </is>
      </c>
      <c r="B214" s="106"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4.833693982</v>
      </c>
      <c r="AO214" t="n">
        <v>5.10516841</v>
      </c>
      <c r="AP214" t="n">
        <v>3.271881856</v>
      </c>
      <c r="AR214" t="n">
        <v>0.969890695</v>
      </c>
      <c r="AS214" t="n">
        <v>1.585764955</v>
      </c>
      <c r="AT214" t="n">
        <v>5.952211184</v>
      </c>
      <c r="AU214" t="n">
        <v>6.849094604</v>
      </c>
      <c r="AV214" t="n">
        <v>5.244682769</v>
      </c>
      <c r="AW214" t="n">
        <v>4.349746582</v>
      </c>
    </row>
    <row r="215">
      <c r="A215" t="inlineStr">
        <is>
          <t>2000-Q3</t>
        </is>
      </c>
      <c r="B215" s="106"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4.113594122</v>
      </c>
      <c r="AO215" t="n">
        <v>3.228054332</v>
      </c>
      <c r="AP215" t="n">
        <v>3.767341175</v>
      </c>
      <c r="AR215" t="n">
        <v>2.221834096</v>
      </c>
      <c r="AS215" t="n">
        <v>5.493547976</v>
      </c>
      <c r="AT215" t="n">
        <v>5.97620495</v>
      </c>
      <c r="AU215" t="n">
        <v>10.300768391</v>
      </c>
      <c r="AV215" t="n">
        <v>3.974084496</v>
      </c>
      <c r="AW215" t="n">
        <v>4.244972525</v>
      </c>
    </row>
    <row r="216">
      <c r="A216" t="inlineStr">
        <is>
          <t>2000-Q4</t>
        </is>
      </c>
      <c r="B216" s="106"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3.347262905</v>
      </c>
      <c r="AO216" t="n">
        <v>4.218750539</v>
      </c>
      <c r="AP216" t="n">
        <v>3.865423683</v>
      </c>
      <c r="AR216" t="n">
        <v>3.270736555</v>
      </c>
      <c r="AS216" t="n">
        <v>4.380027268</v>
      </c>
      <c r="AT216" t="n">
        <v>3.697530752</v>
      </c>
      <c r="AU216" t="n">
        <v>8.639856942</v>
      </c>
      <c r="AV216" t="n">
        <v>2.901620472</v>
      </c>
      <c r="AW216" t="n">
        <v>3.988198371</v>
      </c>
    </row>
    <row r="217">
      <c r="A217" t="inlineStr">
        <is>
          <t>2001-Q1</t>
        </is>
      </c>
      <c r="B217" s="106"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2.595877924</v>
      </c>
      <c r="AO217" t="n">
        <v>3.16538471</v>
      </c>
      <c r="AP217" t="n">
        <v>1.28655306</v>
      </c>
      <c r="AR217" t="n">
        <v>2.908315331</v>
      </c>
      <c r="AS217" t="n">
        <v>4.602326766</v>
      </c>
      <c r="AT217" t="n">
        <v>3.394949151</v>
      </c>
      <c r="AU217" t="n">
        <v>1.473860968</v>
      </c>
      <c r="AV217" t="n">
        <v>2.195542847</v>
      </c>
      <c r="AW217" t="n">
        <v>3.418422297</v>
      </c>
    </row>
    <row r="218">
      <c r="A218" t="inlineStr">
        <is>
          <t>2001-Q2</t>
        </is>
      </c>
      <c r="B218" s="106"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1.465541884</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106"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0.904667569</v>
      </c>
      <c r="AO219" t="n">
        <v>1.875577048</v>
      </c>
      <c r="AP219" t="n">
        <v>1.473782928</v>
      </c>
      <c r="AR219" t="n">
        <v>2.747117542</v>
      </c>
      <c r="AS219" t="n">
        <v>2.835296618</v>
      </c>
      <c r="AT219" t="n">
        <v>0.460885146</v>
      </c>
      <c r="AU219" t="n">
        <v>-7.277589154</v>
      </c>
      <c r="AV219" t="n">
        <v>0.487352367</v>
      </c>
      <c r="AW219" t="n">
        <v>2.248753055</v>
      </c>
    </row>
    <row r="220">
      <c r="A220" t="inlineStr">
        <is>
          <t>2001-Q4</t>
        </is>
      </c>
      <c r="B220" s="106"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0.504431648</v>
      </c>
      <c r="AO220" t="n">
        <v>-0.733756628</v>
      </c>
      <c r="AP220" t="n">
        <v>2.209251062</v>
      </c>
      <c r="AR220" t="n">
        <v>4.373815847</v>
      </c>
      <c r="AS220" t="n">
        <v>3.135117983</v>
      </c>
      <c r="AT220" t="n">
        <v>1.618099231</v>
      </c>
      <c r="AU220" t="n">
        <v>-10.129126144</v>
      </c>
      <c r="AV220" t="n">
        <v>0.170642236</v>
      </c>
      <c r="AW220" t="n">
        <v>2.165989875</v>
      </c>
    </row>
    <row r="221">
      <c r="A221" t="inlineStr">
        <is>
          <t>2002-Q1</t>
        </is>
      </c>
      <c r="B221" s="106"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0.79818355</v>
      </c>
      <c r="AO221" t="n">
        <v>0.835752063</v>
      </c>
      <c r="AP221" t="n">
        <v>2.712151949</v>
      </c>
      <c r="AR221" t="n">
        <v>3.972498328</v>
      </c>
      <c r="AS221" t="n">
        <v>3.218124368</v>
      </c>
      <c r="AT221" t="n">
        <v>1.092210054</v>
      </c>
      <c r="AU221" t="n">
        <v>-1.695970785</v>
      </c>
      <c r="AV221" t="n">
        <v>1.328812048</v>
      </c>
      <c r="AW221" t="n">
        <v>2.644757559</v>
      </c>
    </row>
    <row r="222">
      <c r="A222" t="inlineStr">
        <is>
          <t>2002-Q2</t>
        </is>
      </c>
      <c r="B222" s="106"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1.460254533</v>
      </c>
      <c r="AO222" t="n">
        <v>2.210853287</v>
      </c>
      <c r="AP222" t="n">
        <v>1.255985013</v>
      </c>
      <c r="AR222" t="n">
        <v>3.924155081</v>
      </c>
      <c r="AS222" t="n">
        <v>2.843929428</v>
      </c>
      <c r="AT222" t="n">
        <v>2.687913151</v>
      </c>
      <c r="AU222" t="n">
        <v>7.767540922</v>
      </c>
      <c r="AV222" t="n">
        <v>1.322883902</v>
      </c>
      <c r="AW222" t="n">
        <v>3.430329068</v>
      </c>
    </row>
    <row r="223">
      <c r="A223" t="inlineStr">
        <is>
          <t>2002-Q3</t>
        </is>
      </c>
      <c r="B223" s="106"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2.067871123</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106"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2.211601524</v>
      </c>
      <c r="AO224" t="n">
        <v>2.460811588</v>
      </c>
      <c r="AP224" t="n">
        <v>-1.48022333</v>
      </c>
      <c r="AR224" t="n">
        <v>4.294945255</v>
      </c>
      <c r="AS224" t="n">
        <v>4.138594366</v>
      </c>
      <c r="AT224" t="n">
        <v>2.179730955</v>
      </c>
      <c r="AU224" t="n">
        <v>12.07772573</v>
      </c>
      <c r="AV224" t="n">
        <v>1.991286185</v>
      </c>
      <c r="AW224" t="n">
        <v>4.388621949</v>
      </c>
    </row>
    <row r="225">
      <c r="A225" t="inlineStr">
        <is>
          <t>2003-Q1</t>
        </is>
      </c>
      <c r="B225" s="106"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1.853909443</v>
      </c>
      <c r="AO225" t="n">
        <v>2.601922617</v>
      </c>
      <c r="AP225" t="n">
        <v>-1.551766468</v>
      </c>
      <c r="AR225" t="n">
        <v>5.806124548</v>
      </c>
      <c r="AS225" t="n">
        <v>2.739415217</v>
      </c>
      <c r="AT225" t="n">
        <v>3.549786432</v>
      </c>
      <c r="AU225" t="n">
        <v>8.088298775</v>
      </c>
      <c r="AV225" t="n">
        <v>1.67618894</v>
      </c>
      <c r="AW225" t="n">
        <v>3.922632384</v>
      </c>
    </row>
    <row r="226">
      <c r="A226" t="inlineStr">
        <is>
          <t>2003-Q2</t>
        </is>
      </c>
      <c r="B226" s="106"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1.566389389</v>
      </c>
      <c r="AO226" t="n">
        <v>3.814284192</v>
      </c>
      <c r="AP226" t="n">
        <v>-1.97190001</v>
      </c>
      <c r="AR226" t="n">
        <v>6.33166326</v>
      </c>
      <c r="AS226" t="n">
        <v>3.042289881</v>
      </c>
      <c r="AT226" t="n">
        <v>1.315840025</v>
      </c>
      <c r="AU226" t="n">
        <v>3.964297877</v>
      </c>
      <c r="AV226" t="n">
        <v>1.956993642</v>
      </c>
      <c r="AW226" t="n">
        <v>3.121689799</v>
      </c>
    </row>
    <row r="227">
      <c r="A227" t="inlineStr">
        <is>
          <t>2003-Q3</t>
        </is>
      </c>
      <c r="B227" s="106"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2.106255917</v>
      </c>
      <c r="AO227" t="n">
        <v>3.692228658</v>
      </c>
      <c r="AP227" t="n">
        <v>-0.651382451</v>
      </c>
      <c r="AR227" t="n">
        <v>4.41818704</v>
      </c>
      <c r="AS227" t="n">
        <v>3.323429813</v>
      </c>
      <c r="AT227" t="n">
        <v>2.203069223</v>
      </c>
      <c r="AU227" t="n">
        <v>5.487093424</v>
      </c>
      <c r="AV227" t="n">
        <v>3.239908302</v>
      </c>
      <c r="AW227" t="n">
        <v>2.52095906</v>
      </c>
    </row>
    <row r="228">
      <c r="A228" t="inlineStr">
        <is>
          <t>2003-Q4</t>
        </is>
      </c>
      <c r="B228" s="106"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2.863576964</v>
      </c>
      <c r="AO228" t="n">
        <v>3.884648234</v>
      </c>
      <c r="AP228" t="n">
        <v>0.473932977</v>
      </c>
      <c r="AR228" t="n">
        <v>5.468526981</v>
      </c>
      <c r="AS228" t="n">
        <v>2.262543304</v>
      </c>
      <c r="AT228" t="n">
        <v>2.679383653</v>
      </c>
      <c r="AU228" t="n">
        <v>6.405673062</v>
      </c>
      <c r="AV228" t="n">
        <v>4.29507652</v>
      </c>
      <c r="AW228" t="n">
        <v>2.261629374</v>
      </c>
    </row>
    <row r="229">
      <c r="A229" t="inlineStr">
        <is>
          <t>2004-Q1</t>
        </is>
      </c>
      <c r="B229" s="106" t="n">
        <v>38078</v>
      </c>
      <c r="C229" t="n">
        <v>11.194164854</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3.451290409</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106" t="n">
        <v>38169</v>
      </c>
      <c r="C230" t="n">
        <v>6.550445948</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3.640990937</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106" t="n">
        <v>38261</v>
      </c>
      <c r="C231" t="n">
        <v>9.189070854000001</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3.186129499</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106" t="n">
        <v>38353</v>
      </c>
      <c r="C232" t="n">
        <v>8.779958594</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2.793723438</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106" t="n">
        <v>38443</v>
      </c>
      <c r="C233" t="n">
        <v>8.390073599000001</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2.775122991</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106" t="n">
        <v>38534</v>
      </c>
      <c r="C234" t="n">
        <v>11.942529791</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2.738360144</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106" t="n">
        <v>38626</v>
      </c>
      <c r="C235" t="n">
        <v>7.337698312</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3.041439335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106" t="n">
        <v>38718</v>
      </c>
      <c r="C236" t="n">
        <v>7.880680874</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3.117989736</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106" t="n">
        <v>38808</v>
      </c>
      <c r="C237" t="n">
        <v>7.584022525</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3.40279885</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106" t="n">
        <v>38899</v>
      </c>
      <c r="C238" t="n">
        <v>6.626753222</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3.416668912</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106" t="n">
        <v>38991</v>
      </c>
      <c r="C239" t="n">
        <v>8.866752657999999</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2.873091673</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106" t="n">
        <v>39083</v>
      </c>
      <c r="C240" t="n">
        <v>9.068728047</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3.093260383</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106" t="n">
        <v>39173</v>
      </c>
      <c r="C241" t="n">
        <v>8.768028728000001</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2.734541982</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106" t="n">
        <v>39264</v>
      </c>
      <c r="C242" t="n">
        <v>9.817806186</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2.704908382</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106" t="n">
        <v>39356</v>
      </c>
      <c r="C243" t="n">
        <v>8.25745227</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2.856683821</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106" t="n">
        <v>39448</v>
      </c>
      <c r="C244" t="n">
        <v>9.195859</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2.575687633</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106" t="n">
        <v>39539</v>
      </c>
      <c r="C245" t="n">
        <v>7.683316628</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2.076800896</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106" t="n">
        <v>39630</v>
      </c>
      <c r="C246" t="n">
        <v>6.028109172</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1.435321231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106" t="n">
        <v>39722</v>
      </c>
      <c r="C247" t="n">
        <v>5.426339346</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0.403726101</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106" t="n">
        <v>39814</v>
      </c>
      <c r="C248" t="n">
        <v>-2.556374372</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-2.282106224</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106" t="n">
        <v>39904</v>
      </c>
      <c r="C249" t="n">
        <v>-6.971810787</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-4.725642124</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106" t="n">
        <v>39995</v>
      </c>
      <c r="C250" t="n">
        <v>-9.520950683000001</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-4.556004223</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106" t="n">
        <v>40087</v>
      </c>
      <c r="C251" t="n">
        <v>-6.712895952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-3.513827064</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106" t="n">
        <v>40179</v>
      </c>
      <c r="C252" t="n">
        <v>-0.240779336</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-0.664471925</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106" t="n">
        <v>40269</v>
      </c>
      <c r="C253" t="n">
        <v>6.678845106</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2.301014288</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106" t="n">
        <v>40360</v>
      </c>
      <c r="C254" t="n">
        <v>13.979850514</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3.228458702</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106" t="n">
        <v>40452</v>
      </c>
      <c r="C255" t="n">
        <v>10.247564763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3.506078293</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106" t="n">
        <v>40544</v>
      </c>
      <c r="C256" t="n">
        <v>9.692054722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3.164849348</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106" t="n">
        <v>40634</v>
      </c>
      <c r="C257" t="n">
        <v>9.00826928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2.834704641</v>
      </c>
      <c r="AO257" t="n">
        <v>5.042086304</v>
      </c>
      <c r="AP257" t="n">
        <v>-0.222233209</v>
      </c>
      <c r="AQ257" t="n">
        <v>3.850629307</v>
      </c>
      <c r="AR257" t="n">
        <v>3.30418778</v>
      </c>
      <c r="AS257" t="n">
        <v>3.256238487</v>
      </c>
      <c r="AT257" t="n">
        <v>5.355259443</v>
      </c>
      <c r="AU257" t="n">
        <v>12.378786378</v>
      </c>
      <c r="AV257" t="n">
        <v>2.030608191</v>
      </c>
      <c r="AW257" t="n">
        <v>3.69531593</v>
      </c>
    </row>
    <row r="258">
      <c r="A258" t="inlineStr">
        <is>
          <t>2011-Q2</t>
        </is>
      </c>
      <c r="B258" s="106" t="n">
        <v>40725</v>
      </c>
      <c r="C258" t="n">
        <v>5.294951542</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2.09487219</v>
      </c>
      <c r="AO258" t="n">
        <v>4.84437137</v>
      </c>
      <c r="AP258" t="n">
        <v>-1.196017007</v>
      </c>
      <c r="AQ258" t="n">
        <v>3.919052176</v>
      </c>
      <c r="AR258" t="n">
        <v>2.817004313</v>
      </c>
      <c r="AS258" t="n">
        <v>0.927075978</v>
      </c>
      <c r="AT258" t="n">
        <v>3.539690944</v>
      </c>
      <c r="AU258" t="n">
        <v>11.238746556</v>
      </c>
      <c r="AV258" t="n">
        <v>1.737905069</v>
      </c>
      <c r="AW258" t="n">
        <v>3.40765285</v>
      </c>
    </row>
    <row r="259">
      <c r="A259" t="inlineStr">
        <is>
          <t>2011-Q3</t>
        </is>
      </c>
      <c r="B259" s="106" t="n">
        <v>40817</v>
      </c>
      <c r="C259" t="n">
        <v>5.602946903</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1.830999798</v>
      </c>
      <c r="AO259" t="n">
        <v>4.813021079</v>
      </c>
      <c r="AP259" t="n">
        <v>-2.049629081</v>
      </c>
      <c r="AQ259" t="n">
        <v>4.628825602</v>
      </c>
      <c r="AR259" t="n">
        <v>2.17000599</v>
      </c>
      <c r="AS259" t="n">
        <v>0.460356278</v>
      </c>
      <c r="AT259" t="n">
        <v>3.655553062</v>
      </c>
      <c r="AU259" t="n">
        <v>11.117671024</v>
      </c>
      <c r="AV259" t="n">
        <v>0.918220848</v>
      </c>
      <c r="AW259" t="n">
        <v>2.919288694</v>
      </c>
    </row>
    <row r="260">
      <c r="A260" t="inlineStr">
        <is>
          <t>2011-Q4</t>
        </is>
      </c>
      <c r="B260" s="106" t="n">
        <v>40909</v>
      </c>
      <c r="C260" t="n">
        <v>4.273772691</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1.688651923</v>
      </c>
      <c r="AO260" t="n">
        <v>4.45598173</v>
      </c>
      <c r="AP260" t="n">
        <v>-3.310166708</v>
      </c>
      <c r="AQ260" t="n">
        <v>4.60367946</v>
      </c>
      <c r="AR260" t="n">
        <v>2.277594019</v>
      </c>
      <c r="AS260" t="n">
        <v>-0.049276734</v>
      </c>
      <c r="AT260" t="n">
        <v>0.5662344580000001</v>
      </c>
      <c r="AU260" t="n">
        <v>9.320906415</v>
      </c>
      <c r="AV260" t="n">
        <v>1.522691524</v>
      </c>
      <c r="AW260" t="n">
        <v>2.667733267</v>
      </c>
    </row>
    <row r="261">
      <c r="A261" t="inlineStr">
        <is>
          <t>2012-Q1</t>
        </is>
      </c>
      <c r="B261" s="106" t="n">
        <v>41000</v>
      </c>
      <c r="C261" t="n">
        <v>0.733000715</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1.894193019</v>
      </c>
      <c r="AO261" t="n">
        <v>3.362231106</v>
      </c>
      <c r="AP261" t="n">
        <v>-3.19826619</v>
      </c>
      <c r="AQ261" t="n">
        <v>5.064430948</v>
      </c>
      <c r="AR261" t="n">
        <v>2.175241605</v>
      </c>
      <c r="AS261" t="n">
        <v>-1.300942801</v>
      </c>
      <c r="AT261" t="n">
        <v>0.403479446</v>
      </c>
      <c r="AU261" t="n">
        <v>5.960009344</v>
      </c>
      <c r="AV261" t="n">
        <v>2.600249298</v>
      </c>
      <c r="AW261" t="n">
        <v>2.242809473</v>
      </c>
    </row>
    <row r="262">
      <c r="A262" t="inlineStr">
        <is>
          <t>2012-Q2</t>
        </is>
      </c>
      <c r="B262" s="106" t="n">
        <v>41091</v>
      </c>
      <c r="C262" t="n">
        <v>-3.657249588</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1.653702597</v>
      </c>
      <c r="AO262" t="n">
        <v>1.750169943</v>
      </c>
      <c r="AP262" t="n">
        <v>-4.091744129</v>
      </c>
      <c r="AQ262" t="n">
        <v>4.427194613</v>
      </c>
      <c r="AR262" t="n">
        <v>1.638869762</v>
      </c>
      <c r="AS262" t="n">
        <v>-2.550383174</v>
      </c>
      <c r="AT262" t="n">
        <v>0.20435517</v>
      </c>
      <c r="AU262" t="n">
        <v>4.907950841</v>
      </c>
      <c r="AV262" t="n">
        <v>2.37381635</v>
      </c>
      <c r="AW262" t="n">
        <v>2.522475367</v>
      </c>
    </row>
    <row r="263">
      <c r="A263" t="inlineStr">
        <is>
          <t>2012-Q3</t>
        </is>
      </c>
      <c r="B263" s="106" t="n">
        <v>41183</v>
      </c>
      <c r="C263" t="n">
        <v>-1.382521372</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1.235517547</v>
      </c>
      <c r="AO263" t="n">
        <v>0.896158725</v>
      </c>
      <c r="AP263" t="n">
        <v>-4.428694766</v>
      </c>
      <c r="AQ263" t="n">
        <v>3.710848939</v>
      </c>
      <c r="AR263" t="n">
        <v>1.261533794</v>
      </c>
      <c r="AS263" t="n">
        <v>-2.163605704</v>
      </c>
      <c r="AT263" t="n">
        <v>-1.223141844</v>
      </c>
      <c r="AU263" t="n">
        <v>3.994314266</v>
      </c>
      <c r="AV263" t="n">
        <v>2.592622977</v>
      </c>
      <c r="AW263" t="n">
        <v>2.515111215</v>
      </c>
    </row>
    <row r="264">
      <c r="A264" t="inlineStr">
        <is>
          <t>2012-Q4</t>
        </is>
      </c>
      <c r="B264" s="106" t="n">
        <v>41275</v>
      </c>
      <c r="C264" t="n">
        <v>0.210100419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0.842994366</v>
      </c>
      <c r="AO264" t="n">
        <v>-0.267268717</v>
      </c>
      <c r="AP264" t="n">
        <v>-4.527642954</v>
      </c>
      <c r="AQ264" t="n">
        <v>2.516876392</v>
      </c>
      <c r="AR264" t="n">
        <v>0.375438448</v>
      </c>
      <c r="AS264" t="n">
        <v>-4.145966951</v>
      </c>
      <c r="AT264" t="n">
        <v>-0.534002445</v>
      </c>
      <c r="AU264" t="n">
        <v>4.24628335</v>
      </c>
      <c r="AV264" t="n">
        <v>1.566064346</v>
      </c>
      <c r="AW264" t="n">
        <v>2.30420068</v>
      </c>
    </row>
    <row r="265">
      <c r="A265" t="inlineStr">
        <is>
          <t>2013-Q1</t>
        </is>
      </c>
      <c r="B265" s="106" t="n">
        <v>41365</v>
      </c>
      <c r="C265" t="n">
        <v>1.27767067</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0.94410908</v>
      </c>
      <c r="AO265" t="n">
        <v>-0.27228295</v>
      </c>
      <c r="AP265" t="n">
        <v>-3.604207477</v>
      </c>
      <c r="AQ265" t="n">
        <v>1.737621929</v>
      </c>
      <c r="AR265" t="n">
        <v>0.174491959</v>
      </c>
      <c r="AS265" t="n">
        <v>-3.357509979</v>
      </c>
      <c r="AT265" t="n">
        <v>0.673187878</v>
      </c>
      <c r="AU265" t="n">
        <v>8.263883862</v>
      </c>
      <c r="AV265" t="n">
        <v>1.616301095</v>
      </c>
      <c r="AW265" t="n">
        <v>2.516995892</v>
      </c>
    </row>
    <row r="266">
      <c r="A266" t="inlineStr">
        <is>
          <t>2013-Q2</t>
        </is>
      </c>
      <c r="B266" s="106" t="n">
        <v>41456</v>
      </c>
      <c r="C266" t="n">
        <v>5.451107459</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1.345542338</v>
      </c>
      <c r="AO266" t="n">
        <v>1.049027586</v>
      </c>
      <c r="AP266" t="n">
        <v>-1.546055897</v>
      </c>
      <c r="AQ266" t="n">
        <v>1.673388893</v>
      </c>
      <c r="AR266" t="n">
        <v>0.334212227</v>
      </c>
      <c r="AS266" t="n">
        <v>-1.309305329</v>
      </c>
      <c r="AT266" t="n">
        <v>0.448371333</v>
      </c>
      <c r="AU266" t="n">
        <v>9.54976744</v>
      </c>
      <c r="AV266" t="n">
        <v>1.29617049</v>
      </c>
      <c r="AW266" t="n">
        <v>2.407849915</v>
      </c>
    </row>
    <row r="267">
      <c r="A267" t="inlineStr">
        <is>
          <t>2013-Q3</t>
        </is>
      </c>
      <c r="B267" s="106" t="n">
        <v>41548</v>
      </c>
      <c r="C267" t="n">
        <v>2.884127653</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1.889723799</v>
      </c>
      <c r="AO267" t="n">
        <v>1.369671916</v>
      </c>
      <c r="AP267" t="n">
        <v>-0.560105728</v>
      </c>
      <c r="AQ267" t="n">
        <v>1.192622281</v>
      </c>
      <c r="AR267" t="n">
        <v>0.70465878</v>
      </c>
      <c r="AS267" t="n">
        <v>-1.493407351</v>
      </c>
      <c r="AT267" t="n">
        <v>1.029613425</v>
      </c>
      <c r="AU267" t="n">
        <v>9.228090256</v>
      </c>
      <c r="AV267" t="n">
        <v>1.91984462</v>
      </c>
      <c r="AW267" t="n">
        <v>2.477104493</v>
      </c>
    </row>
    <row r="268">
      <c r="A268" t="inlineStr">
        <is>
          <t>2013-Q4</t>
        </is>
      </c>
      <c r="B268" s="106" t="n">
        <v>41640</v>
      </c>
      <c r="C268" t="n">
        <v>0.144380722</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2.343879466</v>
      </c>
      <c r="AO268" t="n">
        <v>2.175251729</v>
      </c>
      <c r="AP268" t="n">
        <v>2.143056093</v>
      </c>
      <c r="AQ268" t="n">
        <v>1.708580709</v>
      </c>
      <c r="AR268" t="n">
        <v>1.405061538</v>
      </c>
      <c r="AS268" t="n">
        <v>2.452959071</v>
      </c>
      <c r="AT268" t="n">
        <v>2.473479948</v>
      </c>
      <c r="AU268" t="n">
        <v>7.713279186</v>
      </c>
      <c r="AV268" t="n">
        <v>2.532049778</v>
      </c>
      <c r="AW268" t="n">
        <v>2.5397362</v>
      </c>
    </row>
    <row r="269">
      <c r="A269" t="inlineStr">
        <is>
          <t>2014-Q1</t>
        </is>
      </c>
      <c r="B269" s="106" t="n">
        <v>41730</v>
      </c>
      <c r="C269" t="n">
        <v>-1.33043626</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2.116278641</v>
      </c>
      <c r="AO269" t="n">
        <v>3.165262901</v>
      </c>
      <c r="AP269" t="n">
        <v>1.066874721</v>
      </c>
      <c r="AQ269" t="n">
        <v>0.95351966</v>
      </c>
      <c r="AR269" t="n">
        <v>1.993167069</v>
      </c>
      <c r="AS269" t="n">
        <v>2.348034834</v>
      </c>
      <c r="AT269" t="n">
        <v>1.892895378</v>
      </c>
      <c r="AU269" t="n">
        <v>7.683130316</v>
      </c>
      <c r="AV269" t="n">
        <v>1.294055859</v>
      </c>
      <c r="AW269" t="n">
        <v>1.609781045</v>
      </c>
    </row>
    <row r="270">
      <c r="A270" t="inlineStr">
        <is>
          <t>2014-Q2</t>
        </is>
      </c>
      <c r="B270" s="106" t="n">
        <v>41821</v>
      </c>
      <c r="C270" t="n">
        <v>-2.447981559</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2.058735218</v>
      </c>
      <c r="AO270" t="n">
        <v>3.227329386</v>
      </c>
      <c r="AP270" t="n">
        <v>0.6399180330000001</v>
      </c>
      <c r="AQ270" t="n">
        <v>1.095628946</v>
      </c>
      <c r="AR270" t="n">
        <v>2.442384578</v>
      </c>
      <c r="AS270" t="n">
        <v>2.903952985</v>
      </c>
      <c r="AT270" t="n">
        <v>2.824972638</v>
      </c>
      <c r="AU270" t="n">
        <v>2.914726553</v>
      </c>
      <c r="AV270" t="n">
        <v>2.451999168</v>
      </c>
      <c r="AW270" t="n">
        <v>1.274154405</v>
      </c>
    </row>
    <row r="271">
      <c r="A271" t="inlineStr">
        <is>
          <t>2014-Q3</t>
        </is>
      </c>
      <c r="B271" s="106" t="n">
        <v>41913</v>
      </c>
      <c r="C271" t="n">
        <v>-3.852852866</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2.118987606</v>
      </c>
      <c r="AO271" t="n">
        <v>3.309486157</v>
      </c>
      <c r="AP271" t="n">
        <v>0.875727424</v>
      </c>
      <c r="AQ271" t="n">
        <v>0.733254645</v>
      </c>
      <c r="AR271" t="n">
        <v>2.956274181</v>
      </c>
      <c r="AS271" t="n">
        <v>3.512931069</v>
      </c>
      <c r="AT271" t="n">
        <v>3.102756392</v>
      </c>
      <c r="AU271" t="n">
        <v>3.921101733</v>
      </c>
      <c r="AV271" t="n">
        <v>2.831456926</v>
      </c>
      <c r="AW271" t="n">
        <v>1.280322755</v>
      </c>
    </row>
    <row r="272">
      <c r="A272" t="inlineStr">
        <is>
          <t>2014-Q4</t>
        </is>
      </c>
      <c r="B272" s="106" t="n">
        <v>42005</v>
      </c>
      <c r="C272" t="n">
        <v>-2.403877466</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2.186591363</v>
      </c>
      <c r="AO272" t="n">
        <v>3.711121396</v>
      </c>
      <c r="AP272" t="n">
        <v>0.590349244</v>
      </c>
      <c r="AQ272" t="n">
        <v>-0.081061665</v>
      </c>
      <c r="AR272" t="n">
        <v>3.494232378</v>
      </c>
      <c r="AS272" t="n">
        <v>1.686754184</v>
      </c>
      <c r="AT272" t="n">
        <v>3.184492249</v>
      </c>
      <c r="AU272" t="n">
        <v>5.117751062</v>
      </c>
      <c r="AV272" t="n">
        <v>2.563759666</v>
      </c>
      <c r="AW272" t="n">
        <v>1.492299283</v>
      </c>
    </row>
    <row r="273">
      <c r="A273" t="inlineStr">
        <is>
          <t>2015-Q1</t>
        </is>
      </c>
      <c r="B273" s="106" t="n">
        <v>42095</v>
      </c>
      <c r="C273" t="n">
        <v>0.538078503</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2.652830739</v>
      </c>
      <c r="AO273" t="n">
        <v>4.10599236</v>
      </c>
      <c r="AP273" t="n">
        <v>1.892981477</v>
      </c>
      <c r="AQ273" t="n">
        <v>-1.090845082</v>
      </c>
      <c r="AR273" t="n">
        <v>4.841123229</v>
      </c>
      <c r="AS273" t="n">
        <v>2.092800133</v>
      </c>
      <c r="AT273" t="n">
        <v>3.76455334</v>
      </c>
      <c r="AU273" t="n">
        <v>4.08566093</v>
      </c>
      <c r="AV273" t="n">
        <v>3.761202773</v>
      </c>
      <c r="AW273" t="n">
        <v>2.366630487</v>
      </c>
    </row>
    <row r="274">
      <c r="A274" t="inlineStr">
        <is>
          <t>2015-Q2</t>
        </is>
      </c>
      <c r="B274" s="106" t="n">
        <v>42186</v>
      </c>
      <c r="C274" t="n">
        <v>3.511301062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2.720733746</v>
      </c>
      <c r="AO274" t="n">
        <v>3.741782584</v>
      </c>
      <c r="AP274" t="n">
        <v>1.857357964</v>
      </c>
      <c r="AQ274" t="n">
        <v>-2.224746708</v>
      </c>
      <c r="AR274" t="n">
        <v>5.342834416</v>
      </c>
      <c r="AS274" t="n">
        <v>1.907403743</v>
      </c>
      <c r="AT274" t="n">
        <v>3.95405957</v>
      </c>
      <c r="AU274" t="n">
        <v>7.414384034</v>
      </c>
      <c r="AV274" t="n">
        <v>3.039854675</v>
      </c>
      <c r="AW274" t="n">
        <v>1.103366057</v>
      </c>
    </row>
    <row r="275">
      <c r="A275" t="inlineStr">
        <is>
          <t>2015-Q3</t>
        </is>
      </c>
      <c r="B275" s="106" t="n">
        <v>42278</v>
      </c>
      <c r="C275" t="n">
        <v>4.290826893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2.472720709</v>
      </c>
      <c r="AO275" t="n">
        <v>4.185842203</v>
      </c>
      <c r="AP275" t="n">
        <v>1.876774457</v>
      </c>
      <c r="AQ275" t="n">
        <v>-1.722941557</v>
      </c>
      <c r="AR275" t="n">
        <v>5.537614535</v>
      </c>
      <c r="AS275" t="n">
        <v>1.943360387</v>
      </c>
      <c r="AT275" t="n">
        <v>4.638896105</v>
      </c>
      <c r="AU275" t="n">
        <v>6.306599319</v>
      </c>
      <c r="AV275" t="n">
        <v>2.182668511</v>
      </c>
      <c r="AW275" t="n">
        <v>1.07302391</v>
      </c>
    </row>
    <row r="276">
      <c r="A276" t="inlineStr">
        <is>
          <t>2015-Q4</t>
        </is>
      </c>
      <c r="B276" s="106" t="n">
        <v>42370</v>
      </c>
      <c r="C276" t="n">
        <v>2.609794862</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2.224157141</v>
      </c>
      <c r="AO276" t="n">
        <v>4.795058151</v>
      </c>
      <c r="AP276" t="n">
        <v>1.543573076</v>
      </c>
      <c r="AQ276" t="n">
        <v>-1.744654001</v>
      </c>
      <c r="AR276" t="n">
        <v>5.136724884</v>
      </c>
      <c r="AS276" t="n">
        <v>1.970926639</v>
      </c>
      <c r="AT276" t="n">
        <v>4.629973529</v>
      </c>
      <c r="AU276" t="n">
        <v>6.117065331</v>
      </c>
      <c r="AV276" t="n">
        <v>1.874684059</v>
      </c>
      <c r="AW276" t="n">
        <v>0.756699682</v>
      </c>
    </row>
    <row r="277">
      <c r="A277" t="inlineStr">
        <is>
          <t>2016-Q1</t>
        </is>
      </c>
      <c r="B277" s="106" t="n">
        <v>42461</v>
      </c>
      <c r="C277" t="n">
        <v>0.198420164</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1.948120268</v>
      </c>
      <c r="AO277" t="n">
        <v>3.023989131</v>
      </c>
      <c r="AP277" t="n">
        <v>1.363934383</v>
      </c>
      <c r="AQ277" t="n">
        <v>-0.545701606</v>
      </c>
      <c r="AR277" t="n">
        <v>3.125064122</v>
      </c>
      <c r="AS277" t="n">
        <v>2.515541814</v>
      </c>
      <c r="AT277" t="n">
        <v>3.06420464</v>
      </c>
      <c r="AU277" t="n">
        <v>4.524423533</v>
      </c>
      <c r="AV277" t="n">
        <v>1.648190603</v>
      </c>
      <c r="AW277" t="n">
        <v>0.27304739</v>
      </c>
    </row>
    <row r="278">
      <c r="A278" t="inlineStr">
        <is>
          <t>2016-Q2</t>
        </is>
      </c>
      <c r="B278" s="106" t="n">
        <v>42552</v>
      </c>
      <c r="C278" t="n">
        <v>-3.646170261</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1.761676942</v>
      </c>
      <c r="AO278" t="n">
        <v>3.557428686</v>
      </c>
      <c r="AP278" t="n">
        <v>1.365877713</v>
      </c>
      <c r="AQ278" t="n">
        <v>0.179163383</v>
      </c>
      <c r="AR278" t="n">
        <v>2.107506166</v>
      </c>
      <c r="AS278" t="n">
        <v>3.140064758</v>
      </c>
      <c r="AT278" t="n">
        <v>2.140620334</v>
      </c>
      <c r="AU278" t="n">
        <v>4.428795264</v>
      </c>
      <c r="AV278" t="n">
        <v>1.36762965</v>
      </c>
      <c r="AW278" t="n">
        <v>1.224121386</v>
      </c>
    </row>
    <row r="279">
      <c r="A279" t="inlineStr">
        <is>
          <t>2016-Q3</t>
        </is>
      </c>
      <c r="B279" s="106" t="n">
        <v>42644</v>
      </c>
      <c r="C279" t="n">
        <v>-3.275468561</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1.62013437</v>
      </c>
      <c r="AO279" t="n">
        <v>2.52411902</v>
      </c>
      <c r="AP279" t="n">
        <v>2.439463797</v>
      </c>
      <c r="AQ279" t="n">
        <v>0.086420365</v>
      </c>
      <c r="AR279" t="n">
        <v>1.319512879</v>
      </c>
      <c r="AS279" t="n">
        <v>3.38565941</v>
      </c>
      <c r="AT279" t="n">
        <v>1.039809138</v>
      </c>
      <c r="AU279" t="n">
        <v>0.03215391</v>
      </c>
      <c r="AV279" t="n">
        <v>1.648263356</v>
      </c>
      <c r="AW279" t="n">
        <v>0.7579511249999999</v>
      </c>
    </row>
    <row r="280">
      <c r="A280" t="inlineStr">
        <is>
          <t>2016-Q4</t>
        </is>
      </c>
      <c r="B280" s="106" t="n">
        <v>42736</v>
      </c>
      <c r="C280" t="n">
        <v>-1.540152401</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2.133600541</v>
      </c>
      <c r="AO280" t="n">
        <v>3.588053369</v>
      </c>
      <c r="AP280" t="n">
        <v>2.901011108</v>
      </c>
      <c r="AQ280" t="n">
        <v>1.173049127</v>
      </c>
      <c r="AR280" t="n">
        <v>1.209940288</v>
      </c>
      <c r="AS280" t="n">
        <v>4.03742439</v>
      </c>
      <c r="AT280" t="n">
        <v>1.198817637</v>
      </c>
      <c r="AU280" t="n">
        <v>4.326189325</v>
      </c>
      <c r="AV280" t="n">
        <v>2.004177046</v>
      </c>
      <c r="AW280" t="n">
        <v>0.408272378</v>
      </c>
    </row>
    <row r="281">
      <c r="A281" t="inlineStr">
        <is>
          <t>2017-Q1</t>
        </is>
      </c>
      <c r="B281" s="106" t="n">
        <v>42826</v>
      </c>
      <c r="C281" t="n">
        <v>0.242237874</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2.792923111</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2.234229934</v>
      </c>
      <c r="AO281" t="n">
        <v>4.875458136</v>
      </c>
      <c r="AP281" t="n">
        <v>3.622097634</v>
      </c>
      <c r="AQ281" t="n">
        <v>1.184907997</v>
      </c>
      <c r="AR281" t="n">
        <v>2.09038931</v>
      </c>
      <c r="AS281" t="n">
        <v>4.82296578</v>
      </c>
      <c r="AT281" t="n">
        <v>1.732087134</v>
      </c>
      <c r="AU281" t="n">
        <v>5.373309812</v>
      </c>
      <c r="AV281" t="n">
        <v>1.88527887</v>
      </c>
      <c r="AW281" t="n">
        <v>0.64192753</v>
      </c>
    </row>
    <row r="282">
      <c r="A282" t="inlineStr">
        <is>
          <t>2017-Q2</t>
        </is>
      </c>
      <c r="B282" s="106" t="n">
        <v>42917</v>
      </c>
      <c r="C282" t="n">
        <v>2.904298613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3.675517535</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2.600356478</v>
      </c>
      <c r="AO282" t="n">
        <v>4.422552815</v>
      </c>
      <c r="AP282" t="n">
        <v>3.834597164</v>
      </c>
      <c r="AQ282" t="n">
        <v>1.828812514</v>
      </c>
      <c r="AR282" t="n">
        <v>2.792319481</v>
      </c>
      <c r="AS282" t="n">
        <v>4.754507426</v>
      </c>
      <c r="AT282" t="n">
        <v>2.943601576</v>
      </c>
      <c r="AU282" t="n">
        <v>6.255758034</v>
      </c>
      <c r="AV282" t="n">
        <v>2.146716583</v>
      </c>
      <c r="AW282" t="n">
        <v>1.093464986</v>
      </c>
    </row>
    <row r="283">
      <c r="A283" t="inlineStr">
        <is>
          <t>2017-Q3</t>
        </is>
      </c>
      <c r="B283" s="106" t="n">
        <v>43009</v>
      </c>
      <c r="C283" t="n">
        <v>3.841990855</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2.863629706</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2.940512066</v>
      </c>
      <c r="AO283" t="n">
        <v>5.333590517</v>
      </c>
      <c r="AP283" t="n">
        <v>3.342896141</v>
      </c>
      <c r="AQ283" t="n">
        <v>2.417471184</v>
      </c>
      <c r="AR283" t="n">
        <v>3.242785676</v>
      </c>
      <c r="AS283" t="n">
        <v>4.672414993</v>
      </c>
      <c r="AT283" t="n">
        <v>3.624033962</v>
      </c>
      <c r="AU283" t="n">
        <v>11.051091386</v>
      </c>
      <c r="AV283" t="n">
        <v>2.266564638</v>
      </c>
      <c r="AW283" t="n">
        <v>1.291712289</v>
      </c>
    </row>
    <row r="284">
      <c r="A284" t="inlineStr">
        <is>
          <t>2017-Q4</t>
        </is>
      </c>
      <c r="B284" s="106" t="n">
        <v>43101</v>
      </c>
      <c r="C284" t="n">
        <v>4.309122477</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3.442610981</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2.926451399</v>
      </c>
      <c r="AO284" t="n">
        <v>4.792837068</v>
      </c>
      <c r="AP284" t="n">
        <v>3.233822787</v>
      </c>
      <c r="AQ284" t="n">
        <v>1.600592735</v>
      </c>
      <c r="AR284" t="n">
        <v>3.784175491</v>
      </c>
      <c r="AS284" t="n">
        <v>6.216054274</v>
      </c>
      <c r="AT284" t="n">
        <v>2.918911602</v>
      </c>
      <c r="AU284" t="n">
        <v>7.233754818</v>
      </c>
      <c r="AV284" t="n">
        <v>2.717885582</v>
      </c>
      <c r="AW284" t="n">
        <v>1.603878997</v>
      </c>
    </row>
    <row r="285">
      <c r="A285" t="inlineStr">
        <is>
          <t>2018-Q1</t>
        </is>
      </c>
      <c r="B285" s="106" t="n">
        <v>43191</v>
      </c>
      <c r="C285" t="n">
        <v>3.007287124</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2.325539439</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2.852587459</v>
      </c>
      <c r="AO285" t="n">
        <v>5.124233985</v>
      </c>
      <c r="AP285" t="n">
        <v>2.781332358</v>
      </c>
      <c r="AQ285" t="n">
        <v>2.771136176</v>
      </c>
      <c r="AR285" t="n">
        <v>3.708306153</v>
      </c>
      <c r="AS285" t="n">
        <v>4.571098318</v>
      </c>
      <c r="AT285" t="n">
        <v>2.732045064</v>
      </c>
      <c r="AU285" t="n">
        <v>7.363445147</v>
      </c>
      <c r="AV285" t="n">
        <v>3.015311883</v>
      </c>
      <c r="AW285" t="n">
        <v>1.570386415</v>
      </c>
    </row>
    <row r="286">
      <c r="A286" t="inlineStr">
        <is>
          <t>2018-Q2</t>
        </is>
      </c>
      <c r="B286" s="106" t="n">
        <v>43282</v>
      </c>
      <c r="C286" t="n">
        <v>-2.824371588</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1.28413495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2.760458806</v>
      </c>
      <c r="AO286" t="n">
        <v>5.570977034</v>
      </c>
      <c r="AP286" t="n">
        <v>3.06183269</v>
      </c>
      <c r="AQ286" t="n">
        <v>2.635980342</v>
      </c>
      <c r="AR286" t="n">
        <v>3.91693658</v>
      </c>
      <c r="AS286" t="n">
        <v>4.600977889</v>
      </c>
      <c r="AT286" t="n">
        <v>2.5237914</v>
      </c>
      <c r="AU286" t="n">
        <v>5.503513698</v>
      </c>
      <c r="AV286" t="n">
        <v>3.296152283</v>
      </c>
      <c r="AW286" t="n">
        <v>0.884009454</v>
      </c>
    </row>
    <row r="287">
      <c r="A287" t="inlineStr">
        <is>
          <t>2018-Q3</t>
        </is>
      </c>
      <c r="B287" s="106" t="n">
        <v>43374</v>
      </c>
      <c r="C287" t="n">
        <v>-4.098624852</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0.831256675</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2.231375976</v>
      </c>
      <c r="AO287" t="n">
        <v>5.846150443</v>
      </c>
      <c r="AP287" t="n">
        <v>2.888588032</v>
      </c>
      <c r="AQ287" t="n">
        <v>2.189295851</v>
      </c>
      <c r="AR287" t="n">
        <v>4.091774978</v>
      </c>
      <c r="AS287" t="n">
        <v>4.967510246</v>
      </c>
      <c r="AT287" t="n">
        <v>0.81741701</v>
      </c>
      <c r="AU287" t="n">
        <v>2.27502318</v>
      </c>
      <c r="AV287" t="n">
        <v>3.052885912</v>
      </c>
      <c r="AW287" t="n">
        <v>1.80273475</v>
      </c>
    </row>
    <row r="288">
      <c r="A288" t="inlineStr">
        <is>
          <t>2018-Q4</t>
        </is>
      </c>
      <c r="B288" s="106" t="n">
        <v>43466</v>
      </c>
      <c r="C288" t="n">
        <v>-6.389460228</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0.148226575</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1.646744814</v>
      </c>
      <c r="AO288" t="n">
        <v>4.937718221</v>
      </c>
      <c r="AP288" t="n">
        <v>2.667707197</v>
      </c>
      <c r="AQ288" t="n">
        <v>2.846063111</v>
      </c>
      <c r="AR288" t="n">
        <v>3.463890401</v>
      </c>
      <c r="AS288" t="n">
        <v>4.015765093</v>
      </c>
      <c r="AT288" t="n">
        <v>2.064023378</v>
      </c>
      <c r="AU288" t="n">
        <v>-2.61596129</v>
      </c>
      <c r="AV288" t="n">
        <v>2.320617095</v>
      </c>
      <c r="AW288" t="n">
        <v>1.692026805</v>
      </c>
    </row>
    <row r="289">
      <c r="A289" t="inlineStr">
        <is>
          <t>2019-Q1</t>
        </is>
      </c>
      <c r="B289" s="106" t="n">
        <v>43556</v>
      </c>
      <c r="C289" t="n">
        <v>-6.052805449</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0.803991749</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1.69107807</v>
      </c>
      <c r="AO289" t="n">
        <v>5.54634386</v>
      </c>
      <c r="AP289" t="n">
        <v>2.824818654</v>
      </c>
      <c r="AQ289" t="n">
        <v>1.431857369</v>
      </c>
      <c r="AR289" t="n">
        <v>3.603219894</v>
      </c>
      <c r="AS289" t="n">
        <v>4.353941416</v>
      </c>
      <c r="AT289" t="n">
        <v>2.352567503</v>
      </c>
      <c r="AU289" t="n">
        <v>-2.333422921</v>
      </c>
      <c r="AV289" t="n">
        <v>2.153001514</v>
      </c>
      <c r="AW289" t="n">
        <v>0.258904096</v>
      </c>
    </row>
    <row r="290">
      <c r="A290" t="inlineStr">
        <is>
          <t>2019-Q2</t>
        </is>
      </c>
      <c r="B290" s="106" t="n">
        <v>43647</v>
      </c>
      <c r="C290" t="n">
        <v>-1.004575043</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1.650502557</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1.637991858</v>
      </c>
      <c r="AO290" t="n">
        <v>4.904055942</v>
      </c>
      <c r="AP290" t="n">
        <v>2.605571366</v>
      </c>
      <c r="AQ290" t="n">
        <v>3.150957043</v>
      </c>
      <c r="AR290" t="n">
        <v>2.790788319</v>
      </c>
      <c r="AS290" t="n">
        <v>2.775255433</v>
      </c>
      <c r="AT290" t="n">
        <v>1.7518975</v>
      </c>
      <c r="AU290" t="n">
        <v>-0.514834341</v>
      </c>
      <c r="AV290" t="n">
        <v>2.111478836</v>
      </c>
      <c r="AW290" t="n">
        <v>0.8835602420000001</v>
      </c>
    </row>
    <row r="291">
      <c r="A291" t="inlineStr">
        <is>
          <t>2019-Q3</t>
        </is>
      </c>
      <c r="B291" s="106" t="n">
        <v>43739</v>
      </c>
      <c r="C291" t="n">
        <v>-0.258332358</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1.701767084</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1.878812028</v>
      </c>
      <c r="AO291" t="n">
        <v>4.563664772</v>
      </c>
      <c r="AP291" t="n">
        <v>2.540924798</v>
      </c>
      <c r="AQ291" t="n">
        <v>1.896150164</v>
      </c>
      <c r="AR291" t="n">
        <v>2.035192191</v>
      </c>
      <c r="AS291" t="n">
        <v>2.897479916</v>
      </c>
      <c r="AT291" t="n">
        <v>2.612703325</v>
      </c>
      <c r="AU291" t="n">
        <v>1.144279226</v>
      </c>
      <c r="AV291" t="n">
        <v>2.318325998</v>
      </c>
      <c r="AW291" t="n">
        <v>-0.229652007</v>
      </c>
    </row>
    <row r="292">
      <c r="A292" t="inlineStr">
        <is>
          <t>2019-Q4</t>
        </is>
      </c>
      <c r="B292" s="106" t="n">
        <v>43831</v>
      </c>
      <c r="C292" t="n">
        <v>-0.56788553</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1.214011347</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1.68655058</v>
      </c>
      <c r="AO292" t="n">
        <v>4.034963753</v>
      </c>
      <c r="AP292" t="n">
        <v>2.760684181</v>
      </c>
      <c r="AQ292" t="n">
        <v>0.7656019509999999</v>
      </c>
      <c r="AR292" t="n">
        <v>2.017998195</v>
      </c>
      <c r="AS292" t="n">
        <v>2.952396899</v>
      </c>
      <c r="AT292" t="n">
        <v>1.38349362</v>
      </c>
      <c r="AU292" t="n">
        <v>5.68390736</v>
      </c>
      <c r="AV292" t="n">
        <v>2.569423535</v>
      </c>
      <c r="AW292" t="n">
        <v>-0.449256694</v>
      </c>
    </row>
    <row r="293">
      <c r="A293" t="inlineStr">
        <is>
          <t>2020-Q1</t>
        </is>
      </c>
      <c r="B293" s="106" t="n">
        <v>43922</v>
      </c>
      <c r="C293" t="n">
        <v>-4.834710226</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0.061217708</v>
      </c>
      <c r="U293" t="n">
        <v>-5.423366004</v>
      </c>
      <c r="V293" t="n">
        <v>-1.108530909</v>
      </c>
      <c r="X293" t="n">
        <v>-2.166598758</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-0.676483543</v>
      </c>
      <c r="AO293" t="n">
        <v>2.221660189</v>
      </c>
      <c r="AP293" t="n">
        <v>-2.634006101</v>
      </c>
      <c r="AQ293" t="n">
        <v>0.603824644</v>
      </c>
      <c r="AR293" t="n">
        <v>-2.812822933</v>
      </c>
      <c r="AS293" t="n">
        <v>-2.356365792</v>
      </c>
      <c r="AT293" t="n">
        <v>0.026420368</v>
      </c>
      <c r="AU293" t="n">
        <v>4.292928455</v>
      </c>
      <c r="AV293" t="n">
        <v>0.630785164</v>
      </c>
      <c r="AW293" t="n">
        <v>0.669337363</v>
      </c>
    </row>
    <row r="294">
      <c r="A294" t="inlineStr">
        <is>
          <t>2020-Q2</t>
        </is>
      </c>
      <c r="B294" s="106" t="n">
        <v>44013</v>
      </c>
      <c r="C294" t="n">
        <v>-19.91003437</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-7.089824099</v>
      </c>
      <c r="U294" t="n">
        <v>-18.60960572</v>
      </c>
      <c r="V294" t="n">
        <v>-11.853770414</v>
      </c>
      <c r="X294" t="n">
        <v>-21.412490516</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-11.584498099</v>
      </c>
      <c r="AO294" t="n">
        <v>-7.826007908</v>
      </c>
      <c r="AP294" t="n">
        <v>-17.945345509</v>
      </c>
      <c r="AQ294" t="n">
        <v>-5.937237685</v>
      </c>
      <c r="AR294" t="n">
        <v>-10.142446709</v>
      </c>
      <c r="AS294" t="n">
        <v>-11.321084625</v>
      </c>
      <c r="AT294" t="n">
        <v>-8.289420664</v>
      </c>
      <c r="AU294" t="n">
        <v>-9.102578514999999</v>
      </c>
      <c r="AV294" t="n">
        <v>-9.083737424000001</v>
      </c>
      <c r="AW294" t="n">
        <v>-17.245082083</v>
      </c>
    </row>
    <row r="295">
      <c r="A295" t="inlineStr">
        <is>
          <t>2020-Q3</t>
        </is>
      </c>
      <c r="B295" s="106" t="n">
        <v>44105</v>
      </c>
      <c r="C295" t="n">
        <v>-10.180626563</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-2.716495114</v>
      </c>
      <c r="U295" t="n">
        <v>-3.59505906</v>
      </c>
      <c r="V295" t="n">
        <v>-3.991671654</v>
      </c>
      <c r="X295" t="n">
        <v>-8.131427298</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-3.715542538</v>
      </c>
      <c r="AO295" t="n">
        <v>-1.926451673</v>
      </c>
      <c r="AP295" t="n">
        <v>-6.338843252</v>
      </c>
      <c r="AQ295" t="n">
        <v>-2.765689118</v>
      </c>
      <c r="AR295" t="n">
        <v>-2.216595815</v>
      </c>
      <c r="AS295" t="n">
        <v>-2.023875942</v>
      </c>
      <c r="AT295" t="n">
        <v>-2.083357613</v>
      </c>
      <c r="AU295" t="n">
        <v>5.751517577</v>
      </c>
      <c r="AV295" t="n">
        <v>-2.887505989</v>
      </c>
      <c r="AW295" t="n">
        <v>-5.730121938</v>
      </c>
    </row>
    <row r="296">
      <c r="A296" t="inlineStr">
        <is>
          <t>2020-Q4</t>
        </is>
      </c>
      <c r="B296" s="106" t="n">
        <v>44197</v>
      </c>
      <c r="C296" t="n">
        <v>-4.579815853</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-1.700816462</v>
      </c>
      <c r="U296" t="n">
        <v>-4.298442623</v>
      </c>
      <c r="V296" t="n">
        <v>-2.976773606</v>
      </c>
      <c r="X296" t="n">
        <v>-7.072794806</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-2.738485276</v>
      </c>
      <c r="AO296" t="n">
        <v>-2.536063817</v>
      </c>
      <c r="AP296" t="n">
        <v>-6.849309852</v>
      </c>
      <c r="AQ296" t="n">
        <v>-1.288509054</v>
      </c>
      <c r="AR296" t="n">
        <v>-2.278542267</v>
      </c>
      <c r="AS296" t="n">
        <v>-3.542925082</v>
      </c>
      <c r="AT296" t="n">
        <v>-2.012976545</v>
      </c>
      <c r="AU296" t="n">
        <v>5.582396764</v>
      </c>
      <c r="AV296" t="n">
        <v>-2.262915243</v>
      </c>
      <c r="AW296" t="n">
        <v>-3.388749564</v>
      </c>
    </row>
    <row r="297">
      <c r="A297" t="inlineStr">
        <is>
          <t>2021-Q1</t>
        </is>
      </c>
      <c r="B297" s="106" t="n">
        <v>44287</v>
      </c>
      <c r="C297" t="n">
        <v>2.50688954</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-1.151936792</v>
      </c>
      <c r="U297" t="n">
        <v>1.538842211</v>
      </c>
      <c r="V297" t="n">
        <v>-0.645070344</v>
      </c>
      <c r="X297" t="n">
        <v>-5.79388058</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-0.325908286</v>
      </c>
      <c r="AO297" t="n">
        <v>-1.087700843</v>
      </c>
      <c r="AP297" t="n">
        <v>-5.72386132</v>
      </c>
      <c r="AQ297" t="n">
        <v>-0.129119542</v>
      </c>
      <c r="AR297" t="n">
        <v>0.280406041</v>
      </c>
      <c r="AS297" t="n">
        <v>2.708439138</v>
      </c>
      <c r="AT297" t="n">
        <v>0.006955005</v>
      </c>
      <c r="AU297" t="n">
        <v>7.665925488</v>
      </c>
      <c r="AV297" t="n">
        <v>0.546976803</v>
      </c>
      <c r="AW297" t="n">
        <v>-2.627756322</v>
      </c>
    </row>
    <row r="298">
      <c r="A298" t="inlineStr">
        <is>
          <t>2021-Q2</t>
        </is>
      </c>
      <c r="B298" s="106" t="n">
        <v>44378</v>
      </c>
      <c r="C298" t="n">
        <v>19.578712309</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7.929572994</v>
      </c>
      <c r="U298" t="n">
        <v>18.823665454</v>
      </c>
      <c r="V298" t="n">
        <v>12.852875511</v>
      </c>
      <c r="X298" t="n">
        <v>23.578596074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13.195810273</v>
      </c>
      <c r="AO298" t="n">
        <v>10.914667086</v>
      </c>
      <c r="AP298" t="n">
        <v>16.128373849</v>
      </c>
      <c r="AQ298" t="n">
        <v>8.065804143999999</v>
      </c>
      <c r="AR298" t="n">
        <v>10.129999864</v>
      </c>
      <c r="AS298" t="n">
        <v>15.701891574</v>
      </c>
      <c r="AT298" t="n">
        <v>9.591287124999999</v>
      </c>
      <c r="AU298" t="n">
        <v>22.472627478</v>
      </c>
      <c r="AV298" t="n">
        <v>12.226677108</v>
      </c>
      <c r="AW298" t="n">
        <v>19.121183447</v>
      </c>
    </row>
    <row r="299">
      <c r="A299" t="inlineStr">
        <is>
          <t>2021-Q3</t>
        </is>
      </c>
      <c r="B299" s="106" t="n">
        <v>44470</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3.984227242</v>
      </c>
      <c r="U299" t="n">
        <v>3.273581977</v>
      </c>
      <c r="V299" t="n">
        <v>4.074333499</v>
      </c>
      <c r="X299" t="n">
        <v>6.550376403</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R299" t="n">
        <v>1.341350285</v>
      </c>
      <c r="AS299" t="n">
        <v>4.773877256</v>
      </c>
      <c r="AT299" t="n">
        <v>4.547842163</v>
      </c>
      <c r="AU299" t="n">
        <v>8.067343685000001</v>
      </c>
      <c r="AV299" t="n">
        <v>4.895399297</v>
      </c>
      <c r="AW299" t="n">
        <v>3.032818719</v>
      </c>
    </row>
    <row r="300">
      <c r="A300" t="inlineStr">
        <is>
          <t>2021-Q4</t>
        </is>
      </c>
      <c r="B300" s="106" t="n">
        <v>44562</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L182"/>
  <sheetViews>
    <sheetView workbookViewId="0">
      <selection activeCell="W9" sqref="W9"/>
    </sheetView>
  </sheetViews>
  <sheetFormatPr baseColWidth="10" defaultRowHeight="15"/>
  <sheetData>
    <row r="1" ht="23" customHeight="1" s="8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United States</t>
        </is>
      </c>
      <c r="B2" t="n">
        <v>20937</v>
      </c>
      <c r="C2" t="n">
        <v>0.049</v>
      </c>
      <c r="D2" t="n">
        <v>0.021</v>
      </c>
      <c r="E2" t="n">
        <v>0.0025</v>
      </c>
      <c r="F2" t="n">
        <v>0.068</v>
      </c>
      <c r="G2" t="n">
        <v>0.042</v>
      </c>
      <c r="H2" t="n">
        <v>-0.149</v>
      </c>
      <c r="I2" t="n">
        <v>1.281</v>
      </c>
      <c r="J2" t="n">
        <v>-3.1</v>
      </c>
      <c r="K2" t="n">
        <v>98.56</v>
      </c>
      <c r="L2" t="n">
        <v>329.48</v>
      </c>
    </row>
    <row r="3">
      <c r="A3" t="inlineStr">
        <is>
          <t>China</t>
        </is>
      </c>
      <c r="B3" t="n">
        <v>14723</v>
      </c>
      <c r="C3" t="n">
        <v>0.049</v>
      </c>
      <c r="D3" t="n">
        <v>0.002</v>
      </c>
      <c r="E3" t="n">
        <v>0.0385</v>
      </c>
      <c r="F3" t="n">
        <v>0.023</v>
      </c>
      <c r="G3" t="n">
        <v>0.05</v>
      </c>
      <c r="H3" t="n">
        <v>-0.03700000000000001</v>
      </c>
      <c r="I3" t="n">
        <v>0.6679999999999999</v>
      </c>
      <c r="J3" t="n">
        <v>1.9</v>
      </c>
      <c r="K3" t="n">
        <v>6.37</v>
      </c>
      <c r="L3" t="n">
        <v>1443.5</v>
      </c>
    </row>
    <row r="4">
      <c r="A4" t="inlineStr">
        <is>
          <t>Euro Area</t>
        </is>
      </c>
      <c r="B4" t="n">
        <v>13011</v>
      </c>
      <c r="C4" t="n">
        <v>0.039</v>
      </c>
      <c r="D4" t="n">
        <v>0.022</v>
      </c>
      <c r="E4" t="n">
        <v>0</v>
      </c>
      <c r="F4" t="n">
        <v>0.049</v>
      </c>
      <c r="G4" t="n">
        <v>0.073</v>
      </c>
      <c r="H4" t="n">
        <v>-0.07200000000000001</v>
      </c>
      <c r="I4" t="n">
        <v>0.98</v>
      </c>
      <c r="J4" t="n">
        <v>3</v>
      </c>
      <c r="K4" t="n">
        <v>1.11</v>
      </c>
      <c r="L4" t="n">
        <v>342.41</v>
      </c>
    </row>
    <row r="5">
      <c r="A5" t="inlineStr">
        <is>
          <t>Japan</t>
        </is>
      </c>
      <c r="B5" t="n">
        <v>4975</v>
      </c>
      <c r="C5" t="n">
        <v>0.014</v>
      </c>
      <c r="D5" t="n">
        <v>-0.009000000000000001</v>
      </c>
      <c r="E5" t="n">
        <v>-0.001</v>
      </c>
      <c r="F5" t="n">
        <v>0.001</v>
      </c>
      <c r="G5" t="n">
        <v>0.027</v>
      </c>
      <c r="H5" t="n">
        <v>-0.126</v>
      </c>
      <c r="I5" t="n">
        <v>2.662</v>
      </c>
      <c r="J5" t="n">
        <v>3.2</v>
      </c>
      <c r="K5" t="n">
        <v>108.19</v>
      </c>
      <c r="L5" t="n">
        <v>125.67</v>
      </c>
    </row>
    <row r="6">
      <c r="A6" t="inlineStr">
        <is>
          <t>Germany</t>
        </is>
      </c>
      <c r="B6" t="n">
        <v>3846</v>
      </c>
      <c r="C6" t="n">
        <v>0.025</v>
      </c>
      <c r="D6" t="n">
        <v>0.017</v>
      </c>
      <c r="E6" t="n">
        <v>0</v>
      </c>
      <c r="F6" t="n">
        <v>0.052</v>
      </c>
      <c r="G6" t="n">
        <v>0.053</v>
      </c>
      <c r="H6" t="n">
        <v>-0.042</v>
      </c>
      <c r="I6" t="n">
        <v>0.698</v>
      </c>
      <c r="J6" t="n">
        <v>7</v>
      </c>
      <c r="K6" t="n">
        <v>1.11</v>
      </c>
      <c r="L6" t="n">
        <v>83.17</v>
      </c>
    </row>
    <row r="7">
      <c r="A7" t="inlineStr">
        <is>
          <t>United Kingdom</t>
        </is>
      </c>
      <c r="B7" t="n">
        <v>2708</v>
      </c>
      <c r="C7" t="n">
        <v>0.066</v>
      </c>
      <c r="D7" t="n">
        <v>0.013</v>
      </c>
      <c r="E7" t="n">
        <v>0.0025</v>
      </c>
      <c r="F7" t="n">
        <v>0.051</v>
      </c>
      <c r="G7" t="n">
        <v>0.042</v>
      </c>
      <c r="H7" t="n">
        <v>-0.149</v>
      </c>
      <c r="I7" t="n">
        <v>0.9490000000000001</v>
      </c>
      <c r="J7" t="n">
        <v>-3.5</v>
      </c>
      <c r="K7" t="n">
        <v>1.25</v>
      </c>
      <c r="L7" t="n">
        <v>67.2</v>
      </c>
    </row>
    <row r="8">
      <c r="A8" t="inlineStr">
        <is>
          <t>France</t>
        </is>
      </c>
      <c r="B8" t="n">
        <v>2630</v>
      </c>
      <c r="C8" t="n">
        <v>0.033</v>
      </c>
      <c r="D8" t="n">
        <v>0.03</v>
      </c>
      <c r="E8" t="n">
        <v>0</v>
      </c>
      <c r="F8" t="n">
        <v>0.028</v>
      </c>
      <c r="G8" t="n">
        <v>0.081</v>
      </c>
      <c r="H8" t="n">
        <v>-0.092</v>
      </c>
      <c r="I8" t="n">
        <v>1.157</v>
      </c>
      <c r="J8" t="n">
        <v>-1.9</v>
      </c>
      <c r="K8" t="n">
        <v>1.11</v>
      </c>
      <c r="L8" t="n">
        <v>67.29000000000001</v>
      </c>
    </row>
    <row r="9">
      <c r="A9" t="inlineStr">
        <is>
          <t>India</t>
        </is>
      </c>
      <c r="B9" t="n">
        <v>2623</v>
      </c>
      <c r="C9" t="n">
        <v>0.08400000000000001</v>
      </c>
      <c r="D9" t="n">
        <v>-0.102</v>
      </c>
      <c r="E9" t="n">
        <v>0.04</v>
      </c>
      <c r="F9" t="n">
        <v>0.0491</v>
      </c>
      <c r="G9" t="n">
        <v>0.06900000000000001</v>
      </c>
      <c r="H9" t="n">
        <v>-0.094</v>
      </c>
      <c r="I9" t="n">
        <v>0.7395</v>
      </c>
      <c r="J9" t="n">
        <v>0.9</v>
      </c>
      <c r="K9" t="n">
        <v>71.01000000000001</v>
      </c>
      <c r="L9" t="n">
        <v>1347.12</v>
      </c>
    </row>
    <row r="10">
      <c r="A10" t="inlineStr">
        <is>
          <t>Italy</t>
        </is>
      </c>
      <c r="B10" t="n">
        <v>1886</v>
      </c>
      <c r="C10" t="n">
        <v>0.039</v>
      </c>
      <c r="D10" t="n">
        <v>0.026</v>
      </c>
      <c r="E10" t="n">
        <v>0</v>
      </c>
      <c r="F10" t="n">
        <v>0.03700000000000001</v>
      </c>
      <c r="G10" t="n">
        <v>0.094</v>
      </c>
      <c r="H10" t="n">
        <v>-0.095</v>
      </c>
      <c r="I10" t="n">
        <v>1.558</v>
      </c>
      <c r="J10" t="n">
        <v>3.6</v>
      </c>
      <c r="K10" t="n">
        <v>1.11</v>
      </c>
      <c r="L10" t="n">
        <v>59.64</v>
      </c>
    </row>
    <row r="11">
      <c r="A11" t="inlineStr">
        <is>
          <t>Canada</t>
        </is>
      </c>
      <c r="B11" t="n">
        <v>1644</v>
      </c>
      <c r="C11" t="n">
        <v>0.04</v>
      </c>
      <c r="D11" t="n">
        <v>0.013</v>
      </c>
      <c r="E11" t="n">
        <v>0.0025</v>
      </c>
      <c r="F11" t="n">
        <v>0.047</v>
      </c>
      <c r="G11" t="n">
        <v>0.06</v>
      </c>
      <c r="H11" t="n">
        <v>-0.149</v>
      </c>
      <c r="I11" t="n">
        <v>1.178</v>
      </c>
      <c r="J11" t="n">
        <v>-1.9</v>
      </c>
      <c r="K11" t="n">
        <v>1.33</v>
      </c>
      <c r="L11" t="n">
        <v>38.01</v>
      </c>
    </row>
    <row r="12">
      <c r="A12" t="inlineStr">
        <is>
          <t>South Korea</t>
        </is>
      </c>
      <c r="B12" t="n">
        <v>1631</v>
      </c>
      <c r="C12" t="n">
        <v>0.04</v>
      </c>
      <c r="D12" t="n">
        <v>0.003</v>
      </c>
      <c r="E12" t="n">
        <v>0.01</v>
      </c>
      <c r="F12" t="n">
        <v>0.03700000000000001</v>
      </c>
      <c r="G12" t="n">
        <v>0.031</v>
      </c>
      <c r="H12" t="n">
        <v>-0.061</v>
      </c>
      <c r="I12" t="n">
        <v>0.426</v>
      </c>
      <c r="J12" t="n">
        <v>3.5</v>
      </c>
      <c r="K12" t="n">
        <v>1145.85</v>
      </c>
      <c r="L12" t="n">
        <v>51.78</v>
      </c>
    </row>
    <row r="13">
      <c r="A13" t="inlineStr">
        <is>
          <t>Russia</t>
        </is>
      </c>
      <c r="B13" t="n">
        <v>1484</v>
      </c>
      <c r="C13" t="n">
        <v>0.043</v>
      </c>
      <c r="D13" t="n">
        <v>0.035</v>
      </c>
      <c r="E13" t="n">
        <v>0.08500000000000001</v>
      </c>
      <c r="F13" t="n">
        <v>0.08400000000000001</v>
      </c>
      <c r="G13" t="n">
        <v>0.043</v>
      </c>
      <c r="H13" t="n">
        <v>-0.038</v>
      </c>
      <c r="I13" t="n">
        <v>0.178</v>
      </c>
      <c r="J13" t="n">
        <v>2.4</v>
      </c>
      <c r="K13" t="n">
        <v>64.34999999999999</v>
      </c>
      <c r="L13" t="n">
        <v>146.2</v>
      </c>
    </row>
    <row r="14">
      <c r="A14" t="inlineStr">
        <is>
          <t>Brazil</t>
        </is>
      </c>
      <c r="B14" t="n">
        <v>1445</v>
      </c>
      <c r="C14" t="n">
        <v>0.04</v>
      </c>
      <c r="D14" t="n">
        <v>-0.001</v>
      </c>
      <c r="E14" t="n">
        <v>0.0925</v>
      </c>
      <c r="F14" t="n">
        <v>0.1074</v>
      </c>
      <c r="G14" t="n">
        <v>0.126</v>
      </c>
      <c r="H14" t="n">
        <v>-0.134</v>
      </c>
      <c r="I14" t="n">
        <v>0.8883</v>
      </c>
      <c r="J14" t="n">
        <v>-0.72</v>
      </c>
      <c r="K14" t="n">
        <v>4.07</v>
      </c>
      <c r="L14" t="n">
        <v>211.82</v>
      </c>
    </row>
    <row r="15">
      <c r="A15" t="inlineStr">
        <is>
          <t>Australia</t>
        </is>
      </c>
      <c r="B15" t="n">
        <v>1331</v>
      </c>
      <c r="C15" t="n">
        <v>0.039</v>
      </c>
      <c r="D15" t="n">
        <v>-0.019</v>
      </c>
      <c r="E15" t="n">
        <v>0.001</v>
      </c>
      <c r="F15" t="n">
        <v>0.03</v>
      </c>
      <c r="G15" t="n">
        <v>0.046</v>
      </c>
      <c r="H15" t="n">
        <v>-0.043</v>
      </c>
      <c r="I15" t="n">
        <v>0.248</v>
      </c>
      <c r="J15" t="n">
        <v>2.5</v>
      </c>
      <c r="K15" t="n">
        <v>0.68</v>
      </c>
      <c r="L15" t="n">
        <v>25.68</v>
      </c>
    </row>
    <row r="16">
      <c r="A16" t="inlineStr">
        <is>
          <t>Spain</t>
        </is>
      </c>
      <c r="B16" t="n">
        <v>1281</v>
      </c>
      <c r="C16" t="n">
        <v>0.027</v>
      </c>
      <c r="D16" t="n">
        <v>0.02</v>
      </c>
      <c r="E16" t="n">
        <v>0</v>
      </c>
      <c r="F16" t="n">
        <v>0.055</v>
      </c>
      <c r="G16" t="n">
        <v>0.1457</v>
      </c>
      <c r="H16" t="n">
        <v>-0.11</v>
      </c>
      <c r="I16" t="n">
        <v>1.2</v>
      </c>
      <c r="J16" t="n">
        <v>0.7</v>
      </c>
      <c r="K16" t="n">
        <v>1.11</v>
      </c>
      <c r="L16" t="n">
        <v>47.33</v>
      </c>
    </row>
    <row r="17">
      <c r="A17" t="inlineStr">
        <is>
          <t>Mexico</t>
        </is>
      </c>
      <c r="B17" t="n">
        <v>1076</v>
      </c>
      <c r="C17" t="n">
        <v>0.045</v>
      </c>
      <c r="D17" t="n">
        <v>-0.004</v>
      </c>
      <c r="E17" t="n">
        <v>0.055</v>
      </c>
      <c r="F17" t="n">
        <v>0.0737</v>
      </c>
      <c r="G17" t="n">
        <v>0.039</v>
      </c>
      <c r="H17" t="n">
        <v>-0.046</v>
      </c>
      <c r="I17" t="n">
        <v>0.521</v>
      </c>
      <c r="J17" t="n">
        <v>2.4</v>
      </c>
      <c r="K17" t="n">
        <v>19.36</v>
      </c>
      <c r="L17" t="n">
        <v>126.01</v>
      </c>
    </row>
    <row r="18">
      <c r="A18" t="inlineStr">
        <is>
          <t>Indonesia</t>
        </is>
      </c>
      <c r="B18" t="n">
        <v>1058</v>
      </c>
      <c r="C18" t="n">
        <v>0.0351</v>
      </c>
      <c r="D18" t="n">
        <v>0.0155</v>
      </c>
      <c r="E18" t="n">
        <v>0.035</v>
      </c>
      <c r="F18" t="n">
        <v>0.0175</v>
      </c>
      <c r="G18" t="n">
        <v>0.0649</v>
      </c>
      <c r="H18" t="n">
        <v>-0.065</v>
      </c>
      <c r="I18" t="n">
        <v>0.385</v>
      </c>
      <c r="J18" t="n">
        <v>-0.44</v>
      </c>
      <c r="K18" t="n">
        <v>14462</v>
      </c>
      <c r="L18" t="n">
        <v>270.2</v>
      </c>
    </row>
    <row r="19">
      <c r="A19" t="inlineStr">
        <is>
          <t>Netherlands</t>
        </is>
      </c>
      <c r="B19" t="n">
        <v>914</v>
      </c>
      <c r="C19" t="n">
        <v>0.05</v>
      </c>
      <c r="D19" t="n">
        <v>0.019</v>
      </c>
      <c r="E19" t="n">
        <v>0</v>
      </c>
      <c r="F19" t="n">
        <v>0.052</v>
      </c>
      <c r="G19" t="n">
        <v>0.027</v>
      </c>
      <c r="H19" t="n">
        <v>-0.043</v>
      </c>
      <c r="I19" t="n">
        <v>0.545</v>
      </c>
      <c r="J19" t="n">
        <v>7.8</v>
      </c>
      <c r="K19" t="n">
        <v>1.11</v>
      </c>
      <c r="L19" t="n">
        <v>17.41</v>
      </c>
    </row>
    <row r="20">
      <c r="A20" t="inlineStr">
        <is>
          <t>Switzerland</t>
        </is>
      </c>
      <c r="B20" t="n">
        <v>752</v>
      </c>
      <c r="C20" t="n">
        <v>0.04099999999999999</v>
      </c>
      <c r="D20" t="n">
        <v>0.017</v>
      </c>
      <c r="E20" t="n">
        <v>-0.0075</v>
      </c>
      <c r="F20" t="n">
        <v>0.015</v>
      </c>
      <c r="G20" t="n">
        <v>0.025</v>
      </c>
      <c r="H20" t="n">
        <v>-0.026</v>
      </c>
      <c r="I20" t="n">
        <v>0.429</v>
      </c>
      <c r="J20" t="n">
        <v>3.8</v>
      </c>
      <c r="K20" t="n">
        <v>0.92</v>
      </c>
      <c r="L20" t="n">
        <v>8.609999999999999</v>
      </c>
    </row>
    <row r="21">
      <c r="A21" t="inlineStr">
        <is>
          <t>Turkey</t>
        </is>
      </c>
      <c r="B21" t="n">
        <v>720</v>
      </c>
      <c r="C21" t="n">
        <v>0.07400000000000001</v>
      </c>
      <c r="D21" t="n">
        <v>0.027</v>
      </c>
      <c r="E21" t="n">
        <v>0.14</v>
      </c>
      <c r="F21" t="n">
        <v>0.2131</v>
      </c>
      <c r="G21" t="n">
        <v>0.112</v>
      </c>
      <c r="H21" t="n">
        <v>-0.034</v>
      </c>
      <c r="I21" t="n">
        <v>0.395</v>
      </c>
      <c r="J21" t="n">
        <v>-5.1</v>
      </c>
      <c r="K21" t="n">
        <v>8.619999999999999</v>
      </c>
      <c r="L21" t="n">
        <v>83.61</v>
      </c>
    </row>
    <row r="22">
      <c r="A22" t="inlineStr">
        <is>
          <t>Saudi Arabia</t>
        </is>
      </c>
      <c r="B22" t="n">
        <v>700</v>
      </c>
      <c r="C22" t="n">
        <v>0.07000000000000001</v>
      </c>
      <c r="D22" t="n">
        <v>0.057</v>
      </c>
      <c r="E22" t="n">
        <v>0.01</v>
      </c>
      <c r="F22" t="n">
        <v>0.011</v>
      </c>
      <c r="G22" t="n">
        <v>0.066</v>
      </c>
      <c r="H22" t="n">
        <v>-0.112</v>
      </c>
      <c r="I22" t="n">
        <v>0.325</v>
      </c>
      <c r="J22" t="n">
        <v>-2.8</v>
      </c>
      <c r="K22" t="n">
        <v>3.75</v>
      </c>
      <c r="L22" t="n">
        <v>35</v>
      </c>
    </row>
    <row r="23">
      <c r="A23" t="inlineStr">
        <is>
          <t>Taiwan</t>
        </is>
      </c>
      <c r="B23" t="n">
        <v>669</v>
      </c>
      <c r="C23" t="n">
        <v>0.03700000000000001</v>
      </c>
      <c r="D23" t="n">
        <v>0.0027</v>
      </c>
      <c r="E23" t="n">
        <v>0.0113</v>
      </c>
      <c r="F23" t="n">
        <v>0.0284</v>
      </c>
      <c r="G23" t="n">
        <v>0.0384</v>
      </c>
      <c r="H23" t="n">
        <v>-0.045</v>
      </c>
      <c r="I23" t="n">
        <v>0.282</v>
      </c>
      <c r="J23" t="n">
        <v>9.5</v>
      </c>
      <c r="K23" t="n">
        <v>28.02</v>
      </c>
      <c r="L23" t="n">
        <v>23.55</v>
      </c>
    </row>
    <row r="24">
      <c r="A24" t="inlineStr">
        <is>
          <t>Poland</t>
        </is>
      </c>
      <c r="B24" t="n">
        <v>594</v>
      </c>
      <c r="C24" t="n">
        <v>0.053</v>
      </c>
      <c r="D24" t="n">
        <v>0.023</v>
      </c>
      <c r="E24" t="n">
        <v>0.0175</v>
      </c>
      <c r="F24" t="n">
        <v>0.078</v>
      </c>
      <c r="G24" t="n">
        <v>0.055</v>
      </c>
      <c r="H24" t="n">
        <v>-0.07000000000000001</v>
      </c>
      <c r="I24" t="n">
        <v>0.575</v>
      </c>
      <c r="J24" t="n">
        <v>3.6</v>
      </c>
      <c r="K24" t="n">
        <v>3.89</v>
      </c>
      <c r="L24" t="n">
        <v>37.96</v>
      </c>
    </row>
    <row r="25">
      <c r="A25" t="inlineStr">
        <is>
          <t>Sweden</t>
        </is>
      </c>
      <c r="B25" t="n">
        <v>541</v>
      </c>
      <c r="C25" t="n">
        <v>0.047</v>
      </c>
      <c r="D25" t="n">
        <v>0.02</v>
      </c>
      <c r="E25" t="n">
        <v>0</v>
      </c>
      <c r="F25" t="n">
        <v>0.033</v>
      </c>
      <c r="G25" t="n">
        <v>0.075</v>
      </c>
      <c r="H25" t="n">
        <v>-0.031</v>
      </c>
      <c r="I25" t="n">
        <v>0.399</v>
      </c>
      <c r="J25" t="n">
        <v>5.2</v>
      </c>
      <c r="K25" t="n">
        <v>8.65</v>
      </c>
      <c r="L25" t="n">
        <v>10.33</v>
      </c>
    </row>
    <row r="26">
      <c r="A26" t="inlineStr">
        <is>
          <t>Belgium</t>
        </is>
      </c>
      <c r="B26" t="n">
        <v>515</v>
      </c>
      <c r="C26" t="n">
        <v>0.049</v>
      </c>
      <c r="D26" t="n">
        <v>0.02</v>
      </c>
      <c r="E26" t="n">
        <v>0</v>
      </c>
      <c r="F26" t="n">
        <v>0.0564</v>
      </c>
      <c r="G26" t="n">
        <v>0.063</v>
      </c>
      <c r="H26" t="n">
        <v>-0.094</v>
      </c>
      <c r="I26" t="n">
        <v>1.141</v>
      </c>
      <c r="J26" t="n">
        <v>-0.2</v>
      </c>
      <c r="K26" t="n">
        <v>1.11</v>
      </c>
      <c r="L26" t="n">
        <v>11.52</v>
      </c>
    </row>
    <row r="27">
      <c r="A27" t="inlineStr">
        <is>
          <t>Thailand</t>
        </is>
      </c>
      <c r="B27" t="n">
        <v>502</v>
      </c>
      <c r="C27" t="n">
        <v>-0.003</v>
      </c>
      <c r="D27" t="n">
        <v>-0.011</v>
      </c>
      <c r="E27" t="n">
        <v>0.005</v>
      </c>
      <c r="F27" t="n">
        <v>0.0271</v>
      </c>
      <c r="G27" t="n">
        <v>0.0225</v>
      </c>
      <c r="H27" t="n">
        <v>-0.061</v>
      </c>
      <c r="I27" t="n">
        <v>0.505</v>
      </c>
      <c r="J27" t="n">
        <v>4.2</v>
      </c>
      <c r="K27" t="n">
        <v>32.64</v>
      </c>
      <c r="L27" t="n">
        <v>66.65000000000001</v>
      </c>
    </row>
    <row r="28">
      <c r="A28" t="inlineStr">
        <is>
          <t>Venezuela</t>
        </is>
      </c>
      <c r="B28" t="n">
        <v>482</v>
      </c>
      <c r="C28" t="n">
        <v>-0.268</v>
      </c>
      <c r="D28" t="n">
        <v>-0.237</v>
      </c>
      <c r="E28" t="n">
        <v>0.5686</v>
      </c>
      <c r="F28" t="n">
        <v>15.753</v>
      </c>
      <c r="G28" t="n">
        <v>0.064</v>
      </c>
      <c r="H28" t="n">
        <v>-0.299</v>
      </c>
      <c r="I28" t="n">
        <v>3.5</v>
      </c>
      <c r="J28" t="n">
        <v>-3.5</v>
      </c>
      <c r="K28" t="n">
        <v>971748.8</v>
      </c>
      <c r="L28" t="n">
        <v>32.6</v>
      </c>
    </row>
    <row r="29">
      <c r="A29" t="inlineStr">
        <is>
          <t>Nigeria</t>
        </is>
      </c>
      <c r="B29" t="n">
        <v>432</v>
      </c>
      <c r="C29" t="n">
        <v>0.04</v>
      </c>
      <c r="D29" t="n">
        <v>0.111</v>
      </c>
      <c r="E29" t="n">
        <v>0.115</v>
      </c>
      <c r="F29" t="n">
        <v>0.154</v>
      </c>
      <c r="G29" t="n">
        <v>0.333</v>
      </c>
      <c r="H29" t="n">
        <v>-0.038</v>
      </c>
      <c r="I29" t="n">
        <v>0.3497999999999999</v>
      </c>
      <c r="J29" t="n">
        <v>-4.2</v>
      </c>
      <c r="K29" t="n">
        <v>411</v>
      </c>
      <c r="L29" t="n">
        <v>206.14</v>
      </c>
    </row>
    <row r="30">
      <c r="A30" t="inlineStr">
        <is>
          <t>Austria</t>
        </is>
      </c>
      <c r="B30" t="n">
        <v>431</v>
      </c>
      <c r="C30" t="n">
        <v>0.057</v>
      </c>
      <c r="D30" t="n">
        <v>0.038</v>
      </c>
      <c r="E30" t="n">
        <v>0</v>
      </c>
      <c r="F30" t="n">
        <v>0.043</v>
      </c>
      <c r="G30" t="n">
        <v>0.07000000000000001</v>
      </c>
      <c r="H30" t="n">
        <v>-0.08900000000000001</v>
      </c>
      <c r="I30" t="n">
        <v>0.8390000000000001</v>
      </c>
      <c r="J30" t="n">
        <v>2.5</v>
      </c>
      <c r="K30" t="n">
        <v>1.11</v>
      </c>
      <c r="L30" t="n">
        <v>8.9</v>
      </c>
    </row>
    <row r="31">
      <c r="A31" t="inlineStr">
        <is>
          <t>Ireland</t>
        </is>
      </c>
      <c r="B31" t="n">
        <v>426</v>
      </c>
      <c r="C31" t="n">
        <v>0.114</v>
      </c>
      <c r="D31" t="n">
        <v>0.009000000000000001</v>
      </c>
      <c r="E31" t="n">
        <v>0</v>
      </c>
      <c r="F31" t="n">
        <v>0.053</v>
      </c>
      <c r="G31" t="n">
        <v>0.052</v>
      </c>
      <c r="H31" t="n">
        <v>-0.05</v>
      </c>
      <c r="I31" t="n">
        <v>0.595</v>
      </c>
      <c r="J31" t="n">
        <v>4.6</v>
      </c>
      <c r="K31" t="n">
        <v>1.11</v>
      </c>
      <c r="L31" t="n">
        <v>4.96</v>
      </c>
    </row>
    <row r="32">
      <c r="A32" t="inlineStr">
        <is>
          <t>United Arab Emirates</t>
        </is>
      </c>
      <c r="B32" t="n">
        <v>421</v>
      </c>
      <c r="C32" t="n">
        <v>-0.061</v>
      </c>
      <c r="D32" t="n">
        <v>0.02</v>
      </c>
      <c r="E32" t="n">
        <v>0.015</v>
      </c>
      <c r="F32" t="n">
        <v>0.012</v>
      </c>
      <c r="G32" t="n">
        <v>0.05</v>
      </c>
      <c r="H32" t="n">
        <v>-0.008</v>
      </c>
      <c r="I32" t="n">
        <v>0.369</v>
      </c>
      <c r="J32" t="n">
        <v>5.9</v>
      </c>
      <c r="K32" t="n">
        <v>3.67</v>
      </c>
      <c r="L32" t="n">
        <v>9.9</v>
      </c>
    </row>
    <row r="33">
      <c r="A33" t="inlineStr">
        <is>
          <t>Israel</t>
        </is>
      </c>
      <c r="B33" t="n">
        <v>402</v>
      </c>
      <c r="C33" t="n">
        <v>0.059</v>
      </c>
      <c r="D33" t="n">
        <v>0.006</v>
      </c>
      <c r="E33" t="n">
        <v>0.001</v>
      </c>
      <c r="F33" t="n">
        <v>0.024</v>
      </c>
      <c r="G33" t="n">
        <v>0.05</v>
      </c>
      <c r="H33" t="n">
        <v>-0.117</v>
      </c>
      <c r="I33" t="n">
        <v>0.711</v>
      </c>
      <c r="J33" t="n">
        <v>4.9</v>
      </c>
      <c r="K33" t="n">
        <v>3.28</v>
      </c>
      <c r="L33" t="n">
        <v>9.289999999999999</v>
      </c>
    </row>
    <row r="34">
      <c r="A34" t="inlineStr">
        <is>
          <t>Argentina</t>
        </is>
      </c>
      <c r="B34" t="n">
        <v>383</v>
      </c>
      <c r="C34" t="n">
        <v>0.119</v>
      </c>
      <c r="D34" t="n">
        <v>0.04099999999999999</v>
      </c>
      <c r="E34" t="n">
        <v>0.38</v>
      </c>
      <c r="F34" t="n">
        <v>0.512</v>
      </c>
      <c r="G34" t="n">
        <v>0.096</v>
      </c>
      <c r="H34" t="n">
        <v>-0.08500000000000001</v>
      </c>
      <c r="I34" t="n">
        <v>1.02</v>
      </c>
      <c r="J34" t="n">
        <v>1</v>
      </c>
      <c r="K34" t="n">
        <v>96.12</v>
      </c>
      <c r="L34" t="n">
        <v>45.38</v>
      </c>
    </row>
    <row r="35">
      <c r="A35" t="inlineStr">
        <is>
          <t>Egypt</t>
        </is>
      </c>
      <c r="B35" t="n">
        <v>363</v>
      </c>
      <c r="C35" t="n">
        <v>0.07200000000000001</v>
      </c>
      <c r="D35" t="n">
        <v>0.029</v>
      </c>
      <c r="E35" t="n">
        <v>0.0825</v>
      </c>
      <c r="F35" t="n">
        <v>0.05599999999999999</v>
      </c>
      <c r="G35" t="n">
        <v>0.075</v>
      </c>
      <c r="H35" t="n">
        <v>-0.09</v>
      </c>
      <c r="I35" t="n">
        <v>0.88</v>
      </c>
      <c r="J35" t="n">
        <v>-4.6</v>
      </c>
      <c r="K35" t="n">
        <v>15.64</v>
      </c>
      <c r="L35" t="n">
        <v>100.5</v>
      </c>
    </row>
    <row r="36">
      <c r="A36" t="inlineStr">
        <is>
          <t>Norway</t>
        </is>
      </c>
      <c r="B36" t="n">
        <v>363</v>
      </c>
      <c r="C36" t="n">
        <v>0.051</v>
      </c>
      <c r="D36" t="n">
        <v>0.038</v>
      </c>
      <c r="E36" t="n">
        <v>0.005</v>
      </c>
      <c r="F36" t="n">
        <v>0.051</v>
      </c>
      <c r="G36" t="n">
        <v>0.042</v>
      </c>
      <c r="H36" t="n">
        <v>-0.034</v>
      </c>
      <c r="I36" t="n">
        <v>0.46</v>
      </c>
      <c r="J36" t="n">
        <v>2</v>
      </c>
      <c r="K36" t="n">
        <v>8.93</v>
      </c>
      <c r="L36" t="n">
        <v>5.37</v>
      </c>
    </row>
    <row r="37">
      <c r="A37" t="inlineStr">
        <is>
          <t>Philippines</t>
        </is>
      </c>
      <c r="B37" t="n">
        <v>361</v>
      </c>
      <c r="C37" t="n">
        <v>0.07099999999999999</v>
      </c>
      <c r="D37" t="n">
        <v>0.038</v>
      </c>
      <c r="E37" t="n">
        <v>0.02</v>
      </c>
      <c r="F37" t="n">
        <v>0.042</v>
      </c>
      <c r="G37" t="n">
        <v>0.07400000000000001</v>
      </c>
      <c r="H37" t="n">
        <v>-0.075</v>
      </c>
      <c r="I37" t="n">
        <v>0.535</v>
      </c>
      <c r="J37" t="n">
        <v>3.6</v>
      </c>
      <c r="K37" t="n">
        <v>50.07</v>
      </c>
      <c r="L37" t="n">
        <v>109.6</v>
      </c>
    </row>
    <row r="38">
      <c r="A38" t="inlineStr">
        <is>
          <t>Denmark</t>
        </is>
      </c>
      <c r="B38" t="n">
        <v>356</v>
      </c>
      <c r="C38" t="n">
        <v>0.036</v>
      </c>
      <c r="D38" t="n">
        <v>0.009000000000000001</v>
      </c>
      <c r="E38" t="n">
        <v>-0.006</v>
      </c>
      <c r="F38" t="n">
        <v>0.034</v>
      </c>
      <c r="G38" t="n">
        <v>0.031</v>
      </c>
      <c r="H38" t="n">
        <v>-0.035</v>
      </c>
      <c r="I38" t="n">
        <v>0.422</v>
      </c>
      <c r="J38" t="n">
        <v>7.8</v>
      </c>
      <c r="K38" t="n">
        <v>6.31</v>
      </c>
      <c r="L38" t="n">
        <v>5.82</v>
      </c>
    </row>
    <row r="39">
      <c r="A39" t="inlineStr">
        <is>
          <t>Hong Kong</t>
        </is>
      </c>
      <c r="B39" t="n">
        <v>347</v>
      </c>
      <c r="C39" t="n">
        <v>0.05400000000000001</v>
      </c>
      <c r="D39" t="n">
        <v>0.001</v>
      </c>
      <c r="E39" t="n">
        <v>0.0086</v>
      </c>
      <c r="F39" t="n">
        <v>0.017</v>
      </c>
      <c r="G39" t="n">
        <v>0.04099999999999999</v>
      </c>
      <c r="H39" t="n">
        <v>-0.12</v>
      </c>
      <c r="I39" t="n">
        <v>0.384</v>
      </c>
      <c r="J39" t="n">
        <v>6.6</v>
      </c>
      <c r="K39" t="n">
        <v>7.83</v>
      </c>
      <c r="L39" t="n">
        <v>7.47</v>
      </c>
    </row>
    <row r="40">
      <c r="A40" t="inlineStr">
        <is>
          <t>Singapore</t>
        </is>
      </c>
      <c r="B40" t="n">
        <v>340</v>
      </c>
      <c r="C40" t="n">
        <v>0.07099999999999999</v>
      </c>
      <c r="D40" t="n">
        <v>0.013</v>
      </c>
      <c r="E40" t="n">
        <v>0.0022</v>
      </c>
      <c r="F40" t="n">
        <v>0.032</v>
      </c>
      <c r="G40" t="n">
        <v>0.026</v>
      </c>
      <c r="H40" t="n">
        <v>-0.139</v>
      </c>
      <c r="I40" t="n">
        <v>1.31</v>
      </c>
      <c r="J40" t="n">
        <v>17.6</v>
      </c>
      <c r="K40" t="n">
        <v>1.37</v>
      </c>
      <c r="L40" t="n">
        <v>5.7</v>
      </c>
    </row>
    <row r="41">
      <c r="A41" t="inlineStr">
        <is>
          <t>Malaysia</t>
        </is>
      </c>
      <c r="B41" t="n">
        <v>337</v>
      </c>
      <c r="C41" t="n">
        <v>-0.045</v>
      </c>
      <c r="D41" t="n">
        <v>-0.036</v>
      </c>
      <c r="E41" t="n">
        <v>0.0175</v>
      </c>
      <c r="F41" t="n">
        <v>0.029</v>
      </c>
      <c r="G41" t="n">
        <v>0.043</v>
      </c>
      <c r="H41" t="n">
        <v>-0.032</v>
      </c>
      <c r="I41" t="n">
        <v>0.607</v>
      </c>
      <c r="J41" t="n">
        <v>1</v>
      </c>
      <c r="K41" t="n">
        <v>4.19</v>
      </c>
      <c r="L41" t="n">
        <v>32.73</v>
      </c>
    </row>
    <row r="42">
      <c r="A42" t="inlineStr">
        <is>
          <t>Bangladesh</t>
        </is>
      </c>
      <c r="B42" t="n">
        <v>324</v>
      </c>
      <c r="C42" t="n">
        <v>0.0547</v>
      </c>
      <c r="D42" t="n">
        <v>0.0547</v>
      </c>
      <c r="E42" t="n">
        <v>0.0475</v>
      </c>
      <c r="F42" t="n">
        <v>0.057</v>
      </c>
      <c r="G42" t="n">
        <v>0.053</v>
      </c>
      <c r="H42" t="n">
        <v>-0.0535</v>
      </c>
      <c r="I42" t="n">
        <v>0.317</v>
      </c>
      <c r="J42" t="n">
        <v>-1.5</v>
      </c>
      <c r="K42" t="n">
        <v>84.8</v>
      </c>
      <c r="L42" t="n">
        <v>165</v>
      </c>
    </row>
    <row r="43">
      <c r="A43" t="inlineStr">
        <is>
          <t>South Africa</t>
        </is>
      </c>
      <c r="B43" t="n">
        <v>302</v>
      </c>
      <c r="C43" t="n">
        <v>0.029</v>
      </c>
      <c r="D43" t="n">
        <v>-0.015</v>
      </c>
      <c r="E43" t="n">
        <v>0.0375</v>
      </c>
      <c r="F43" t="n">
        <v>0.055</v>
      </c>
      <c r="G43" t="n">
        <v>0.349</v>
      </c>
      <c r="H43" t="n">
        <v>-0.1</v>
      </c>
      <c r="I43" t="n">
        <v>0.8029999999999999</v>
      </c>
      <c r="J43" t="n">
        <v>2.2</v>
      </c>
      <c r="K43" t="n">
        <v>14.73</v>
      </c>
      <c r="L43" t="n">
        <v>59.3</v>
      </c>
    </row>
    <row r="44">
      <c r="A44" t="inlineStr">
        <is>
          <t>Vietnam</t>
        </is>
      </c>
      <c r="B44" t="n">
        <v>271</v>
      </c>
      <c r="C44" t="n">
        <v>-0.0617</v>
      </c>
      <c r="D44" t="n">
        <v>0.0688</v>
      </c>
      <c r="E44" t="n">
        <v>0.04</v>
      </c>
      <c r="F44" t="n">
        <v>0.021</v>
      </c>
      <c r="G44" t="n">
        <v>0.0372</v>
      </c>
      <c r="H44" t="n">
        <v>-0.058</v>
      </c>
      <c r="I44" t="n">
        <v>0.467</v>
      </c>
      <c r="J44" t="n">
        <v>5</v>
      </c>
      <c r="K44" t="n">
        <v>23170</v>
      </c>
      <c r="L44" t="n">
        <v>97.58</v>
      </c>
    </row>
    <row r="45">
      <c r="A45" t="inlineStr">
        <is>
          <t>Colombia</t>
        </is>
      </c>
      <c r="B45" t="n">
        <v>271</v>
      </c>
      <c r="C45" t="n">
        <v>0.132</v>
      </c>
      <c r="D45" t="n">
        <v>0.057</v>
      </c>
      <c r="E45" t="n">
        <v>0.03</v>
      </c>
      <c r="F45" t="n">
        <v>0.0526</v>
      </c>
      <c r="G45" t="n">
        <v>0.118</v>
      </c>
      <c r="H45" t="n">
        <v>-0.078</v>
      </c>
      <c r="I45" t="n">
        <v>0.628</v>
      </c>
      <c r="J45" t="n">
        <v>-3.4</v>
      </c>
      <c r="K45" t="n">
        <v>3354</v>
      </c>
      <c r="L45" t="n">
        <v>50.88</v>
      </c>
    </row>
    <row r="46">
      <c r="A46" t="inlineStr">
        <is>
          <t>Finland</t>
        </is>
      </c>
      <c r="B46" t="n">
        <v>270</v>
      </c>
      <c r="C46" t="n">
        <v>0.042</v>
      </c>
      <c r="D46" t="n">
        <v>0.008</v>
      </c>
      <c r="E46" t="n">
        <v>0</v>
      </c>
      <c r="F46" t="n">
        <v>0.03700000000000001</v>
      </c>
      <c r="G46" t="n">
        <v>0.06</v>
      </c>
      <c r="H46" t="n">
        <v>-0.05400000000000001</v>
      </c>
      <c r="I46" t="n">
        <v>0.6920000000000001</v>
      </c>
      <c r="J46" t="n">
        <v>0.3</v>
      </c>
      <c r="K46" t="n">
        <v>1.11</v>
      </c>
      <c r="L46" t="n">
        <v>5.53</v>
      </c>
    </row>
    <row r="47">
      <c r="A47" t="inlineStr">
        <is>
          <t>Pakistan</t>
        </is>
      </c>
      <c r="B47" t="n">
        <v>264</v>
      </c>
      <c r="C47" t="n">
        <v>0.0394</v>
      </c>
      <c r="D47" t="n">
        <v>0.0579</v>
      </c>
      <c r="E47" t="n">
        <v>0.0975</v>
      </c>
      <c r="F47" t="n">
        <v>0.115</v>
      </c>
      <c r="G47" t="n">
        <v>0.044</v>
      </c>
      <c r="H47" t="n">
        <v>-0.081</v>
      </c>
      <c r="I47" t="n">
        <v>0.87</v>
      </c>
      <c r="J47" t="n">
        <v>-0.6</v>
      </c>
      <c r="K47" t="n">
        <v>159</v>
      </c>
      <c r="L47" t="n">
        <v>221</v>
      </c>
    </row>
    <row r="48">
      <c r="A48" t="inlineStr">
        <is>
          <t>Chile</t>
        </is>
      </c>
      <c r="B48" t="n">
        <v>253</v>
      </c>
      <c r="C48" t="n">
        <v>0.172</v>
      </c>
      <c r="D48" t="n">
        <v>0.049</v>
      </c>
      <c r="E48" t="n">
        <v>0.04</v>
      </c>
      <c r="F48" t="n">
        <v>0.067</v>
      </c>
      <c r="G48" t="n">
        <v>0.081</v>
      </c>
      <c r="H48" t="n">
        <v>-0.07099999999999999</v>
      </c>
      <c r="I48" t="n">
        <v>0.33</v>
      </c>
      <c r="J48" t="n">
        <v>1.4</v>
      </c>
      <c r="K48" t="n">
        <v>749.27</v>
      </c>
      <c r="L48" t="n">
        <v>19.46</v>
      </c>
    </row>
    <row r="49">
      <c r="A49" t="inlineStr">
        <is>
          <t>Romania</t>
        </is>
      </c>
      <c r="B49" t="n">
        <v>249</v>
      </c>
      <c r="C49" t="n">
        <v>0.07400000000000001</v>
      </c>
      <c r="D49" t="n">
        <v>0.004</v>
      </c>
      <c r="E49" t="n">
        <v>0.0175</v>
      </c>
      <c r="F49" t="n">
        <v>0.078</v>
      </c>
      <c r="G49" t="n">
        <v>0.053</v>
      </c>
      <c r="H49" t="n">
        <v>-0.092</v>
      </c>
      <c r="I49" t="n">
        <v>0.473</v>
      </c>
      <c r="J49" t="n">
        <v>-5.1</v>
      </c>
      <c r="K49" t="n">
        <v>4.18</v>
      </c>
      <c r="L49" t="n">
        <v>19.33</v>
      </c>
    </row>
    <row r="50">
      <c r="A50" t="inlineStr">
        <is>
          <t>Czech Republic</t>
        </is>
      </c>
      <c r="B50" t="n">
        <v>245</v>
      </c>
      <c r="C50" t="n">
        <v>0.031</v>
      </c>
      <c r="D50" t="n">
        <v>0.015</v>
      </c>
      <c r="E50" t="n">
        <v>0.0275</v>
      </c>
      <c r="F50" t="n">
        <v>0.06</v>
      </c>
      <c r="G50" t="n">
        <v>0.033</v>
      </c>
      <c r="H50" t="n">
        <v>-0.062</v>
      </c>
      <c r="I50" t="n">
        <v>0.381</v>
      </c>
      <c r="J50" t="n">
        <v>3.6</v>
      </c>
      <c r="K50" t="n">
        <v>21.77</v>
      </c>
      <c r="L50" t="n">
        <v>10.7</v>
      </c>
    </row>
    <row r="51">
      <c r="A51" t="inlineStr">
        <is>
          <t>Portugal</t>
        </is>
      </c>
      <c r="B51" t="n">
        <v>231</v>
      </c>
      <c r="C51" t="n">
        <v>0.042</v>
      </c>
      <c r="D51" t="n">
        <v>0.029</v>
      </c>
      <c r="E51" t="n">
        <v>0</v>
      </c>
      <c r="F51" t="n">
        <v>0.026</v>
      </c>
      <c r="G51" t="n">
        <v>0.061</v>
      </c>
      <c r="H51" t="n">
        <v>-0.057</v>
      </c>
      <c r="I51" t="n">
        <v>1.336</v>
      </c>
      <c r="J51" t="n">
        <v>-1.2</v>
      </c>
      <c r="K51" t="n">
        <v>1.11</v>
      </c>
      <c r="L51" t="n">
        <v>10.3</v>
      </c>
    </row>
    <row r="52">
      <c r="A52" t="inlineStr">
        <is>
          <t>New Zealand</t>
        </is>
      </c>
      <c r="B52" t="n">
        <v>211</v>
      </c>
      <c r="C52" t="n">
        <v>-0.003</v>
      </c>
      <c r="D52" t="n">
        <v>-0.03700000000000001</v>
      </c>
      <c r="E52" t="n">
        <v>0.0075</v>
      </c>
      <c r="F52" t="n">
        <v>0.049</v>
      </c>
      <c r="G52" t="n">
        <v>0.034</v>
      </c>
      <c r="H52" t="n">
        <v>-0.013</v>
      </c>
      <c r="I52" t="n">
        <v>0.301</v>
      </c>
      <c r="J52" t="n">
        <v>-2.7</v>
      </c>
      <c r="K52" t="n">
        <v>0.63</v>
      </c>
      <c r="L52" t="n">
        <v>5.11</v>
      </c>
    </row>
    <row r="53">
      <c r="A53" t="inlineStr">
        <is>
          <t>Peru</t>
        </is>
      </c>
      <c r="B53" t="n">
        <v>202</v>
      </c>
      <c r="C53" t="n">
        <v>0.114</v>
      </c>
      <c r="D53" t="n">
        <v>0.028</v>
      </c>
      <c r="E53" t="n">
        <v>0.025</v>
      </c>
      <c r="F53" t="n">
        <v>0.0566</v>
      </c>
      <c r="G53" t="n">
        <v>0.091</v>
      </c>
      <c r="H53" t="n">
        <v>-0.08900000000000001</v>
      </c>
      <c r="I53" t="n">
        <v>0.354</v>
      </c>
      <c r="J53" t="n">
        <v>0.7</v>
      </c>
      <c r="K53" t="n">
        <v>3.96</v>
      </c>
      <c r="L53" t="n">
        <v>32.63</v>
      </c>
    </row>
    <row r="54">
      <c r="A54" t="inlineStr">
        <is>
          <t>Iran</t>
        </is>
      </c>
      <c r="B54" t="n">
        <v>192</v>
      </c>
      <c r="C54" t="n">
        <v>-0.067</v>
      </c>
      <c r="D54" t="n">
        <v/>
      </c>
      <c r="E54" t="n">
        <v>0.18</v>
      </c>
      <c r="F54" t="n">
        <v>0.357</v>
      </c>
      <c r="G54" t="n">
        <v>0.096</v>
      </c>
      <c r="H54" t="n">
        <v>-0.095</v>
      </c>
      <c r="I54" t="n">
        <v>0.454</v>
      </c>
      <c r="J54" t="n">
        <v>-0.5</v>
      </c>
      <c r="K54" t="n">
        <v>42000</v>
      </c>
      <c r="L54" t="n">
        <v>84</v>
      </c>
    </row>
    <row r="55">
      <c r="A55" t="inlineStr">
        <is>
          <t>Greece</t>
        </is>
      </c>
      <c r="B55" t="n">
        <v>189</v>
      </c>
      <c r="C55" t="n">
        <v>0.134</v>
      </c>
      <c r="D55" t="n">
        <v>0.027</v>
      </c>
      <c r="E55" t="n">
        <v>0</v>
      </c>
      <c r="F55" t="n">
        <v>0.048</v>
      </c>
      <c r="G55" t="n">
        <v>0.133</v>
      </c>
      <c r="H55" t="n">
        <v>-0.09699999999999999</v>
      </c>
      <c r="I55" t="n">
        <v>2.056</v>
      </c>
      <c r="J55" t="n">
        <v>-6.7</v>
      </c>
      <c r="K55" t="n">
        <v>1.11</v>
      </c>
      <c r="L55" t="n">
        <v>10.72</v>
      </c>
    </row>
    <row r="56">
      <c r="A56" t="inlineStr">
        <is>
          <t>Kazakhstan</t>
        </is>
      </c>
      <c r="B56" t="n">
        <v>170</v>
      </c>
      <c r="C56" t="n">
        <v>0.035</v>
      </c>
      <c r="D56" t="n">
        <v>0.0126</v>
      </c>
      <c r="E56" t="n">
        <v>0.0975</v>
      </c>
      <c r="F56" t="n">
        <v>0.08699999999999999</v>
      </c>
      <c r="G56" t="n">
        <v>0.049</v>
      </c>
      <c r="H56" t="n">
        <v>-0.04</v>
      </c>
      <c r="I56" t="n">
        <v>0.234</v>
      </c>
      <c r="J56" t="n">
        <v>-3.7</v>
      </c>
      <c r="K56" t="n">
        <v>427.38</v>
      </c>
      <c r="L56" t="n">
        <v>18.88</v>
      </c>
    </row>
    <row r="57">
      <c r="A57" t="inlineStr">
        <is>
          <t>Iraq</t>
        </is>
      </c>
      <c r="B57" t="n">
        <v>167</v>
      </c>
      <c r="C57" t="n">
        <v>-0.109</v>
      </c>
      <c r="D57" t="n">
        <v/>
      </c>
      <c r="E57" t="n">
        <v>0.04</v>
      </c>
      <c r="F57" t="n">
        <v>0.068</v>
      </c>
      <c r="G57" t="n">
        <v>0.1374</v>
      </c>
      <c r="H57" t="n">
        <v>-0.175</v>
      </c>
      <c r="I57" t="n">
        <v>0.6829999999999999</v>
      </c>
      <c r="J57" t="n">
        <v>-12.6</v>
      </c>
      <c r="K57" t="n">
        <v>1193.81</v>
      </c>
      <c r="L57" t="n">
        <v>40.2</v>
      </c>
    </row>
    <row r="58">
      <c r="A58" t="inlineStr">
        <is>
          <t>Ukraine</t>
        </is>
      </c>
      <c r="B58" t="n">
        <v>156</v>
      </c>
      <c r="C58" t="n">
        <v>0.024</v>
      </c>
      <c r="D58" t="n">
        <v>0.014</v>
      </c>
      <c r="E58" t="n">
        <v>0.09</v>
      </c>
      <c r="F58" t="n">
        <v>0.103</v>
      </c>
      <c r="G58" t="n">
        <v>0.09300000000000001</v>
      </c>
      <c r="H58" t="n">
        <v>-0.061</v>
      </c>
      <c r="I58" t="n">
        <v>0.608</v>
      </c>
      <c r="J58" t="n">
        <v>4.3</v>
      </c>
      <c r="K58" t="n">
        <v>27.25</v>
      </c>
      <c r="L58" t="n">
        <v>44.13</v>
      </c>
    </row>
    <row r="59">
      <c r="A59" t="inlineStr">
        <is>
          <t>Hungary</t>
        </is>
      </c>
      <c r="B59" t="n">
        <v>155</v>
      </c>
      <c r="C59" t="n">
        <v>0.061</v>
      </c>
      <c r="D59" t="n">
        <v>0.006999999999999999</v>
      </c>
      <c r="E59" t="n">
        <v>0.024</v>
      </c>
      <c r="F59" t="n">
        <v>0.07400000000000001</v>
      </c>
      <c r="G59" t="n">
        <v>0.038</v>
      </c>
      <c r="H59" t="n">
        <v>-0.081</v>
      </c>
      <c r="I59" t="n">
        <v>0.804</v>
      </c>
      <c r="J59" t="n">
        <v>0</v>
      </c>
      <c r="K59" t="n">
        <v>302.98</v>
      </c>
      <c r="L59" t="n">
        <v>9.77</v>
      </c>
    </row>
    <row r="60">
      <c r="A60" t="inlineStr">
        <is>
          <t>Qatar</t>
        </is>
      </c>
      <c r="B60" t="n">
        <v>146</v>
      </c>
      <c r="C60" t="n">
        <v>0.04</v>
      </c>
      <c r="D60" t="n">
        <v>-0.003</v>
      </c>
      <c r="E60" t="n">
        <v>0.025</v>
      </c>
      <c r="F60" t="n">
        <v>0.0609</v>
      </c>
      <c r="G60" t="n">
        <v>0.001</v>
      </c>
      <c r="H60" t="n">
        <v>-0.021</v>
      </c>
      <c r="I60" t="n">
        <v>0.718</v>
      </c>
      <c r="J60" t="n">
        <v>-2.5</v>
      </c>
      <c r="K60" t="n">
        <v>3.7</v>
      </c>
      <c r="L60" t="n">
        <v>2.88</v>
      </c>
    </row>
    <row r="61" ht="16" customHeight="1" s="88" thickBot="1">
      <c r="A61" t="inlineStr">
        <is>
          <t>Algeria</t>
        </is>
      </c>
      <c r="B61" t="n">
        <v>145</v>
      </c>
      <c r="C61" t="n">
        <v>0.064</v>
      </c>
      <c r="D61" t="n">
        <v>0.008</v>
      </c>
      <c r="E61" t="n">
        <v>0.03</v>
      </c>
      <c r="F61" t="n">
        <v>0.0412</v>
      </c>
      <c r="G61" t="n">
        <v>0.114</v>
      </c>
      <c r="H61" t="n">
        <v>-0.115</v>
      </c>
      <c r="I61" t="n">
        <v>0.5720000000000001</v>
      </c>
      <c r="J61" t="n">
        <v>-10.8</v>
      </c>
      <c r="K61" t="n">
        <v>134.37</v>
      </c>
      <c r="L61" t="n">
        <v>44.23</v>
      </c>
    </row>
    <row r="62">
      <c r="A62" t="inlineStr">
        <is>
          <t>Kuwait</t>
        </is>
      </c>
      <c r="B62" t="n">
        <v>136</v>
      </c>
      <c r="C62" t="n">
        <v>-0.112</v>
      </c>
      <c r="D62" t="n">
        <v>0.047</v>
      </c>
      <c r="E62" t="n">
        <v>0.015</v>
      </c>
      <c r="F62" t="n">
        <v>0.0336</v>
      </c>
      <c r="G62" t="n">
        <v>0.023</v>
      </c>
      <c r="H62" t="n">
        <v>-0.094</v>
      </c>
      <c r="I62" t="n">
        <v>0.115</v>
      </c>
      <c r="J62" t="n">
        <v>0.8</v>
      </c>
      <c r="K62" t="n">
        <v>0.3</v>
      </c>
      <c r="L62" t="n">
        <v>4.27</v>
      </c>
    </row>
    <row r="63" ht="16" customHeight="1" s="88" thickBot="1">
      <c r="A63" t="inlineStr">
        <is>
          <t>Morocco</t>
        </is>
      </c>
      <c r="B63" t="n">
        <v>113</v>
      </c>
      <c r="C63" t="n">
        <v>0.152</v>
      </c>
      <c r="D63" t="n">
        <v>0.011</v>
      </c>
      <c r="E63" t="n">
        <v>0.015</v>
      </c>
      <c r="F63" t="n">
        <v>0.017</v>
      </c>
      <c r="G63" t="n">
        <v>0.118</v>
      </c>
      <c r="H63" t="n">
        <v>-0.076</v>
      </c>
      <c r="I63" t="n">
        <v>0.764</v>
      </c>
      <c r="J63" t="n">
        <v>-1.5</v>
      </c>
      <c r="K63" t="n">
        <v>8.960000000000001</v>
      </c>
      <c r="L63" t="n">
        <v>35.95</v>
      </c>
    </row>
    <row r="64">
      <c r="A64" t="inlineStr">
        <is>
          <t>Ethiopia</t>
        </is>
      </c>
      <c r="B64" t="n">
        <v>108</v>
      </c>
      <c r="C64" t="n">
        <v>0.061</v>
      </c>
      <c r="D64" t="n">
        <v/>
      </c>
      <c r="E64" t="n">
        <v>0.07000000000000001</v>
      </c>
      <c r="F64" t="n">
        <v>0.33</v>
      </c>
      <c r="G64" t="n">
        <v>0.191</v>
      </c>
      <c r="H64" t="n">
        <v>-0.04</v>
      </c>
      <c r="I64" t="n">
        <v>0.59</v>
      </c>
      <c r="J64" t="n">
        <v>-4.4</v>
      </c>
      <c r="K64" t="n">
        <v>31.69</v>
      </c>
      <c r="L64" t="n">
        <v>115</v>
      </c>
    </row>
    <row r="65" ht="16" customHeight="1" s="88" thickBot="1">
      <c r="A65" t="inlineStr">
        <is>
          <t>Slovakia</t>
        </is>
      </c>
      <c r="B65" t="n">
        <v>105</v>
      </c>
      <c r="C65" t="n">
        <v>0.013</v>
      </c>
      <c r="D65" t="n">
        <v>0.004</v>
      </c>
      <c r="E65" t="n">
        <v>0</v>
      </c>
      <c r="F65" t="n">
        <v>0.05599999999999999</v>
      </c>
      <c r="G65" t="n">
        <v>0.068</v>
      </c>
      <c r="H65" t="n">
        <v>-0.062</v>
      </c>
      <c r="I65" t="n">
        <v>0.606</v>
      </c>
      <c r="J65" t="n">
        <v>-0.4</v>
      </c>
      <c r="K65" t="n">
        <v>1.11</v>
      </c>
      <c r="L65" t="n">
        <v>5.46</v>
      </c>
    </row>
    <row r="66" ht="16" customHeight="1" s="88" thickBot="1">
      <c r="A66" t="inlineStr">
        <is>
          <t>Cuba</t>
        </is>
      </c>
      <c r="B66" t="n">
        <v>103</v>
      </c>
      <c r="C66" t="n">
        <v>-0.11</v>
      </c>
      <c r="D66" t="n">
        <v/>
      </c>
      <c r="E66" t="n">
        <v>0.0225</v>
      </c>
      <c r="F66" t="n">
        <v>0.042</v>
      </c>
      <c r="G66" t="n">
        <v>0.0387</v>
      </c>
      <c r="H66" t="n">
        <v>-0.177</v>
      </c>
      <c r="I66" t="n">
        <v>0.184</v>
      </c>
      <c r="J66" t="n">
        <v>0.2</v>
      </c>
      <c r="K66" t="n">
        <v>1</v>
      </c>
      <c r="L66" t="n">
        <v>11.28</v>
      </c>
    </row>
    <row r="67">
      <c r="A67" t="inlineStr">
        <is>
          <t>Puerto Rico</t>
        </is>
      </c>
      <c r="B67" t="n">
        <v>103</v>
      </c>
      <c r="C67" t="n">
        <v>-0.032</v>
      </c>
      <c r="D67" t="n">
        <v/>
      </c>
      <c r="E67" t="n">
        <v/>
      </c>
      <c r="F67" t="n">
        <v>0.035</v>
      </c>
      <c r="G67" t="n">
        <v>0.07099999999999999</v>
      </c>
      <c r="H67" t="n">
        <v/>
      </c>
      <c r="I67" t="n">
        <v/>
      </c>
      <c r="J67" t="n">
        <v/>
      </c>
      <c r="K67" t="n">
        <v>98.56</v>
      </c>
      <c r="L67" t="n">
        <v>3.19</v>
      </c>
    </row>
    <row r="68">
      <c r="A68" t="inlineStr">
        <is>
          <t>Kenya</t>
        </is>
      </c>
      <c r="B68" t="n">
        <v>99</v>
      </c>
      <c r="C68" t="n">
        <v>0.101</v>
      </c>
      <c r="D68" t="n">
        <v>0.0201</v>
      </c>
      <c r="E68" t="n">
        <v>0.07000000000000001</v>
      </c>
      <c r="F68" t="n">
        <v>0.058</v>
      </c>
      <c r="G68" t="n">
        <v>0.066</v>
      </c>
      <c r="H68" t="n">
        <v>-0.078</v>
      </c>
      <c r="I68" t="n">
        <v>0.6559999999999999</v>
      </c>
      <c r="J68" t="n">
        <v>-4.8</v>
      </c>
      <c r="K68" t="n">
        <v>107.9</v>
      </c>
      <c r="L68" t="n">
        <v>53.7</v>
      </c>
    </row>
    <row r="69">
      <c r="A69" t="inlineStr">
        <is>
          <t>Ecuador</t>
        </is>
      </c>
      <c r="B69" t="n">
        <v>99</v>
      </c>
      <c r="C69" t="n">
        <v>0.08400000000000001</v>
      </c>
      <c r="D69" t="n">
        <v>0.021</v>
      </c>
      <c r="E69" t="n">
        <v>0.09329999999999999</v>
      </c>
      <c r="F69" t="n">
        <v>0.0184</v>
      </c>
      <c r="G69" t="n">
        <v>0.066</v>
      </c>
      <c r="H69" t="n">
        <v>-0.08900000000000001</v>
      </c>
      <c r="I69" t="n">
        <v>0.6890000000000001</v>
      </c>
      <c r="J69" t="n">
        <v>2.6</v>
      </c>
      <c r="K69" t="n">
        <v>98.56</v>
      </c>
      <c r="L69" t="n">
        <v>17.56</v>
      </c>
    </row>
    <row r="70" ht="16" customHeight="1" s="88" thickBot="1">
      <c r="A70" t="inlineStr">
        <is>
          <t>Sri Lanka</t>
        </is>
      </c>
      <c r="B70" t="n">
        <v>81</v>
      </c>
      <c r="C70" t="n">
        <v>-0.015</v>
      </c>
      <c r="D70" t="n">
        <v>0.014</v>
      </c>
      <c r="E70" t="n">
        <v>0.05</v>
      </c>
      <c r="F70" t="n">
        <v>0.099</v>
      </c>
      <c r="G70" t="n">
        <v>0.051</v>
      </c>
      <c r="H70" t="n">
        <v>-0.111</v>
      </c>
      <c r="I70" t="n">
        <v>1.01</v>
      </c>
      <c r="J70" t="n">
        <v>-1.3</v>
      </c>
      <c r="K70" t="n">
        <v>199</v>
      </c>
      <c r="L70" t="n">
        <v>21.92</v>
      </c>
    </row>
    <row r="71">
      <c r="A71" t="inlineStr">
        <is>
          <t>Dominican Republic</t>
        </is>
      </c>
      <c r="B71" t="n">
        <v>79</v>
      </c>
      <c r="C71" t="n">
        <v>0.254</v>
      </c>
      <c r="D71" t="n">
        <v>0.025</v>
      </c>
      <c r="E71" t="n">
        <v>0.03</v>
      </c>
      <c r="F71" t="n">
        <v>0.0823</v>
      </c>
      <c r="G71" t="n">
        <v>0.076</v>
      </c>
      <c r="H71" t="n">
        <v>-0.0791</v>
      </c>
      <c r="I71" t="n">
        <v>0.6909999999999999</v>
      </c>
      <c r="J71" t="n">
        <v>-2</v>
      </c>
      <c r="K71" t="n">
        <v>52.98</v>
      </c>
      <c r="L71" t="n">
        <v>10.45</v>
      </c>
    </row>
    <row r="72" ht="16" customHeight="1" s="88" thickBot="1">
      <c r="A72" t="inlineStr">
        <is>
          <t>Guatemala</t>
        </is>
      </c>
      <c r="B72" t="n">
        <v>78</v>
      </c>
      <c r="C72" t="n">
        <v>0.1506</v>
      </c>
      <c r="D72" t="n">
        <v/>
      </c>
      <c r="E72" t="n">
        <v>0.0175</v>
      </c>
      <c r="F72" t="n">
        <v>0.0289</v>
      </c>
      <c r="G72" t="n">
        <v>0.02</v>
      </c>
      <c r="H72" t="n">
        <v>-0.049</v>
      </c>
      <c r="I72" t="n">
        <v>0.3126</v>
      </c>
      <c r="J72" t="n">
        <v>5.5</v>
      </c>
      <c r="K72" t="n">
        <v>7.7</v>
      </c>
      <c r="L72" t="n">
        <v>17.92</v>
      </c>
    </row>
    <row r="73" ht="16" customHeight="1" s="88" thickBot="1">
      <c r="A73" t="inlineStr">
        <is>
          <t>Myanmar</t>
        </is>
      </c>
      <c r="B73" t="n">
        <v>76</v>
      </c>
      <c r="C73" t="n">
        <v>-0.1</v>
      </c>
      <c r="D73" t="n">
        <v/>
      </c>
      <c r="E73" t="n">
        <v>0.07000000000000001</v>
      </c>
      <c r="F73" t="n">
        <v>0.06509999999999999</v>
      </c>
      <c r="G73" t="n">
        <v>0.0179</v>
      </c>
      <c r="H73" t="n">
        <v>-0.05599999999999999</v>
      </c>
      <c r="I73" t="n">
        <v>0.424</v>
      </c>
      <c r="J73" t="n">
        <v>-4</v>
      </c>
      <c r="K73" t="n">
        <v>1500</v>
      </c>
      <c r="L73" t="n">
        <v>54.53</v>
      </c>
    </row>
    <row r="74">
      <c r="A74" t="inlineStr">
        <is>
          <t>Oman</t>
        </is>
      </c>
      <c r="B74" t="n">
        <v>76</v>
      </c>
      <c r="C74" t="n">
        <v>-0.063</v>
      </c>
      <c r="D74" t="n">
        <v/>
      </c>
      <c r="E74" t="n">
        <v>0.005</v>
      </c>
      <c r="F74" t="n">
        <v>0.0335</v>
      </c>
      <c r="G74" t="n">
        <v>0.05</v>
      </c>
      <c r="H74" t="n">
        <v>-0.07000000000000001</v>
      </c>
      <c r="I74" t="n">
        <v>0.5589999999999999</v>
      </c>
      <c r="J74" t="n">
        <v>-5.2</v>
      </c>
      <c r="K74" t="n">
        <v>0.38</v>
      </c>
      <c r="L74" t="n">
        <v>4.5</v>
      </c>
    </row>
    <row r="75">
      <c r="A75" t="inlineStr">
        <is>
          <t>Luxembourg</t>
        </is>
      </c>
      <c r="B75" t="n">
        <v>73</v>
      </c>
      <c r="C75" t="n">
        <v>0.053</v>
      </c>
      <c r="D75" t="n">
        <v>0.009000000000000001</v>
      </c>
      <c r="E75" t="n">
        <v>0</v>
      </c>
      <c r="F75" t="n">
        <v>0.045</v>
      </c>
      <c r="G75" t="n">
        <v>0.05400000000000001</v>
      </c>
      <c r="H75" t="n">
        <v>-0.04099999999999999</v>
      </c>
      <c r="I75" t="n">
        <v>0.249</v>
      </c>
      <c r="J75" t="n">
        <v>4.3</v>
      </c>
      <c r="K75" t="n">
        <v>1.11</v>
      </c>
      <c r="L75" t="n">
        <v>0.63</v>
      </c>
    </row>
    <row r="76">
      <c r="A76" t="inlineStr">
        <is>
          <t>Ghana</t>
        </is>
      </c>
      <c r="B76" t="n">
        <v>72</v>
      </c>
      <c r="C76" t="n">
        <v>0.039</v>
      </c>
      <c r="D76" t="n">
        <v>0.009000000000000001</v>
      </c>
      <c r="E76" t="n">
        <v>0.145</v>
      </c>
      <c r="F76" t="n">
        <v>0.122</v>
      </c>
      <c r="G76" t="n">
        <v>0.045</v>
      </c>
      <c r="H76" t="n">
        <v>-0.138</v>
      </c>
      <c r="I76" t="n">
        <v>0.78</v>
      </c>
      <c r="J76" t="n">
        <v>-2.5</v>
      </c>
      <c r="K76" t="n">
        <v>5.88</v>
      </c>
      <c r="L76" t="n">
        <v>30.96</v>
      </c>
    </row>
    <row r="77" ht="16" customHeight="1" s="88" thickBot="1">
      <c r="A77" t="inlineStr">
        <is>
          <t>Bulgaria</t>
        </is>
      </c>
      <c r="B77" t="n">
        <v>69</v>
      </c>
      <c r="C77" t="n">
        <v>0.0462</v>
      </c>
      <c r="D77" t="n">
        <v>0.006</v>
      </c>
      <c r="E77" t="n">
        <v>0</v>
      </c>
      <c r="F77" t="n">
        <v>0.073</v>
      </c>
      <c r="G77" t="n">
        <v>0.047</v>
      </c>
      <c r="H77" t="n">
        <v>-0.034</v>
      </c>
      <c r="I77" t="n">
        <v>0.242</v>
      </c>
      <c r="J77" t="n">
        <v>-0.7</v>
      </c>
      <c r="K77" t="n">
        <v>1.66</v>
      </c>
      <c r="L77" t="n">
        <v>6.95</v>
      </c>
    </row>
    <row r="78">
      <c r="A78" t="inlineStr">
        <is>
          <t>Syria</t>
        </is>
      </c>
      <c r="B78" t="n">
        <v>65</v>
      </c>
      <c r="C78" t="n">
        <v>0.048</v>
      </c>
      <c r="D78" t="n">
        <v/>
      </c>
      <c r="E78" t="n">
        <v/>
      </c>
      <c r="F78" t="n">
        <v>1.3946</v>
      </c>
      <c r="G78" t="n">
        <v>0.09</v>
      </c>
      <c r="H78" t="n">
        <v>-0.114</v>
      </c>
      <c r="I78" t="n">
        <v>0.3001</v>
      </c>
      <c r="J78" t="n">
        <v>-0.62</v>
      </c>
      <c r="K78" t="n">
        <v>436.5</v>
      </c>
      <c r="L78" t="n">
        <v>17.5</v>
      </c>
    </row>
    <row r="79">
      <c r="A79" t="inlineStr">
        <is>
          <t>Tanzania</t>
        </is>
      </c>
      <c r="B79" t="n">
        <v>62</v>
      </c>
      <c r="C79" t="n">
        <v>0.043</v>
      </c>
      <c r="D79" t="n">
        <v>0.015</v>
      </c>
      <c r="E79" t="n">
        <v>0.05</v>
      </c>
      <c r="F79" t="n">
        <v>0.04099999999999999</v>
      </c>
      <c r="G79" t="n">
        <v>0.095</v>
      </c>
      <c r="H79" t="n">
        <v>-0.026</v>
      </c>
      <c r="I79" t="n">
        <v>0.3779999999999999</v>
      </c>
      <c r="J79" t="n">
        <v>-1.5</v>
      </c>
      <c r="K79" t="n">
        <v>2314</v>
      </c>
      <c r="L79" t="n">
        <v>59.73</v>
      </c>
    </row>
    <row r="80" ht="16" customHeight="1" s="88" thickBot="1">
      <c r="A80" t="inlineStr">
        <is>
          <t>Angola</t>
        </is>
      </c>
      <c r="B80" t="n">
        <v>62</v>
      </c>
      <c r="C80" t="n">
        <v>0.012</v>
      </c>
      <c r="D80" t="n">
        <v>-0.024</v>
      </c>
      <c r="E80" t="n">
        <v>0.2</v>
      </c>
      <c r="F80" t="n">
        <v>0.2698</v>
      </c>
      <c r="G80" t="n">
        <v>0.341</v>
      </c>
      <c r="H80" t="n">
        <v>-0.025</v>
      </c>
      <c r="I80" t="n">
        <v>1.2</v>
      </c>
      <c r="J80" t="n">
        <v>1.5</v>
      </c>
      <c r="K80" t="n">
        <v>456.04</v>
      </c>
      <c r="L80" t="n">
        <v>33</v>
      </c>
    </row>
    <row r="81" ht="16" customHeight="1" s="88" thickBot="1">
      <c r="A81" t="inlineStr">
        <is>
          <t>Costa Rica</t>
        </is>
      </c>
      <c r="B81" t="n">
        <v>62</v>
      </c>
      <c r="C81" t="n">
        <v>0.079</v>
      </c>
      <c r="D81" t="n">
        <v>0.005</v>
      </c>
      <c r="E81" t="n">
        <v>0.0075</v>
      </c>
      <c r="F81" t="n">
        <v>0.0335</v>
      </c>
      <c r="G81" t="n">
        <v>0.153</v>
      </c>
      <c r="H81" t="n">
        <v>-0.07400000000000001</v>
      </c>
      <c r="I81" t="n">
        <v>0.7926000000000001</v>
      </c>
      <c r="J81" t="n">
        <v>-2.4</v>
      </c>
      <c r="K81" t="n">
        <v>566.5700000000001</v>
      </c>
      <c r="L81" t="n">
        <v>5.16</v>
      </c>
    </row>
    <row r="82" ht="16" customHeight="1" s="88" thickBot="1">
      <c r="A82" t="inlineStr">
        <is>
          <t>Ivory Coast</t>
        </is>
      </c>
      <c r="B82" t="n">
        <v>61</v>
      </c>
      <c r="C82" t="n">
        <v>0.081</v>
      </c>
      <c r="D82" t="n">
        <v/>
      </c>
      <c r="E82" t="n">
        <v>0.04</v>
      </c>
      <c r="F82" t="n">
        <v>0.045</v>
      </c>
      <c r="G82" t="n">
        <v>0.035</v>
      </c>
      <c r="H82" t="n">
        <v>-0.055</v>
      </c>
      <c r="I82" t="n">
        <v>0.3</v>
      </c>
      <c r="J82" t="n">
        <v>-3.7</v>
      </c>
      <c r="K82" t="n">
        <v>588.96</v>
      </c>
      <c r="L82" t="n">
        <v>26.37</v>
      </c>
    </row>
    <row r="83">
      <c r="A83" t="inlineStr">
        <is>
          <t>Belarus</t>
        </is>
      </c>
      <c r="B83" t="n">
        <v>60</v>
      </c>
      <c r="C83" t="n">
        <v>0.0581</v>
      </c>
      <c r="D83" t="n">
        <v/>
      </c>
      <c r="E83" t="n">
        <v>0.0925</v>
      </c>
      <c r="F83" t="n">
        <v>0.103</v>
      </c>
      <c r="G83" t="n">
        <v>0.002</v>
      </c>
      <c r="H83" t="n">
        <v>-0.026</v>
      </c>
      <c r="I83" t="n">
        <v>0.373</v>
      </c>
      <c r="J83" t="n">
        <v>-0.4</v>
      </c>
      <c r="K83" t="n">
        <v>2.57</v>
      </c>
      <c r="L83" t="n">
        <v>9.35</v>
      </c>
    </row>
    <row r="84">
      <c r="A84" t="inlineStr">
        <is>
          <t>Uzbekistan</t>
        </is>
      </c>
      <c r="B84" t="n">
        <v>58</v>
      </c>
      <c r="C84" t="n">
        <v>0.062</v>
      </c>
      <c r="D84" t="n">
        <v/>
      </c>
      <c r="E84" t="n">
        <v>0.14</v>
      </c>
      <c r="F84" t="n">
        <v>0.103</v>
      </c>
      <c r="G84" t="n">
        <v>0.098</v>
      </c>
      <c r="H84" t="n">
        <v>-0.044</v>
      </c>
      <c r="I84" t="n">
        <v>0.404</v>
      </c>
      <c r="J84" t="n">
        <v>-5.4</v>
      </c>
      <c r="K84" t="n">
        <v>9527.299999999999</v>
      </c>
      <c r="L84" t="n">
        <v>34.55</v>
      </c>
    </row>
    <row r="85">
      <c r="A85" t="inlineStr">
        <is>
          <t>Croatia</t>
        </is>
      </c>
      <c r="B85" t="n">
        <v>56</v>
      </c>
      <c r="C85" t="n">
        <v>0.158</v>
      </c>
      <c r="D85" t="n">
        <v>-0.002</v>
      </c>
      <c r="E85" t="n">
        <v>0.025</v>
      </c>
      <c r="F85" t="n">
        <v>0.048</v>
      </c>
      <c r="G85" t="n">
        <v>0.07200000000000001</v>
      </c>
      <c r="H85" t="n">
        <v>-0.07400000000000001</v>
      </c>
      <c r="I85" t="n">
        <v>0.887</v>
      </c>
      <c r="J85" t="n">
        <v>-0.3</v>
      </c>
      <c r="K85" t="n">
        <v>6.68</v>
      </c>
      <c r="L85" t="n">
        <v>4.06</v>
      </c>
    </row>
    <row r="86">
      <c r="A86" t="inlineStr">
        <is>
          <t>Lithuania</t>
        </is>
      </c>
      <c r="B86" t="n">
        <v>56</v>
      </c>
      <c r="C86" t="n">
        <v>0.047</v>
      </c>
      <c r="D86" t="n">
        <v>-0.0003</v>
      </c>
      <c r="E86" t="n">
        <v>0</v>
      </c>
      <c r="F86" t="n">
        <v>0.092</v>
      </c>
      <c r="G86" t="n">
        <v>0.109</v>
      </c>
      <c r="H86" t="n">
        <v>-0.07400000000000001</v>
      </c>
      <c r="I86" t="n">
        <v>0.473</v>
      </c>
      <c r="J86" t="n">
        <v>8.300000000000001</v>
      </c>
      <c r="K86" t="n">
        <v>1.11</v>
      </c>
      <c r="L86" t="n">
        <v>2.79</v>
      </c>
    </row>
    <row r="87">
      <c r="A87" t="inlineStr">
        <is>
          <t>Macau</t>
        </is>
      </c>
      <c r="B87" t="n">
        <v>55</v>
      </c>
      <c r="C87" t="n">
        <v>0.329</v>
      </c>
      <c r="D87" t="n">
        <v/>
      </c>
      <c r="E87" t="n">
        <v>0.005</v>
      </c>
      <c r="F87" t="n">
        <v>0.0091</v>
      </c>
      <c r="G87" t="n">
        <v>0.028</v>
      </c>
      <c r="H87" t="n">
        <v/>
      </c>
      <c r="I87" t="n">
        <v/>
      </c>
      <c r="J87" t="n">
        <v>33.6</v>
      </c>
      <c r="K87" t="n">
        <v>8.029999999999999</v>
      </c>
      <c r="L87" t="n">
        <v>0.68</v>
      </c>
    </row>
    <row r="88">
      <c r="A88" t="inlineStr">
        <is>
          <t>Uruguay</t>
        </is>
      </c>
      <c r="B88" t="n">
        <v>54</v>
      </c>
      <c r="C88" t="n">
        <v>0.113</v>
      </c>
      <c r="D88" t="n">
        <v>0.078</v>
      </c>
      <c r="E88" t="n">
        <v>0.0525</v>
      </c>
      <c r="F88" t="n">
        <v>0.08070000000000001</v>
      </c>
      <c r="G88" t="n">
        <v>0.08</v>
      </c>
      <c r="H88" t="n">
        <v>-0.051</v>
      </c>
      <c r="I88" t="n">
        <v>0.73</v>
      </c>
      <c r="J88" t="n">
        <v>-0.6</v>
      </c>
      <c r="K88" t="n">
        <v>37.81</v>
      </c>
      <c r="L88" t="n">
        <v>3.53</v>
      </c>
    </row>
    <row r="89" ht="16" customHeight="1" s="88" thickBot="1">
      <c r="A89" t="inlineStr">
        <is>
          <t>Slovenia</t>
        </is>
      </c>
      <c r="B89" t="n">
        <v>54</v>
      </c>
      <c r="C89" t="n">
        <v>0.05</v>
      </c>
      <c r="D89" t="n">
        <v>0.013</v>
      </c>
      <c r="E89" t="n">
        <v>0</v>
      </c>
      <c r="F89" t="n">
        <v>0.046</v>
      </c>
      <c r="G89" t="n">
        <v>0.068</v>
      </c>
      <c r="H89" t="n">
        <v>-0.08400000000000001</v>
      </c>
      <c r="I89" t="n">
        <v>0.8079999999999999</v>
      </c>
      <c r="J89" t="n">
        <v>7.1</v>
      </c>
      <c r="K89" t="n">
        <v>1.11</v>
      </c>
      <c r="L89" t="n">
        <v>2.1</v>
      </c>
    </row>
    <row r="90">
      <c r="A90" t="inlineStr">
        <is>
          <t>Panama</t>
        </is>
      </c>
      <c r="B90" t="n">
        <v>53</v>
      </c>
      <c r="C90" t="n">
        <v>0.255</v>
      </c>
      <c r="D90" t="n">
        <v/>
      </c>
      <c r="E90" t="n">
        <v>0.0136</v>
      </c>
      <c r="F90" t="n">
        <v>0.0294</v>
      </c>
      <c r="G90" t="n">
        <v>0.185</v>
      </c>
      <c r="H90" t="n">
        <v>-0.09230000000000001</v>
      </c>
      <c r="I90" t="n">
        <v>0.6981999999999999</v>
      </c>
      <c r="J90" t="n">
        <v>2.3</v>
      </c>
      <c r="K90" t="n">
        <v>1</v>
      </c>
      <c r="L90" t="n">
        <v>4.3</v>
      </c>
    </row>
    <row r="91">
      <c r="A91" t="inlineStr">
        <is>
          <t>Serbia</t>
        </is>
      </c>
      <c r="B91" t="n">
        <v>53</v>
      </c>
      <c r="C91" t="n">
        <v>0.077</v>
      </c>
      <c r="D91" t="n">
        <v>0.016</v>
      </c>
      <c r="E91" t="n">
        <v>0.01</v>
      </c>
      <c r="F91" t="n">
        <v>0.075</v>
      </c>
      <c r="G91" t="n">
        <v>0.105</v>
      </c>
      <c r="H91" t="n">
        <v>-0.08400000000000001</v>
      </c>
      <c r="I91" t="n">
        <v>0.574</v>
      </c>
      <c r="J91" t="n">
        <v>-4.3</v>
      </c>
      <c r="K91" t="n">
        <v>105.49</v>
      </c>
      <c r="L91" t="n">
        <v>6.93</v>
      </c>
    </row>
    <row r="92" ht="16" customHeight="1" s="88" thickBot="1">
      <c r="A92" t="inlineStr">
        <is>
          <t>Congo</t>
        </is>
      </c>
      <c r="B92" t="n">
        <v>50</v>
      </c>
      <c r="C92" t="n">
        <v>-0.024</v>
      </c>
      <c r="D92" t="n">
        <v/>
      </c>
      <c r="E92" t="n">
        <v>0.08500000000000001</v>
      </c>
      <c r="F92" t="n">
        <v>0.0492</v>
      </c>
      <c r="G92" t="n">
        <v>0.461</v>
      </c>
      <c r="H92" t="n">
        <v>-0.012</v>
      </c>
      <c r="I92" t="n">
        <v>0.152</v>
      </c>
      <c r="J92" t="n">
        <v>-5.4</v>
      </c>
      <c r="K92" t="n">
        <v>1666.65</v>
      </c>
      <c r="L92" t="n">
        <v>89.39</v>
      </c>
    </row>
    <row r="93" ht="16" customHeight="1" s="88" thickBot="1">
      <c r="A93" t="inlineStr">
        <is>
          <t>Turkmenistan</t>
        </is>
      </c>
      <c r="B93" t="n">
        <v>45</v>
      </c>
      <c r="C93" t="n">
        <v>0.059</v>
      </c>
      <c r="D93" t="n">
        <v/>
      </c>
      <c r="E93" t="n">
        <v/>
      </c>
      <c r="F93" t="n">
        <v>0.1</v>
      </c>
      <c r="G93" t="n">
        <v>0.0438</v>
      </c>
      <c r="H93" t="n">
        <v>0.001</v>
      </c>
      <c r="I93" t="n">
        <v>0.309</v>
      </c>
      <c r="J93" t="n">
        <v>0.5</v>
      </c>
      <c r="K93" t="n">
        <v>3.5</v>
      </c>
      <c r="L93" t="n">
        <v>6</v>
      </c>
    </row>
    <row r="94">
      <c r="A94" t="inlineStr">
        <is>
          <t>Jordan</t>
        </is>
      </c>
      <c r="B94" t="n">
        <v>44</v>
      </c>
      <c r="C94" t="n">
        <v>0.032</v>
      </c>
      <c r="D94" t="n">
        <v/>
      </c>
      <c r="E94" t="n">
        <v>0.025</v>
      </c>
      <c r="F94" t="n">
        <v>0.017</v>
      </c>
      <c r="G94" t="n">
        <v>0.248</v>
      </c>
      <c r="H94" t="n">
        <v>-0.07000000000000001</v>
      </c>
      <c r="I94" t="n">
        <v>0.924</v>
      </c>
      <c r="J94" t="n">
        <v>-8</v>
      </c>
      <c r="K94" t="n">
        <v>0.71</v>
      </c>
      <c r="L94" t="n">
        <v>10.86</v>
      </c>
    </row>
    <row r="95" ht="16" customHeight="1" s="88" thickBot="1">
      <c r="A95" t="inlineStr">
        <is>
          <t>Azerbaijan</t>
        </is>
      </c>
      <c r="B95" t="n">
        <v>43</v>
      </c>
      <c r="C95" t="n">
        <v>0.048</v>
      </c>
      <c r="D95" t="n">
        <v/>
      </c>
      <c r="E95" t="n">
        <v>0.0725</v>
      </c>
      <c r="F95" t="n">
        <v>0.062</v>
      </c>
      <c r="G95" t="n">
        <v>0.06269999999999999</v>
      </c>
      <c r="H95" t="n">
        <v>-0.024</v>
      </c>
      <c r="I95" t="n">
        <v>0.201</v>
      </c>
      <c r="J95" t="n">
        <v>-0.5</v>
      </c>
      <c r="K95" t="n">
        <v>1.7</v>
      </c>
      <c r="L95" t="n">
        <v>10.07</v>
      </c>
    </row>
    <row r="96">
      <c r="A96" t="inlineStr">
        <is>
          <t>Cameroon</t>
        </is>
      </c>
      <c r="B96" t="n">
        <v>40</v>
      </c>
      <c r="C96" t="n">
        <v>0.008</v>
      </c>
      <c r="D96" t="n">
        <v>0.027</v>
      </c>
      <c r="E96" t="n">
        <v>0.0325</v>
      </c>
      <c r="F96" t="n">
        <v>0.0239</v>
      </c>
      <c r="G96" t="n">
        <v>0.036</v>
      </c>
      <c r="H96" t="n">
        <v>-0.049</v>
      </c>
      <c r="I96" t="n">
        <v>0.4320000000000001</v>
      </c>
      <c r="J96" t="n">
        <v>-5.2</v>
      </c>
      <c r="K96" t="n">
        <v>551.3200000000001</v>
      </c>
      <c r="L96" t="n">
        <v>26.54</v>
      </c>
    </row>
    <row r="97">
      <c r="A97" t="inlineStr">
        <is>
          <t>Tunisia</t>
        </is>
      </c>
      <c r="B97" t="n">
        <v>39</v>
      </c>
      <c r="C97" t="n">
        <v>0.003</v>
      </c>
      <c r="D97" t="n">
        <v>0.006999999999999999</v>
      </c>
      <c r="E97" t="n">
        <v>0.0625</v>
      </c>
      <c r="F97" t="n">
        <v>0.064</v>
      </c>
      <c r="G97" t="n">
        <v>0.178</v>
      </c>
      <c r="H97" t="n">
        <v>-0.114</v>
      </c>
      <c r="I97" t="n">
        <v>0.8759999999999999</v>
      </c>
      <c r="J97" t="n">
        <v>-6.9</v>
      </c>
      <c r="K97" t="n">
        <v>2.8</v>
      </c>
      <c r="L97" t="n">
        <v>11.81</v>
      </c>
    </row>
    <row r="98">
      <c r="A98" t="inlineStr">
        <is>
          <t>Bahrain</t>
        </is>
      </c>
      <c r="B98" t="n">
        <v>38</v>
      </c>
      <c r="C98" t="n">
        <v>0.0572</v>
      </c>
      <c r="D98" t="n">
        <v>0.0351</v>
      </c>
      <c r="E98" t="n">
        <v>0.01</v>
      </c>
      <c r="F98" t="n">
        <v>0.006999999999999999</v>
      </c>
      <c r="G98" t="n">
        <v>0.049</v>
      </c>
      <c r="H98" t="n">
        <v>-0.131</v>
      </c>
      <c r="I98" t="n">
        <v>1.283</v>
      </c>
      <c r="J98" t="n">
        <v>-2.1</v>
      </c>
      <c r="K98" t="n">
        <v>0.38</v>
      </c>
      <c r="L98" t="n">
        <v>1.7</v>
      </c>
    </row>
    <row r="99">
      <c r="A99" t="inlineStr">
        <is>
          <t>Bolivia</t>
        </is>
      </c>
      <c r="B99" t="n">
        <v>37</v>
      </c>
      <c r="C99" t="n">
        <v>0.2191</v>
      </c>
      <c r="D99" t="n">
        <v>-0.062</v>
      </c>
      <c r="E99" t="n">
        <v>0.0385</v>
      </c>
      <c r="F99" t="n">
        <v>0.009599999999999999</v>
      </c>
      <c r="G99" t="n">
        <v>0.05599999999999999</v>
      </c>
      <c r="H99" t="n">
        <v>-0.09699999999999999</v>
      </c>
      <c r="I99" t="n">
        <v>0.6729999999999999</v>
      </c>
      <c r="J99" t="n">
        <v>-0.5</v>
      </c>
      <c r="K99" t="n">
        <v>6.83</v>
      </c>
      <c r="L99" t="n">
        <v>11.68</v>
      </c>
    </row>
    <row r="100">
      <c r="A100" t="inlineStr">
        <is>
          <t>Uganda</t>
        </is>
      </c>
      <c r="B100" t="n">
        <v>37</v>
      </c>
      <c r="C100" t="n">
        <v>0.137</v>
      </c>
      <c r="D100" t="n">
        <v>-0.002</v>
      </c>
      <c r="E100" t="n">
        <v>0.065</v>
      </c>
      <c r="F100" t="n">
        <v>0.026</v>
      </c>
      <c r="G100" t="n">
        <v>0.0244</v>
      </c>
      <c r="H100" t="n">
        <v>-0.066</v>
      </c>
      <c r="I100" t="n">
        <v>0.498</v>
      </c>
      <c r="J100" t="n">
        <v>-9.800000000000001</v>
      </c>
      <c r="K100" t="n">
        <v>3665</v>
      </c>
      <c r="L100" t="n">
        <v>45.74</v>
      </c>
    </row>
    <row r="101" ht="16" customHeight="1" s="88" thickBot="1">
      <c r="A101" t="inlineStr">
        <is>
          <t>Paraguay</t>
        </is>
      </c>
      <c r="B101" t="n">
        <v>35</v>
      </c>
      <c r="C101" t="n">
        <v>0.06900000000000001</v>
      </c>
      <c r="D101" t="n">
        <v>0</v>
      </c>
      <c r="E101" t="n">
        <v>0.04</v>
      </c>
      <c r="F101" t="n">
        <v>0.07400000000000001</v>
      </c>
      <c r="G101" t="n">
        <v>0.08599999999999999</v>
      </c>
      <c r="H101" t="n">
        <v>-0.073</v>
      </c>
      <c r="I101" t="n">
        <v>0.339</v>
      </c>
      <c r="J101" t="n">
        <v>2.2</v>
      </c>
      <c r="K101" t="n">
        <v>6838.31</v>
      </c>
      <c r="L101" t="n">
        <v>7.25</v>
      </c>
    </row>
    <row r="102">
      <c r="A102" t="inlineStr">
        <is>
          <t>Nepal</t>
        </is>
      </c>
      <c r="B102" t="n">
        <v>34</v>
      </c>
      <c r="C102" t="n">
        <v>0.04</v>
      </c>
      <c r="D102" t="n">
        <v/>
      </c>
      <c r="E102" t="n">
        <v>0.05</v>
      </c>
      <c r="F102" t="n">
        <v>0.0424</v>
      </c>
      <c r="G102" t="n">
        <v>0.0444</v>
      </c>
      <c r="H102" t="n">
        <v>-0.05400000000000001</v>
      </c>
      <c r="I102" t="n">
        <v>0.377</v>
      </c>
      <c r="J102" t="n">
        <v>-0.9</v>
      </c>
      <c r="K102" t="n">
        <v>113.59</v>
      </c>
      <c r="L102" t="n">
        <v>29.13</v>
      </c>
    </row>
    <row r="103" ht="16" customHeight="1" s="88" thickBot="1">
      <c r="A103" t="inlineStr">
        <is>
          <t>Latvia</t>
        </is>
      </c>
      <c r="B103" t="n">
        <v>34</v>
      </c>
      <c r="C103" t="n">
        <v>0.051</v>
      </c>
      <c r="D103" t="n">
        <v>0.006</v>
      </c>
      <c r="E103" t="n">
        <v>0</v>
      </c>
      <c r="F103" t="n">
        <v>0.075</v>
      </c>
      <c r="G103" t="n">
        <v>0.07200000000000001</v>
      </c>
      <c r="H103" t="n">
        <v>-0.045</v>
      </c>
      <c r="I103" t="n">
        <v>0.435</v>
      </c>
      <c r="J103" t="n">
        <v>3</v>
      </c>
      <c r="K103" t="n">
        <v>1.11</v>
      </c>
      <c r="L103" t="n">
        <v>1.91</v>
      </c>
    </row>
    <row r="104">
      <c r="A104" t="inlineStr">
        <is>
          <t>Lebanon</t>
        </is>
      </c>
      <c r="B104" t="n">
        <v>33</v>
      </c>
      <c r="C104" t="n">
        <v>-0.203</v>
      </c>
      <c r="D104" t="n">
        <v/>
      </c>
      <c r="E104" t="n">
        <v>0.1</v>
      </c>
      <c r="F104" t="n">
        <v>1.736</v>
      </c>
      <c r="G104" t="n">
        <v>0.066</v>
      </c>
      <c r="H104" t="n">
        <v>-0.165</v>
      </c>
      <c r="I104" t="n">
        <v>1.717</v>
      </c>
      <c r="J104" t="n">
        <v>-22.2</v>
      </c>
      <c r="K104" t="n">
        <v>1512</v>
      </c>
      <c r="L104" t="n">
        <v>6.8</v>
      </c>
    </row>
    <row r="105">
      <c r="A105" t="inlineStr">
        <is>
          <t>Estonia</t>
        </is>
      </c>
      <c r="B105" t="n">
        <v>31</v>
      </c>
      <c r="C105" t="n">
        <v>0.08599999999999999</v>
      </c>
      <c r="D105" t="n">
        <v>0.006999999999999999</v>
      </c>
      <c r="E105" t="n">
        <v>0</v>
      </c>
      <c r="F105" t="n">
        <v>0.08800000000000001</v>
      </c>
      <c r="G105" t="n">
        <v>0.057</v>
      </c>
      <c r="H105" t="n">
        <v>-0.049</v>
      </c>
      <c r="I105" t="n">
        <v>0.182</v>
      </c>
      <c r="J105" t="n">
        <v>-0.6</v>
      </c>
      <c r="K105" t="n">
        <v>1.11</v>
      </c>
      <c r="L105" t="n">
        <v>1.33</v>
      </c>
    </row>
    <row r="106">
      <c r="A106" t="inlineStr">
        <is>
          <t>Sudan</t>
        </is>
      </c>
      <c r="B106" t="n">
        <v>26</v>
      </c>
      <c r="C106" t="n">
        <v>-0.08400000000000001</v>
      </c>
      <c r="D106" t="n">
        <v/>
      </c>
      <c r="E106" t="n">
        <v>0.171</v>
      </c>
      <c r="F106" t="n">
        <v>3.51</v>
      </c>
      <c r="G106" t="n">
        <v>0.177</v>
      </c>
      <c r="H106" t="n">
        <v>-0.124</v>
      </c>
      <c r="I106" t="n">
        <v>2.594</v>
      </c>
      <c r="J106" t="n">
        <v>-12.6</v>
      </c>
      <c r="K106" t="n">
        <v>45.11</v>
      </c>
      <c r="L106" t="n">
        <v>43.85</v>
      </c>
    </row>
    <row r="107">
      <c r="A107" t="inlineStr">
        <is>
          <t>El Salvador</t>
        </is>
      </c>
      <c r="B107" t="n">
        <v>25</v>
      </c>
      <c r="C107" t="n">
        <v>0.241</v>
      </c>
      <c r="D107" t="n">
        <v>-0.023</v>
      </c>
      <c r="E107" t="n">
        <v>0.0401</v>
      </c>
      <c r="F107" t="n">
        <v>0.062</v>
      </c>
      <c r="G107" t="n">
        <v>0.06900000000000001</v>
      </c>
      <c r="H107" t="n">
        <v>-0.092</v>
      </c>
      <c r="I107" t="n">
        <v>0.9017000000000001</v>
      </c>
      <c r="J107" t="n">
        <v>0.5</v>
      </c>
      <c r="K107" t="n">
        <v>98.56</v>
      </c>
      <c r="L107" t="n">
        <v>6.49</v>
      </c>
    </row>
    <row r="108" ht="16" customHeight="1" s="88" thickBot="1">
      <c r="A108" t="inlineStr">
        <is>
          <t>Cambodia</t>
        </is>
      </c>
      <c r="B108" t="n">
        <v>25</v>
      </c>
      <c r="C108" t="n">
        <v>-0.031</v>
      </c>
      <c r="D108" t="n">
        <v/>
      </c>
      <c r="E108" t="n">
        <v>0.0089</v>
      </c>
      <c r="F108" t="n">
        <v>0.0296</v>
      </c>
      <c r="G108" t="n">
        <v>0.0031</v>
      </c>
      <c r="H108" t="n">
        <v>-0.026</v>
      </c>
      <c r="I108" t="n">
        <v>0.315</v>
      </c>
      <c r="J108" t="n">
        <v>-11.9</v>
      </c>
      <c r="K108" t="n">
        <v>4061</v>
      </c>
      <c r="L108" t="n">
        <v>16.71</v>
      </c>
    </row>
    <row r="109">
      <c r="A109" t="inlineStr">
        <is>
          <t>Libya</t>
        </is>
      </c>
      <c r="B109" t="n">
        <v>25</v>
      </c>
      <c r="C109" t="n">
        <v>-0.603</v>
      </c>
      <c r="D109" t="n">
        <v/>
      </c>
      <c r="E109" t="n">
        <v>0.03</v>
      </c>
      <c r="F109" t="n">
        <v>0.0208</v>
      </c>
      <c r="G109" t="n">
        <v>0.1863</v>
      </c>
      <c r="H109" t="n">
        <v>-1.03</v>
      </c>
      <c r="I109" t="n">
        <v>1.55</v>
      </c>
      <c r="J109" t="n">
        <v>9.300000000000001</v>
      </c>
      <c r="K109" t="n">
        <v>1.39</v>
      </c>
      <c r="L109" t="n">
        <v>6.87</v>
      </c>
    </row>
    <row r="110" ht="16" customHeight="1" s="88" thickBot="1">
      <c r="A110" t="inlineStr">
        <is>
          <t>Senegal</t>
        </is>
      </c>
      <c r="B110" t="n">
        <v>25</v>
      </c>
      <c r="C110" t="n">
        <v>0.109</v>
      </c>
      <c r="D110" t="n">
        <v>0.009000000000000001</v>
      </c>
      <c r="E110" t="n">
        <v>0.04</v>
      </c>
      <c r="F110" t="n">
        <v>0.03</v>
      </c>
      <c r="G110" t="n">
        <v>0.226</v>
      </c>
      <c r="H110" t="n">
        <v>-0.06</v>
      </c>
      <c r="I110" t="n">
        <v>0.477</v>
      </c>
      <c r="J110" t="n">
        <v>-10.3</v>
      </c>
      <c r="K110" t="n">
        <v>588.96</v>
      </c>
      <c r="L110" t="n">
        <v>16.7</v>
      </c>
    </row>
    <row r="111">
      <c r="A111" t="inlineStr">
        <is>
          <t>Papua New Guinea</t>
        </is>
      </c>
      <c r="B111" t="n">
        <v>24</v>
      </c>
      <c r="C111" t="n">
        <v>-0.038</v>
      </c>
      <c r="D111" t="n">
        <v/>
      </c>
      <c r="E111" t="n">
        <v>0.03</v>
      </c>
      <c r="F111" t="n">
        <v>0.0331</v>
      </c>
      <c r="G111" t="n">
        <v>0.027</v>
      </c>
      <c r="H111" t="n">
        <v>-0.081</v>
      </c>
      <c r="I111" t="n">
        <v>0.489</v>
      </c>
      <c r="J111" t="n">
        <v>16.9</v>
      </c>
      <c r="K111" t="n">
        <v>3.41</v>
      </c>
      <c r="L111" t="n">
        <v>8.949999999999999</v>
      </c>
    </row>
    <row r="112">
      <c r="A112" t="inlineStr">
        <is>
          <t>Honduras</t>
        </is>
      </c>
      <c r="B112" t="n">
        <v>24</v>
      </c>
      <c r="C112" t="n">
        <v>0.255</v>
      </c>
      <c r="D112" t="n">
        <v>0.029</v>
      </c>
      <c r="E112" t="n">
        <v>0.03</v>
      </c>
      <c r="F112" t="n">
        <v>0.0495</v>
      </c>
      <c r="G112" t="n">
        <v>0.109</v>
      </c>
      <c r="H112" t="n">
        <v>-0.06900000000000001</v>
      </c>
      <c r="I112" t="n">
        <v>0.5486</v>
      </c>
      <c r="J112" t="n">
        <v>4</v>
      </c>
      <c r="K112" t="n">
        <v>24.6</v>
      </c>
      <c r="L112" t="n">
        <v>9.300000000000001</v>
      </c>
    </row>
    <row r="113" ht="16" customHeight="1" s="88" thickBot="1">
      <c r="A113" t="inlineStr">
        <is>
          <t>Cyprus</t>
        </is>
      </c>
      <c r="B113" t="n">
        <v>24</v>
      </c>
      <c r="C113" t="n">
        <v>0.05599999999999999</v>
      </c>
      <c r="D113" t="n">
        <v>0.015</v>
      </c>
      <c r="E113" t="n">
        <v>0</v>
      </c>
      <c r="F113" t="n">
        <v>0.0434</v>
      </c>
      <c r="G113" t="n">
        <v>0.066</v>
      </c>
      <c r="H113" t="n">
        <v>-0.057</v>
      </c>
      <c r="I113" t="n">
        <v>1.182</v>
      </c>
      <c r="J113" t="n">
        <v>-11.9</v>
      </c>
      <c r="K113" t="n">
        <v>1.11</v>
      </c>
      <c r="L113" t="n">
        <v>0.89</v>
      </c>
    </row>
    <row r="114" ht="16" customHeight="1" s="88" thickBot="1">
      <c r="A114" t="inlineStr">
        <is>
          <t>Yemen</t>
        </is>
      </c>
      <c r="B114" t="n">
        <v>23</v>
      </c>
      <c r="C114" t="n">
        <v>-0.005</v>
      </c>
      <c r="D114" t="n">
        <v/>
      </c>
      <c r="E114" t="n">
        <v>0.27</v>
      </c>
      <c r="F114" t="n">
        <v>0.0077</v>
      </c>
      <c r="G114" t="n">
        <v>0.1342</v>
      </c>
      <c r="H114" t="n">
        <v>-0.044</v>
      </c>
      <c r="I114" t="n">
        <v>0.8170000000000001</v>
      </c>
      <c r="J114" t="n">
        <v>-0.01</v>
      </c>
      <c r="K114" t="n">
        <v>246.5</v>
      </c>
      <c r="L114" t="n">
        <v>29.82</v>
      </c>
    </row>
    <row r="115">
      <c r="A115" t="inlineStr">
        <is>
          <t>Trinidadand Tobago</t>
        </is>
      </c>
      <c r="B115" t="n">
        <v>22</v>
      </c>
      <c r="C115" t="n">
        <v>-0.077</v>
      </c>
      <c r="D115" t="n">
        <v>0.051</v>
      </c>
      <c r="E115" t="n">
        <v>0.035</v>
      </c>
      <c r="F115" t="n">
        <v>0.022</v>
      </c>
      <c r="G115" t="n">
        <v>0.051</v>
      </c>
      <c r="H115" t="n">
        <v>-0.112</v>
      </c>
      <c r="I115" t="n">
        <v>0.8270000000000001</v>
      </c>
      <c r="J115" t="n">
        <v>2.3</v>
      </c>
      <c r="K115" t="n">
        <v>6.74</v>
      </c>
      <c r="L115" t="n">
        <v>1.37</v>
      </c>
    </row>
    <row r="116" ht="16" customHeight="1" s="88" thickBot="1">
      <c r="A116" t="inlineStr">
        <is>
          <t>Iceland</t>
        </is>
      </c>
      <c r="B116" t="n">
        <v>22</v>
      </c>
      <c r="C116" t="n">
        <v>0.06</v>
      </c>
      <c r="D116" t="n">
        <v>-0.023</v>
      </c>
      <c r="E116" t="n">
        <v>0.02</v>
      </c>
      <c r="F116" t="n">
        <v>0.048</v>
      </c>
      <c r="G116" t="n">
        <v>0.058</v>
      </c>
      <c r="H116" t="n">
        <v>-0.073</v>
      </c>
      <c r="I116" t="n">
        <v>0.799</v>
      </c>
      <c r="J116" t="n">
        <v>1</v>
      </c>
      <c r="K116" t="n">
        <v>124.24</v>
      </c>
      <c r="L116" t="n">
        <v>0.36</v>
      </c>
    </row>
    <row r="117" ht="16" customHeight="1" s="88" thickBot="1">
      <c r="A117" t="inlineStr">
        <is>
          <t>Bosniaand Herzegovina</t>
        </is>
      </c>
      <c r="B117" t="n">
        <v>20</v>
      </c>
      <c r="C117" t="n">
        <v>0.116</v>
      </c>
      <c r="D117" t="n">
        <v>0.019</v>
      </c>
      <c r="E117" t="n">
        <v>0.0344</v>
      </c>
      <c r="F117" t="n">
        <v>0.043</v>
      </c>
      <c r="G117" t="n">
        <v>0.3173</v>
      </c>
      <c r="H117" t="n">
        <v>-0.053</v>
      </c>
      <c r="I117" t="n">
        <v>0.246</v>
      </c>
      <c r="J117" t="n">
        <v>-3.1</v>
      </c>
      <c r="K117" t="n">
        <v>1.77</v>
      </c>
      <c r="L117" t="n">
        <v>3.28</v>
      </c>
    </row>
    <row r="118" ht="16" customHeight="1" s="88" thickBot="1">
      <c r="A118" t="inlineStr">
        <is>
          <t>Afghanistan</t>
        </is>
      </c>
      <c r="B118" t="n">
        <v>20</v>
      </c>
      <c r="C118" t="n">
        <v>-0.0193</v>
      </c>
      <c r="D118" t="n">
        <v/>
      </c>
      <c r="E118" t="n">
        <v>0.15</v>
      </c>
      <c r="F118" t="n">
        <v>0.0156</v>
      </c>
      <c r="G118" t="n">
        <v>0.112</v>
      </c>
      <c r="H118" t="n">
        <v>-0.034</v>
      </c>
      <c r="I118" t="n">
        <v>0.078</v>
      </c>
      <c r="J118" t="n">
        <v>-21.2</v>
      </c>
      <c r="K118" t="n">
        <v>78.40000000000001</v>
      </c>
      <c r="L118" t="n">
        <v>33.2</v>
      </c>
    </row>
    <row r="119" ht="16" customHeight="1" s="88" thickBot="1">
      <c r="A119" t="inlineStr">
        <is>
          <t>Laos</t>
        </is>
      </c>
      <c r="B119" t="n">
        <v>19</v>
      </c>
      <c r="C119" t="n">
        <v>0.004</v>
      </c>
      <c r="D119" t="n">
        <v/>
      </c>
      <c r="E119" t="n">
        <v>0.03</v>
      </c>
      <c r="F119" t="n">
        <v>0.0472</v>
      </c>
      <c r="G119" t="n">
        <v>0.01</v>
      </c>
      <c r="H119" t="n">
        <v>-0.0522</v>
      </c>
      <c r="I119" t="n">
        <v>0.5566</v>
      </c>
      <c r="J119" t="n">
        <v>-0.6</v>
      </c>
      <c r="K119" t="n">
        <v>9485</v>
      </c>
      <c r="L119" t="n">
        <v>7.3</v>
      </c>
    </row>
    <row r="120" ht="16" customHeight="1" s="88" thickBot="1">
      <c r="A120" t="inlineStr">
        <is>
          <t>Zambia</t>
        </is>
      </c>
      <c r="B120" t="n">
        <v>19</v>
      </c>
      <c r="C120" t="n">
        <v>0.006999999999999999</v>
      </c>
      <c r="D120" t="n">
        <v/>
      </c>
      <c r="E120" t="n">
        <v>0.09</v>
      </c>
      <c r="F120" t="n">
        <v>0.193</v>
      </c>
      <c r="G120" t="n">
        <v>0.122</v>
      </c>
      <c r="H120" t="n">
        <v>-0.11</v>
      </c>
      <c r="I120" t="n">
        <v>0.96</v>
      </c>
      <c r="J120" t="n">
        <v>12.2</v>
      </c>
      <c r="K120" t="n">
        <v>22.64</v>
      </c>
      <c r="L120" t="n">
        <v>17.88</v>
      </c>
    </row>
    <row r="121" ht="16" customHeight="1" s="88" thickBot="1">
      <c r="A121" t="inlineStr">
        <is>
          <t>Zimbabwe</t>
        </is>
      </c>
      <c r="B121" t="n">
        <v>17</v>
      </c>
      <c r="C121" t="n">
        <v>-0.04099999999999999</v>
      </c>
      <c r="D121" t="n">
        <v/>
      </c>
      <c r="E121" t="n">
        <v>0.6</v>
      </c>
      <c r="F121" t="n">
        <v>0.584</v>
      </c>
      <c r="G121" t="n">
        <v>0.057</v>
      </c>
      <c r="H121" t="n">
        <v>-0.015</v>
      </c>
      <c r="I121" t="n">
        <v>0.772</v>
      </c>
      <c r="J121" t="n">
        <v>-1.9</v>
      </c>
      <c r="K121" t="n">
        <v>16.36</v>
      </c>
      <c r="L121" t="n">
        <v>14.86</v>
      </c>
    </row>
    <row r="122" ht="16" customHeight="1" s="88" thickBot="1">
      <c r="A122" t="inlineStr">
        <is>
          <t>Mali</t>
        </is>
      </c>
      <c r="B122" t="n">
        <v>17</v>
      </c>
      <c r="C122" t="n">
        <v>0.063</v>
      </c>
      <c r="D122" t="n">
        <v/>
      </c>
      <c r="E122" t="n">
        <v>0.04</v>
      </c>
      <c r="F122" t="n">
        <v>0.029</v>
      </c>
      <c r="G122" t="n">
        <v>0.075</v>
      </c>
      <c r="H122" t="n">
        <v>-0.061</v>
      </c>
      <c r="I122" t="n">
        <v/>
      </c>
      <c r="J122" t="n">
        <v>-1.7</v>
      </c>
      <c r="K122" t="n">
        <v>588.96</v>
      </c>
      <c r="L122" t="n">
        <v>20.25</v>
      </c>
    </row>
    <row r="123">
      <c r="A123" t="inlineStr">
        <is>
          <t>Burkina Faso</t>
        </is>
      </c>
      <c r="B123" t="n">
        <v>17</v>
      </c>
      <c r="C123" t="n">
        <v>0.225</v>
      </c>
      <c r="D123" t="n">
        <v/>
      </c>
      <c r="E123" t="n">
        <v>0.04</v>
      </c>
      <c r="F123" t="n">
        <v>0.039</v>
      </c>
      <c r="G123" t="n">
        <v>0.05</v>
      </c>
      <c r="H123" t="n">
        <v>-0.05400000000000001</v>
      </c>
      <c r="I123" t="n">
        <v>0.25</v>
      </c>
      <c r="J123" t="n">
        <v>1.2</v>
      </c>
      <c r="K123" t="n">
        <v>588.96</v>
      </c>
      <c r="L123" t="n">
        <v>21.51</v>
      </c>
    </row>
    <row r="124" ht="16" customHeight="1" s="88" thickBot="1">
      <c r="A124" t="inlineStr">
        <is>
          <t>Botswana</t>
        </is>
      </c>
      <c r="B124" t="n">
        <v>16</v>
      </c>
      <c r="C124" t="n">
        <v>0.36</v>
      </c>
      <c r="D124" t="n">
        <v>0.002</v>
      </c>
      <c r="E124" t="n">
        <v>0.0375</v>
      </c>
      <c r="F124" t="n">
        <v>0.08599999999999999</v>
      </c>
      <c r="G124" t="n">
        <v>0.233</v>
      </c>
      <c r="H124" t="n">
        <v>-0.05599999999999999</v>
      </c>
      <c r="I124" t="n">
        <v>0.182</v>
      </c>
      <c r="J124" t="n">
        <v>-11.2</v>
      </c>
      <c r="K124" t="n">
        <v>11.03</v>
      </c>
      <c r="L124" t="n">
        <v>2.37</v>
      </c>
    </row>
    <row r="125" ht="16" customHeight="1" s="88" thickBot="1">
      <c r="A125" t="inlineStr">
        <is>
          <t>Benin</t>
        </is>
      </c>
      <c r="B125" t="n">
        <v>16</v>
      </c>
      <c r="C125" t="n">
        <v>0.08199999999999999</v>
      </c>
      <c r="D125" t="n">
        <v/>
      </c>
      <c r="E125" t="n">
        <v>0.04</v>
      </c>
      <c r="F125" t="n">
        <v>0.023</v>
      </c>
      <c r="G125" t="n">
        <v>0.025</v>
      </c>
      <c r="H125" t="n">
        <v>-0.03700000000000001</v>
      </c>
      <c r="I125" t="n">
        <v>0.461</v>
      </c>
      <c r="J125" t="n">
        <v>-5.5</v>
      </c>
      <c r="K125" t="n">
        <v>588.96</v>
      </c>
      <c r="L125" t="n">
        <v>12.11</v>
      </c>
    </row>
    <row r="126" ht="16" customHeight="1" s="88" thickBot="1">
      <c r="A126" t="inlineStr">
        <is>
          <t>Guinea</t>
        </is>
      </c>
      <c r="B126" t="n">
        <v>16</v>
      </c>
      <c r="C126" t="n">
        <v>0.07000000000000001</v>
      </c>
      <c r="D126" t="n">
        <v/>
      </c>
      <c r="E126" t="n">
        <v>0.115</v>
      </c>
      <c r="F126" t="n">
        <v>0.127</v>
      </c>
      <c r="G126" t="n">
        <v>0.044</v>
      </c>
      <c r="H126" t="n">
        <v>-0.031</v>
      </c>
      <c r="I126" t="n">
        <v>0.4</v>
      </c>
      <c r="J126" t="n">
        <v>-13.3</v>
      </c>
      <c r="K126" t="n">
        <v>9537</v>
      </c>
      <c r="L126" t="n">
        <v>12.56</v>
      </c>
    </row>
    <row r="127">
      <c r="A127" t="inlineStr">
        <is>
          <t>Georgia</t>
        </is>
      </c>
      <c r="B127" t="n">
        <v>16</v>
      </c>
      <c r="C127" t="n">
        <v>0.299</v>
      </c>
      <c r="D127" t="n">
        <v/>
      </c>
      <c r="E127" t="n">
        <v>0.105</v>
      </c>
      <c r="F127" t="n">
        <v>0.125</v>
      </c>
      <c r="G127" t="n">
        <v>0.185</v>
      </c>
      <c r="H127" t="n">
        <v>-0.09300000000000001</v>
      </c>
      <c r="I127" t="n">
        <v>0.5710000000000001</v>
      </c>
      <c r="J127" t="n">
        <v>-12.3</v>
      </c>
      <c r="K127" t="n">
        <v>2.89</v>
      </c>
      <c r="L127" t="n">
        <v>3.73</v>
      </c>
    </row>
    <row r="128" ht="16" customHeight="1" s="88" thickBot="1">
      <c r="A128" t="inlineStr">
        <is>
          <t>Gabon</t>
        </is>
      </c>
      <c r="B128" t="n">
        <v>16</v>
      </c>
      <c r="C128" t="n">
        <v>-0.018</v>
      </c>
      <c r="D128" t="n">
        <v/>
      </c>
      <c r="E128" t="n">
        <v>0.0325</v>
      </c>
      <c r="F128" t="n">
        <v>0.009000000000000001</v>
      </c>
      <c r="G128" t="n">
        <v>0.205</v>
      </c>
      <c r="H128" t="n">
        <v>-0.05</v>
      </c>
      <c r="I128" t="n">
        <v>0.725</v>
      </c>
      <c r="J128" t="n">
        <v>-9.5</v>
      </c>
      <c r="K128" t="n">
        <v>551.3200000000001</v>
      </c>
      <c r="L128" t="n">
        <v>2.22</v>
      </c>
    </row>
    <row r="129">
      <c r="A129" t="inlineStr">
        <is>
          <t>Palestine</t>
        </is>
      </c>
      <c r="B129" t="n">
        <v>16</v>
      </c>
      <c r="C129" t="n">
        <v>0.19</v>
      </c>
      <c r="D129" t="n">
        <v/>
      </c>
      <c r="E129" t="n">
        <v/>
      </c>
      <c r="F129" t="n">
        <v>0.0138</v>
      </c>
      <c r="G129" t="n">
        <v>0.27</v>
      </c>
      <c r="H129" t="n">
        <v>-0.005</v>
      </c>
      <c r="I129" t="n">
        <v>0.164</v>
      </c>
      <c r="J129" t="n">
        <v>-6.9</v>
      </c>
      <c r="K129" t="n">
        <v/>
      </c>
      <c r="L129" t="n">
        <v>5.1</v>
      </c>
    </row>
    <row r="130">
      <c r="A130" t="inlineStr">
        <is>
          <t>Malta</t>
        </is>
      </c>
      <c r="B130" t="n">
        <v>15</v>
      </c>
      <c r="C130" t="n">
        <v>0.09699999999999999</v>
      </c>
      <c r="D130" t="n">
        <v>-0.005</v>
      </c>
      <c r="E130" t="n">
        <v>0</v>
      </c>
      <c r="F130" t="n">
        <v>0.024</v>
      </c>
      <c r="G130" t="n">
        <v>0.035</v>
      </c>
      <c r="H130" t="n">
        <v>-0.101</v>
      </c>
      <c r="I130" t="n">
        <v>0.5429999999999999</v>
      </c>
      <c r="J130" t="n">
        <v>-4</v>
      </c>
      <c r="K130" t="n">
        <v>1.11</v>
      </c>
      <c r="L130" t="n">
        <v>0.51</v>
      </c>
    </row>
    <row r="131" ht="16" customHeight="1" s="88" thickBot="1">
      <c r="A131" t="inlineStr">
        <is>
          <t>Albania</t>
        </is>
      </c>
      <c r="B131" t="n">
        <v>15</v>
      </c>
      <c r="C131" t="n">
        <v>0.179</v>
      </c>
      <c r="D131" t="n">
        <v>0.0211</v>
      </c>
      <c r="E131" t="n">
        <v>0.005</v>
      </c>
      <c r="F131" t="n">
        <v>0.031</v>
      </c>
      <c r="G131" t="n">
        <v>0.116</v>
      </c>
      <c r="H131" t="n">
        <v>-0.06900000000000001</v>
      </c>
      <c r="I131" t="n">
        <v>0.779</v>
      </c>
      <c r="J131" t="n">
        <v>-8.9</v>
      </c>
      <c r="K131" t="n">
        <v>106.3</v>
      </c>
      <c r="L131" t="n">
        <v>2.85</v>
      </c>
    </row>
    <row r="132">
      <c r="A132" t="inlineStr">
        <is>
          <t>Madagascar</t>
        </is>
      </c>
      <c r="B132" t="n">
        <v>14</v>
      </c>
      <c r="C132" t="n">
        <v>-0.04</v>
      </c>
      <c r="D132" t="n">
        <v/>
      </c>
      <c r="E132" t="n">
        <v>0.095</v>
      </c>
      <c r="F132" t="n">
        <v>0.0629</v>
      </c>
      <c r="G132" t="n">
        <v>0.019</v>
      </c>
      <c r="H132" t="n">
        <v>-0.063</v>
      </c>
      <c r="I132" t="n">
        <v>0.448</v>
      </c>
      <c r="J132" t="n">
        <v>-3.5</v>
      </c>
      <c r="K132" t="n">
        <v>3680.5</v>
      </c>
      <c r="L132" t="n">
        <v>27.69</v>
      </c>
    </row>
    <row r="133">
      <c r="A133" t="inlineStr">
        <is>
          <t>Jamaica</t>
        </is>
      </c>
      <c r="B133" t="n">
        <v>14</v>
      </c>
      <c r="C133" t="n">
        <v>0.142</v>
      </c>
      <c r="D133" t="n">
        <v>0.024</v>
      </c>
      <c r="E133" t="n">
        <v>0.02</v>
      </c>
      <c r="F133" t="n">
        <v>0.08500000000000001</v>
      </c>
      <c r="G133" t="n">
        <v>0.08500000000000001</v>
      </c>
      <c r="H133" t="n">
        <v>-0.039</v>
      </c>
      <c r="I133" t="n">
        <v>1.101</v>
      </c>
      <c r="J133" t="n">
        <v>0.2</v>
      </c>
      <c r="K133" t="n">
        <v>133.91</v>
      </c>
      <c r="L133" t="n">
        <v>2.96</v>
      </c>
    </row>
    <row r="134">
      <c r="A134" t="inlineStr">
        <is>
          <t>Mozambique</t>
        </is>
      </c>
      <c r="B134" t="n">
        <v>14</v>
      </c>
      <c r="C134" t="n">
        <v>0.0336</v>
      </c>
      <c r="D134" t="n">
        <v>0.02</v>
      </c>
      <c r="E134" t="n">
        <v>0.1325</v>
      </c>
      <c r="F134" t="n">
        <v>0.0677</v>
      </c>
      <c r="G134" t="n">
        <v>0.2504</v>
      </c>
      <c r="H134" t="n">
        <v>-0.117</v>
      </c>
      <c r="I134" t="n">
        <v>1.22</v>
      </c>
      <c r="J134" t="n">
        <v>-30.8</v>
      </c>
      <c r="K134" t="n">
        <v>63</v>
      </c>
      <c r="L134" t="n">
        <v>30.83</v>
      </c>
    </row>
    <row r="135">
      <c r="A135" t="inlineStr">
        <is>
          <t>Niger</t>
        </is>
      </c>
      <c r="B135" t="n">
        <v>14</v>
      </c>
      <c r="C135" t="n">
        <v>0.06900000000000001</v>
      </c>
      <c r="D135" t="n">
        <v/>
      </c>
      <c r="E135" t="n">
        <v>0.04</v>
      </c>
      <c r="F135" t="n">
        <v>0.039</v>
      </c>
      <c r="G135" t="n">
        <v>0.006999999999999999</v>
      </c>
      <c r="H135" t="n">
        <v>-0.057</v>
      </c>
      <c r="I135" t="n">
        <v>0.398</v>
      </c>
      <c r="J135" t="n">
        <v>-12</v>
      </c>
      <c r="K135" t="n">
        <v>588.96</v>
      </c>
      <c r="L135" t="n">
        <v>24.2</v>
      </c>
    </row>
    <row r="136" ht="16" customHeight="1" s="88" thickBot="1">
      <c r="A136" t="inlineStr">
        <is>
          <t>Mongolia</t>
        </is>
      </c>
      <c r="B136" t="n">
        <v>13</v>
      </c>
      <c r="C136" t="n">
        <v>0.036</v>
      </c>
      <c r="D136" t="n">
        <v>0.061</v>
      </c>
      <c r="E136" t="n">
        <v>0.06</v>
      </c>
      <c r="F136" t="n">
        <v>0.105</v>
      </c>
      <c r="G136" t="n">
        <v>0.08400000000000001</v>
      </c>
      <c r="H136" t="n">
        <v>-0.115</v>
      </c>
      <c r="I136" t="n">
        <v>0.66</v>
      </c>
      <c r="J136" t="n">
        <v>-12.3</v>
      </c>
      <c r="K136" t="n">
        <v>2728</v>
      </c>
      <c r="L136" t="n">
        <v>3.27</v>
      </c>
    </row>
    <row r="137">
      <c r="A137" t="inlineStr">
        <is>
          <t>Nicaragua</t>
        </is>
      </c>
      <c r="B137" t="n">
        <v>13</v>
      </c>
      <c r="C137" t="n">
        <v>0.167</v>
      </c>
      <c r="D137" t="n">
        <v/>
      </c>
      <c r="E137" t="n">
        <v>0.0862</v>
      </c>
      <c r="F137" t="n">
        <v>0.0641</v>
      </c>
      <c r="G137" t="n">
        <v>0.049</v>
      </c>
      <c r="H137" t="n">
        <v>-0.01</v>
      </c>
      <c r="I137" t="n">
        <v>0.648</v>
      </c>
      <c r="J137" t="n">
        <v>7.6</v>
      </c>
      <c r="K137" t="n">
        <v>33.47</v>
      </c>
      <c r="L137" t="n">
        <v>6.67</v>
      </c>
    </row>
    <row r="138" ht="16" customHeight="1" s="88" thickBot="1">
      <c r="A138" t="inlineStr">
        <is>
          <t>Armenia</t>
        </is>
      </c>
      <c r="B138" t="n">
        <v>13</v>
      </c>
      <c r="C138" t="n">
        <v>0.027</v>
      </c>
      <c r="D138" t="n">
        <v/>
      </c>
      <c r="E138" t="n">
        <v>0.0775</v>
      </c>
      <c r="F138" t="n">
        <v>0.096</v>
      </c>
      <c r="G138" t="n">
        <v>0.15</v>
      </c>
      <c r="H138" t="n">
        <v>-0.05400000000000001</v>
      </c>
      <c r="I138" t="n">
        <v>0.6279</v>
      </c>
      <c r="J138" t="n">
        <v>-4</v>
      </c>
      <c r="K138" t="n">
        <v>495.16</v>
      </c>
      <c r="L138" t="n">
        <v>2.96</v>
      </c>
    </row>
    <row r="139" ht="16" customHeight="1" s="88" thickBot="1">
      <c r="A139" t="inlineStr">
        <is>
          <t>Haiti</t>
        </is>
      </c>
      <c r="B139" t="n">
        <v>13</v>
      </c>
      <c r="C139" t="n">
        <v>-0.033</v>
      </c>
      <c r="D139" t="n">
        <v/>
      </c>
      <c r="E139" t="n">
        <v>0.17</v>
      </c>
      <c r="F139" t="n">
        <v>0.1091</v>
      </c>
      <c r="G139" t="n">
        <v>0.145</v>
      </c>
      <c r="H139" t="n">
        <v>-0.059</v>
      </c>
      <c r="I139" t="n">
        <v>0.544</v>
      </c>
      <c r="J139" t="n">
        <v>5.5</v>
      </c>
      <c r="K139" t="n">
        <v>88.70999999999999</v>
      </c>
      <c r="L139" t="n">
        <v>11.4</v>
      </c>
    </row>
    <row r="140">
      <c r="A140" t="inlineStr">
        <is>
          <t>Brunei</t>
        </is>
      </c>
      <c r="B140" t="n">
        <v>12</v>
      </c>
      <c r="C140" t="n">
        <v>-0.021</v>
      </c>
      <c r="D140" t="n">
        <v/>
      </c>
      <c r="E140" t="n">
        <v>0.055</v>
      </c>
      <c r="F140" t="n">
        <v>0.022</v>
      </c>
      <c r="G140" t="n">
        <v>0.08400000000000001</v>
      </c>
      <c r="H140" t="n">
        <v>-0.027</v>
      </c>
      <c r="I140" t="n">
        <v>0.032</v>
      </c>
      <c r="J140" t="n">
        <v>1</v>
      </c>
      <c r="K140" t="n">
        <v>1.35</v>
      </c>
      <c r="L140" t="n">
        <v>0.45</v>
      </c>
    </row>
    <row r="141">
      <c r="A141" t="inlineStr">
        <is>
          <t>Malawi</t>
        </is>
      </c>
      <c r="B141" t="n">
        <v>12</v>
      </c>
      <c r="C141" t="n">
        <v>0.009000000000000001</v>
      </c>
      <c r="D141" t="n">
        <v/>
      </c>
      <c r="E141" t="n">
        <v>0.12</v>
      </c>
      <c r="F141" t="n">
        <v>0.111</v>
      </c>
      <c r="G141" t="n">
        <v>0.06</v>
      </c>
      <c r="H141" t="n">
        <v>-0.057</v>
      </c>
      <c r="I141" t="n">
        <v>0.507</v>
      </c>
      <c r="J141" t="n">
        <v>-12.7</v>
      </c>
      <c r="K141" t="n">
        <v>734.11</v>
      </c>
      <c r="L141" t="n">
        <v>19.13</v>
      </c>
    </row>
    <row r="142">
      <c r="A142" t="inlineStr">
        <is>
          <t>Moldova</t>
        </is>
      </c>
      <c r="B142" t="n">
        <v>12</v>
      </c>
      <c r="C142" t="n">
        <v>0.083</v>
      </c>
      <c r="D142" t="n">
        <v>-0.033</v>
      </c>
      <c r="E142" t="n">
        <v>0.065</v>
      </c>
      <c r="F142" t="n">
        <v>0.1244</v>
      </c>
      <c r="G142" t="n">
        <v>0.025</v>
      </c>
      <c r="H142" t="n">
        <v>-0.08</v>
      </c>
      <c r="I142" t="n">
        <v>0.329</v>
      </c>
      <c r="J142" t="n">
        <v>-6.7</v>
      </c>
      <c r="K142" t="n">
        <v>17.97</v>
      </c>
      <c r="L142" t="n">
        <v>2.61</v>
      </c>
    </row>
    <row r="143">
      <c r="A143" t="inlineStr">
        <is>
          <t>Macedonia</t>
        </is>
      </c>
      <c r="B143" t="n">
        <v>12</v>
      </c>
      <c r="C143" t="n">
        <v>0.03</v>
      </c>
      <c r="D143" t="n">
        <v>0.039</v>
      </c>
      <c r="E143" t="n">
        <v>0.0125</v>
      </c>
      <c r="F143" t="n">
        <v>0.048</v>
      </c>
      <c r="G143" t="n">
        <v>0.157</v>
      </c>
      <c r="H143" t="n">
        <v>-0.081</v>
      </c>
      <c r="I143" t="n">
        <v>0.512</v>
      </c>
      <c r="J143" t="n">
        <v>-3.5</v>
      </c>
      <c r="K143" t="n">
        <v>51.93</v>
      </c>
      <c r="L143" t="n">
        <v>2.08</v>
      </c>
    </row>
    <row r="144">
      <c r="A144" t="inlineStr">
        <is>
          <t>Mauritius</t>
        </is>
      </c>
      <c r="B144" t="n">
        <v>11</v>
      </c>
      <c r="C144" t="n">
        <v>0.188</v>
      </c>
      <c r="D144" t="n">
        <v>-0.09</v>
      </c>
      <c r="E144" t="n">
        <v>0.0185</v>
      </c>
      <c r="F144" t="n">
        <v>0.064</v>
      </c>
      <c r="G144" t="n">
        <v>0.105</v>
      </c>
      <c r="H144" t="n">
        <v>-0.136</v>
      </c>
      <c r="I144" t="n">
        <v>0.7340000000000001</v>
      </c>
      <c r="J144" t="n">
        <v>-10.1</v>
      </c>
      <c r="K144" t="n">
        <v>42.9</v>
      </c>
      <c r="L144" t="n">
        <v>1.27</v>
      </c>
    </row>
    <row r="145" ht="16" customHeight="1" s="88" thickBot="1">
      <c r="A145" t="inlineStr">
        <is>
          <t>Namibia</t>
        </is>
      </c>
      <c r="B145" t="n">
        <v>11</v>
      </c>
      <c r="C145" t="n">
        <v>0.024</v>
      </c>
      <c r="D145" t="n">
        <v>0.0225</v>
      </c>
      <c r="E145" t="n">
        <v>0.0375</v>
      </c>
      <c r="F145" t="n">
        <v>0.04099999999999999</v>
      </c>
      <c r="G145" t="n">
        <v>0.334</v>
      </c>
      <c r="H145" t="n">
        <v>-0.095</v>
      </c>
      <c r="I145" t="n">
        <v>0.696</v>
      </c>
      <c r="J145" t="n">
        <v>1.9</v>
      </c>
      <c r="K145" t="n">
        <v>14.72</v>
      </c>
      <c r="L145" t="n">
        <v>2.5</v>
      </c>
    </row>
    <row r="146" ht="16" customHeight="1" s="88" thickBot="1">
      <c r="A146" t="inlineStr">
        <is>
          <t>Republicofthe Congo</t>
        </is>
      </c>
      <c r="B146" t="n">
        <v>11</v>
      </c>
      <c r="C146" t="n">
        <v>-0.079</v>
      </c>
      <c r="D146" t="n">
        <v/>
      </c>
      <c r="E146" t="n">
        <v>0.0325</v>
      </c>
      <c r="F146" t="n">
        <v>0.011</v>
      </c>
      <c r="G146" t="n">
        <v>0.103</v>
      </c>
      <c r="H146" t="n">
        <v>-0.02</v>
      </c>
      <c r="I146" t="n">
        <v>1.0168</v>
      </c>
      <c r="J146" t="n">
        <v>8.199999999999999</v>
      </c>
      <c r="K146" t="n">
        <v>551.3200000000001</v>
      </c>
      <c r="L146" t="n">
        <v>5.52</v>
      </c>
    </row>
    <row r="147" ht="16" customHeight="1" s="88" thickBot="1">
      <c r="A147" t="inlineStr">
        <is>
          <t>Bahamas</t>
        </is>
      </c>
      <c r="B147" t="n">
        <v>11</v>
      </c>
      <c r="C147" t="n">
        <v>-0.148</v>
      </c>
      <c r="D147" t="n">
        <v/>
      </c>
      <c r="E147" t="n">
        <v>0.04</v>
      </c>
      <c r="F147" t="n">
        <v>0.027</v>
      </c>
      <c r="G147" t="n">
        <v>0.256</v>
      </c>
      <c r="H147" t="n">
        <v>-0.064</v>
      </c>
      <c r="I147" t="n">
        <v>0.838</v>
      </c>
      <c r="J147" t="n">
        <v>-17.6</v>
      </c>
      <c r="K147" t="n">
        <v>1</v>
      </c>
      <c r="L147" t="n">
        <v>0.39</v>
      </c>
    </row>
    <row r="148" ht="16" customHeight="1" s="88" thickBot="1">
      <c r="A148" t="inlineStr">
        <is>
          <t>Chad</t>
        </is>
      </c>
      <c r="B148" t="n">
        <v>10</v>
      </c>
      <c r="C148" t="n">
        <v>-0.009000000000000001</v>
      </c>
      <c r="D148" t="n">
        <v/>
      </c>
      <c r="E148" t="n">
        <v>0.0325</v>
      </c>
      <c r="F148" t="n">
        <v>-0.009000000000000001</v>
      </c>
      <c r="G148" t="n">
        <v>0.023</v>
      </c>
      <c r="H148" t="n">
        <v>-0.008</v>
      </c>
      <c r="I148" t="n">
        <v>0.43</v>
      </c>
      <c r="J148" t="n">
        <v>-13.3</v>
      </c>
      <c r="K148" t="n">
        <v>551.3200000000001</v>
      </c>
      <c r="L148" t="n">
        <v>16.42</v>
      </c>
    </row>
    <row r="149">
      <c r="A149" t="inlineStr">
        <is>
          <t>Equatorial Guinea</t>
        </is>
      </c>
      <c r="B149" t="n">
        <v>10</v>
      </c>
      <c r="C149" t="n">
        <v>-0.058</v>
      </c>
      <c r="D149" t="n">
        <v/>
      </c>
      <c r="E149" t="n">
        <v>0.0325</v>
      </c>
      <c r="F149" t="n">
        <v>0.03</v>
      </c>
      <c r="G149" t="n">
        <v>0.092</v>
      </c>
      <c r="H149" t="n">
        <v>-0.028</v>
      </c>
      <c r="I149" t="n">
        <v>0.511</v>
      </c>
      <c r="J149" t="n">
        <v>-8.4</v>
      </c>
      <c r="K149" t="n">
        <v>551.3200000000001</v>
      </c>
      <c r="L149" t="n">
        <v>1.4</v>
      </c>
    </row>
    <row r="150" ht="16" customHeight="1" s="88" thickBot="1">
      <c r="A150" t="inlineStr">
        <is>
          <t>Rwanda</t>
        </is>
      </c>
      <c r="B150" t="n">
        <v>10</v>
      </c>
      <c r="C150" t="n">
        <v>0.206</v>
      </c>
      <c r="D150" t="n">
        <v>0.045</v>
      </c>
      <c r="E150" t="n">
        <v>0.045</v>
      </c>
      <c r="F150" t="n">
        <v>-0.034</v>
      </c>
      <c r="G150" t="n">
        <v>0.235</v>
      </c>
      <c r="H150" t="n">
        <v>-0.083</v>
      </c>
      <c r="I150" t="n">
        <v>0.61</v>
      </c>
      <c r="J150" t="n">
        <v>-10</v>
      </c>
      <c r="K150" t="n">
        <v>934.59</v>
      </c>
      <c r="L150" t="n">
        <v>12.66</v>
      </c>
    </row>
    <row r="151" ht="16" customHeight="1" s="88" thickBot="1">
      <c r="A151" t="inlineStr">
        <is>
          <t>New Caledonia</t>
        </is>
      </c>
      <c r="B151" t="n">
        <v>10</v>
      </c>
      <c r="C151" t="n">
        <v>-0.012</v>
      </c>
      <c r="D151" t="n">
        <v/>
      </c>
      <c r="E151" t="n">
        <v>0.0025</v>
      </c>
      <c r="F151" t="n">
        <v>0.0063</v>
      </c>
      <c r="G151" t="n">
        <v>0.165</v>
      </c>
      <c r="H151" t="n">
        <v/>
      </c>
      <c r="I151" t="n">
        <v/>
      </c>
      <c r="J151" t="n">
        <v/>
      </c>
      <c r="K151" t="n">
        <v>107</v>
      </c>
      <c r="L151" t="n">
        <v>0.27</v>
      </c>
    </row>
    <row r="152" ht="16" customHeight="1" s="88" thickBot="1">
      <c r="A152" t="inlineStr">
        <is>
          <t>Monaco</t>
        </is>
      </c>
      <c r="B152" t="n">
        <v>8</v>
      </c>
      <c r="C152" t="n">
        <v>0.075</v>
      </c>
      <c r="D152" t="n">
        <v/>
      </c>
      <c r="E152" t="n">
        <v/>
      </c>
      <c r="F152" t="n">
        <v/>
      </c>
      <c r="G152" t="n">
        <v/>
      </c>
      <c r="H152" t="n">
        <v/>
      </c>
      <c r="I152" t="n">
        <v/>
      </c>
      <c r="J152" t="n">
        <v/>
      </c>
      <c r="K152" t="n">
        <v>1.11</v>
      </c>
      <c r="L152" t="n">
        <v>0.04</v>
      </c>
    </row>
    <row r="153" ht="16" customHeight="1" s="88" thickBot="1">
      <c r="A153" t="inlineStr">
        <is>
          <t>Mauritania</t>
        </is>
      </c>
      <c r="B153" t="n">
        <v>8</v>
      </c>
      <c r="C153" t="n">
        <v>-0.036</v>
      </c>
      <c r="D153" t="n">
        <v/>
      </c>
      <c r="E153" t="n">
        <v>0.05</v>
      </c>
      <c r="F153" t="n">
        <v>0.047</v>
      </c>
      <c r="G153" t="n">
        <v>0.107</v>
      </c>
      <c r="H153" t="n">
        <v>0.022</v>
      </c>
      <c r="I153" t="n">
        <v>0.531</v>
      </c>
      <c r="J153" t="n">
        <v>-7</v>
      </c>
      <c r="K153" t="n">
        <v>357.3</v>
      </c>
      <c r="L153" t="n">
        <v>4.65</v>
      </c>
    </row>
    <row r="154" ht="16" customHeight="1" s="88" thickBot="1">
      <c r="A154" t="inlineStr">
        <is>
          <t>Kyrgyzstan</t>
        </is>
      </c>
      <c r="B154" t="n">
        <v>8</v>
      </c>
      <c r="C154" t="n">
        <v>0.001</v>
      </c>
      <c r="D154" t="n">
        <v/>
      </c>
      <c r="E154" t="n">
        <v>0.08</v>
      </c>
      <c r="F154" t="n">
        <v>0.123</v>
      </c>
      <c r="G154" t="n">
        <v>0.031</v>
      </c>
      <c r="H154" t="n">
        <v>0.008</v>
      </c>
      <c r="I154" t="n">
        <v>0.6809999999999999</v>
      </c>
      <c r="J154" t="n">
        <v>4.3</v>
      </c>
      <c r="K154" t="n">
        <v>69.98999999999999</v>
      </c>
      <c r="L154" t="n">
        <v>6.64</v>
      </c>
    </row>
    <row r="155" ht="16" customHeight="1" s="88" thickBot="1">
      <c r="A155" t="inlineStr">
        <is>
          <t>Kosovo</t>
        </is>
      </c>
      <c r="B155" t="n">
        <v>8</v>
      </c>
      <c r="C155" t="n">
        <v>0.1628</v>
      </c>
      <c r="D155" t="n">
        <v/>
      </c>
      <c r="E155" t="n">
        <v/>
      </c>
      <c r="F155" t="n">
        <v>0.06900000000000001</v>
      </c>
      <c r="G155" t="n">
        <v>0.258</v>
      </c>
      <c r="H155" t="n">
        <v>-0.099</v>
      </c>
      <c r="I155" t="n">
        <v>0.218</v>
      </c>
      <c r="J155" t="n">
        <v>-7.2</v>
      </c>
      <c r="K155" t="n">
        <v>462.8</v>
      </c>
      <c r="L155" t="n">
        <v>1.78</v>
      </c>
    </row>
    <row r="156" ht="16" customHeight="1" s="88" thickBot="1">
      <c r="A156" t="inlineStr">
        <is>
          <t>Togo</t>
        </is>
      </c>
      <c r="B156" t="n">
        <v>8</v>
      </c>
      <c r="C156" t="n">
        <v>0.078</v>
      </c>
      <c r="D156" t="n">
        <v/>
      </c>
      <c r="E156" t="n">
        <v>0.04</v>
      </c>
      <c r="F156" t="n">
        <v>0.059</v>
      </c>
      <c r="G156" t="n">
        <v>0.04099999999999999</v>
      </c>
      <c r="H156" t="n">
        <v>-0.047</v>
      </c>
      <c r="I156" t="n">
        <v>0.295</v>
      </c>
      <c r="J156" t="n">
        <v>-3.2</v>
      </c>
      <c r="K156" t="n">
        <v>588.96</v>
      </c>
      <c r="L156" t="n">
        <v>8.279999999999999</v>
      </c>
    </row>
    <row r="157" ht="16" customHeight="1" s="88" thickBot="1">
      <c r="A157" t="inlineStr">
        <is>
          <t>Tajikistan</t>
        </is>
      </c>
      <c r="B157" t="n">
        <v>8</v>
      </c>
      <c r="C157" t="n">
        <v>0.08699999999999999</v>
      </c>
      <c r="D157" t="n">
        <v/>
      </c>
      <c r="E157" t="n">
        <v>0.1325</v>
      </c>
      <c r="F157" t="n">
        <v>0.08699999999999999</v>
      </c>
      <c r="G157" t="n">
        <v>0.075</v>
      </c>
      <c r="H157" t="n">
        <v>-0.005</v>
      </c>
      <c r="I157" t="n">
        <v>0.4777</v>
      </c>
      <c r="J157" t="n">
        <v>0</v>
      </c>
      <c r="K157" t="n">
        <v>9.68</v>
      </c>
      <c r="L157" t="n">
        <v>9.300000000000001</v>
      </c>
    </row>
    <row r="158" ht="16" customHeight="1" s="88" thickBot="1">
      <c r="A158" t="inlineStr">
        <is>
          <t>Liechtenstein</t>
        </is>
      </c>
      <c r="B158" t="n">
        <v>7</v>
      </c>
      <c r="C158" t="n">
        <v>-0.006999999999999999</v>
      </c>
      <c r="D158" t="n">
        <v/>
      </c>
      <c r="E158" t="n">
        <v/>
      </c>
      <c r="F158" t="n">
        <v>0.009000000000000001</v>
      </c>
      <c r="G158" t="n">
        <v>0.019</v>
      </c>
      <c r="H158" t="n">
        <v/>
      </c>
      <c r="I158" t="n">
        <v/>
      </c>
      <c r="J158" t="n">
        <v/>
      </c>
      <c r="K158" t="n">
        <v>0.92</v>
      </c>
      <c r="L158" t="n">
        <v>0.04</v>
      </c>
    </row>
    <row r="159" ht="16" customHeight="1" s="88" thickBot="1">
      <c r="A159" t="inlineStr">
        <is>
          <t>Eritrea</t>
        </is>
      </c>
      <c r="B159" t="n">
        <v>7</v>
      </c>
      <c r="C159" t="n">
        <v>-0.006</v>
      </c>
      <c r="D159" t="n">
        <v/>
      </c>
      <c r="E159" t="n">
        <v/>
      </c>
      <c r="F159" t="n">
        <v>0.047</v>
      </c>
      <c r="G159" t="n">
        <v>0.07400000000000001</v>
      </c>
      <c r="H159" t="n">
        <v>-0.052</v>
      </c>
      <c r="I159" t="n">
        <v>0.64</v>
      </c>
      <c r="J159" t="n">
        <v>10.1</v>
      </c>
      <c r="K159" t="n">
        <v>15</v>
      </c>
      <c r="L159" t="n">
        <v>3.21</v>
      </c>
    </row>
    <row r="160" ht="16" customHeight="1" s="88" thickBot="1">
      <c r="A160" t="inlineStr">
        <is>
          <t>Cayman Islands</t>
        </is>
      </c>
      <c r="B160" t="n">
        <v>6</v>
      </c>
      <c r="C160" t="n">
        <v>-0.067</v>
      </c>
      <c r="D160" t="n">
        <v/>
      </c>
      <c r="E160" t="n">
        <v/>
      </c>
      <c r="F160" t="n">
        <v>-0.01</v>
      </c>
      <c r="G160" t="n">
        <v>0.052</v>
      </c>
      <c r="H160" t="n">
        <v>-0.022</v>
      </c>
      <c r="I160" t="n">
        <v>0.053</v>
      </c>
      <c r="J160" t="n">
        <v>-21.2</v>
      </c>
      <c r="K160" t="n">
        <v>0.82</v>
      </c>
      <c r="L160" t="n">
        <v>0.07000000000000001</v>
      </c>
    </row>
    <row r="161" ht="16" customHeight="1" s="88" thickBot="1">
      <c r="A161" t="inlineStr">
        <is>
          <t>Guyana</t>
        </is>
      </c>
      <c r="B161" t="n">
        <v>5</v>
      </c>
      <c r="C161" t="n">
        <v>0.487</v>
      </c>
      <c r="D161" t="n">
        <v/>
      </c>
      <c r="E161" t="n">
        <v>0.05</v>
      </c>
      <c r="F161" t="n">
        <v>0.0599</v>
      </c>
      <c r="G161" t="n">
        <v>0.158</v>
      </c>
      <c r="H161" t="n">
        <v>-0.053</v>
      </c>
      <c r="I161" t="n">
        <v>0.37</v>
      </c>
      <c r="J161" t="n">
        <v>-32.79</v>
      </c>
      <c r="K161" t="n">
        <v>209.34</v>
      </c>
      <c r="L161" t="n">
        <v>0.79</v>
      </c>
    </row>
    <row r="162" ht="16" customHeight="1" s="88" thickBot="1">
      <c r="A162" t="inlineStr">
        <is>
          <t>Montenegro</t>
        </is>
      </c>
      <c r="B162" t="n">
        <v>5</v>
      </c>
      <c r="C162" t="n">
        <v>0.258</v>
      </c>
      <c r="D162" t="n">
        <v/>
      </c>
      <c r="E162" t="n">
        <v/>
      </c>
      <c r="F162" t="n">
        <v>0.044</v>
      </c>
      <c r="G162" t="n">
        <v>0.2381</v>
      </c>
      <c r="H162" t="n">
        <v>-0.101</v>
      </c>
      <c r="I162" t="n">
        <v>1.0328</v>
      </c>
      <c r="J162" t="n">
        <v>-25.9</v>
      </c>
      <c r="K162" t="n">
        <v>1.11</v>
      </c>
      <c r="L162" t="n">
        <v>0.62</v>
      </c>
    </row>
    <row r="163" ht="16" customHeight="1" s="88" thickBot="1">
      <c r="A163" t="inlineStr">
        <is>
          <t>Somalia</t>
        </is>
      </c>
      <c r="B163" t="n">
        <v>5</v>
      </c>
      <c r="C163" t="n">
        <v>-0.015</v>
      </c>
      <c r="D163" t="n">
        <v/>
      </c>
      <c r="E163" t="n">
        <v/>
      </c>
      <c r="F163" t="n">
        <v>0.0486</v>
      </c>
      <c r="G163" t="n">
        <v/>
      </c>
      <c r="H163" t="n">
        <v/>
      </c>
      <c r="I163" t="n">
        <v/>
      </c>
      <c r="J163" t="n">
        <v/>
      </c>
      <c r="K163" t="n">
        <v>578.5</v>
      </c>
      <c r="L163" t="n">
        <v>15.89</v>
      </c>
    </row>
    <row r="164" ht="16" customHeight="1" s="88" thickBot="1">
      <c r="A164" t="inlineStr">
        <is>
          <t>Sierra Leone</t>
        </is>
      </c>
      <c r="B164" t="n">
        <v>4</v>
      </c>
      <c r="C164" t="n">
        <v>-0.027</v>
      </c>
      <c r="D164" t="n">
        <v/>
      </c>
      <c r="E164" t="n">
        <v>0.14</v>
      </c>
      <c r="F164" t="n">
        <v>0.1163</v>
      </c>
      <c r="G164" t="n">
        <v>0.046</v>
      </c>
      <c r="H164" t="n">
        <v>-0.057</v>
      </c>
      <c r="I164" t="n">
        <v>0.7190000000000001</v>
      </c>
      <c r="J164" t="n">
        <v>-15.6</v>
      </c>
      <c r="K164" t="n">
        <v>9800</v>
      </c>
      <c r="L164" t="n">
        <v>7.98</v>
      </c>
    </row>
    <row r="165" ht="16" customHeight="1" s="88" thickBot="1">
      <c r="A165" t="inlineStr">
        <is>
          <t>Suriname</t>
        </is>
      </c>
      <c r="B165" t="n">
        <v>4</v>
      </c>
      <c r="C165" t="n">
        <v>-0.134</v>
      </c>
      <c r="D165" t="n">
        <v/>
      </c>
      <c r="E165" t="n">
        <v>0.1</v>
      </c>
      <c r="F165" t="n">
        <v>0.695</v>
      </c>
      <c r="G165" t="n">
        <v>0.112</v>
      </c>
      <c r="H165" t="n">
        <v>-0.129</v>
      </c>
      <c r="I165" t="n">
        <v>1.114</v>
      </c>
      <c r="J165" t="n">
        <v>11.4</v>
      </c>
      <c r="K165" t="n">
        <v>7.46</v>
      </c>
      <c r="L165" t="n">
        <v>0.59</v>
      </c>
    </row>
    <row r="166" ht="16" customHeight="1" s="88" thickBot="1">
      <c r="A166" t="inlineStr">
        <is>
          <t>Swaziland</t>
        </is>
      </c>
      <c r="B166" t="n">
        <v>4</v>
      </c>
      <c r="C166" t="n">
        <v>-0.024</v>
      </c>
      <c r="D166" t="n">
        <v/>
      </c>
      <c r="E166" t="n">
        <v>0.0375</v>
      </c>
      <c r="F166" t="n">
        <v>0.033</v>
      </c>
      <c r="G166" t="n">
        <v>0.234</v>
      </c>
      <c r="H166" t="n">
        <v>-0.046</v>
      </c>
      <c r="I166" t="n">
        <v>0.1549</v>
      </c>
      <c r="J166" t="n">
        <v>7</v>
      </c>
      <c r="K166" t="n">
        <v>14.36</v>
      </c>
      <c r="L166" t="n">
        <v>1.16</v>
      </c>
    </row>
    <row r="167" ht="16" customHeight="1" s="88" thickBot="1">
      <c r="A167" t="inlineStr">
        <is>
          <t>Maldives</t>
        </is>
      </c>
      <c r="B167" t="n">
        <v>4</v>
      </c>
      <c r="C167" t="n">
        <v>-0.08599999999999999</v>
      </c>
      <c r="D167" t="n">
        <v/>
      </c>
      <c r="E167" t="n">
        <v>0.07000000000000001</v>
      </c>
      <c r="F167" t="n">
        <v>-0.002</v>
      </c>
      <c r="G167" t="n">
        <v>0.064</v>
      </c>
      <c r="H167" t="n">
        <v>-0.275</v>
      </c>
      <c r="I167" t="n">
        <v>0.526</v>
      </c>
      <c r="J167" t="n">
        <v>-29.2</v>
      </c>
      <c r="K167" t="n">
        <v>15.46</v>
      </c>
      <c r="L167" t="n">
        <v>0.5600000000000001</v>
      </c>
    </row>
    <row r="168" ht="16" customHeight="1" s="88" thickBot="1">
      <c r="A168" t="inlineStr">
        <is>
          <t>Fiji</t>
        </is>
      </c>
      <c r="B168" t="n">
        <v>4</v>
      </c>
      <c r="C168" t="n">
        <v>-0.19</v>
      </c>
      <c r="D168" t="n">
        <v/>
      </c>
      <c r="E168" t="n">
        <v>0.0025</v>
      </c>
      <c r="F168" t="n">
        <v>0.008</v>
      </c>
      <c r="G168" t="n">
        <v>0.048</v>
      </c>
      <c r="H168" t="n">
        <v>-0.06</v>
      </c>
      <c r="I168" t="n">
        <v>0.652</v>
      </c>
      <c r="J168" t="n">
        <v>-13.8</v>
      </c>
      <c r="K168" t="n">
        <v>2.17</v>
      </c>
      <c r="L168" t="n">
        <v>0.89</v>
      </c>
    </row>
    <row r="169" ht="16" customHeight="1" s="88" thickBot="1">
      <c r="A169" t="inlineStr">
        <is>
          <t>Djibouti</t>
        </is>
      </c>
      <c r="B169" t="n">
        <v>3</v>
      </c>
      <c r="C169" t="n">
        <v>0.014</v>
      </c>
      <c r="D169" t="n">
        <v/>
      </c>
      <c r="E169" t="n">
        <v>0.112</v>
      </c>
      <c r="F169" t="n">
        <v>0.0255</v>
      </c>
      <c r="G169" t="n">
        <v>0.116</v>
      </c>
      <c r="H169" t="n">
        <v>-0.04</v>
      </c>
      <c r="I169" t="n">
        <v>0.422</v>
      </c>
      <c r="J169" t="n">
        <v>2.9</v>
      </c>
      <c r="K169" t="n">
        <v>177.5</v>
      </c>
      <c r="L169" t="n">
        <v>0.98</v>
      </c>
    </row>
    <row r="170" ht="16" customHeight="1" s="88" thickBot="1">
      <c r="A170" t="inlineStr">
        <is>
          <t>Burundi</t>
        </is>
      </c>
      <c r="B170" t="n">
        <v>3</v>
      </c>
      <c r="C170" t="n">
        <v>-0.003</v>
      </c>
      <c r="D170" t="n">
        <v/>
      </c>
      <c r="E170" t="n">
        <v>0.0706</v>
      </c>
      <c r="F170" t="n">
        <v>0.0987</v>
      </c>
      <c r="G170" t="n">
        <v>0.008</v>
      </c>
      <c r="H170" t="n">
        <v>-0.08800000000000001</v>
      </c>
      <c r="I170" t="n">
        <v>0.159</v>
      </c>
      <c r="J170" t="n">
        <v>-19.1</v>
      </c>
      <c r="K170" t="n">
        <v>1877.75</v>
      </c>
      <c r="L170" t="n">
        <v>11.89</v>
      </c>
    </row>
    <row r="171" ht="16" customHeight="1" s="88" thickBot="1">
      <c r="A171" t="inlineStr">
        <is>
          <t>Liberia</t>
        </is>
      </c>
      <c r="B171" t="n">
        <v>3</v>
      </c>
      <c r="C171" t="n">
        <v>-0.03</v>
      </c>
      <c r="D171" t="n">
        <v/>
      </c>
      <c r="E171" t="n">
        <v>0.2</v>
      </c>
      <c r="F171" t="n">
        <v>0.07000000000000001</v>
      </c>
      <c r="G171" t="n">
        <v>0.027</v>
      </c>
      <c r="H171" t="n">
        <v>-0.03</v>
      </c>
      <c r="I171" t="n">
        <v>0.521</v>
      </c>
      <c r="J171" t="n">
        <v>-17.8</v>
      </c>
      <c r="K171" t="n">
        <v>186.3</v>
      </c>
      <c r="L171" t="n">
        <v>5.57</v>
      </c>
    </row>
    <row r="172" ht="16" customHeight="1" s="88" thickBot="1">
      <c r="A172" t="inlineStr">
        <is>
          <t>Lesotho</t>
        </is>
      </c>
      <c r="B172" t="n">
        <v>2</v>
      </c>
      <c r="C172" t="n">
        <v>0.127</v>
      </c>
      <c r="D172" t="n">
        <v>0.0164</v>
      </c>
      <c r="E172" t="n">
        <v>0.035</v>
      </c>
      <c r="F172" t="n">
        <v>0.05400000000000001</v>
      </c>
      <c r="G172" t="n">
        <v>0.247</v>
      </c>
      <c r="H172" t="n">
        <v>-0.028</v>
      </c>
      <c r="I172" t="n">
        <v>0.696</v>
      </c>
      <c r="J172" t="n">
        <v>-2.1</v>
      </c>
      <c r="K172" t="n">
        <v>14.36</v>
      </c>
      <c r="L172" t="n">
        <v>2.14</v>
      </c>
    </row>
    <row r="173" ht="16" customHeight="1" s="88" thickBot="1">
      <c r="A173" t="inlineStr">
        <is>
          <t>Cape Verde</t>
        </is>
      </c>
      <c r="B173" t="n">
        <v>2</v>
      </c>
      <c r="C173" t="n">
        <v>0.308</v>
      </c>
      <c r="D173" t="n">
        <v>-0.033</v>
      </c>
      <c r="E173" t="n">
        <v>0.0025</v>
      </c>
      <c r="F173" t="n">
        <v>0.048</v>
      </c>
      <c r="G173" t="n">
        <v>0.145</v>
      </c>
      <c r="H173" t="n">
        <v>-0.08900000000000001</v>
      </c>
      <c r="I173" t="n">
        <v>1.558</v>
      </c>
      <c r="J173" t="n">
        <v>-15.6</v>
      </c>
      <c r="K173" t="n">
        <v>99.94</v>
      </c>
      <c r="L173" t="n">
        <v>0.5600000000000001</v>
      </c>
    </row>
    <row r="174" ht="16" customHeight="1" s="88" thickBot="1">
      <c r="A174" t="inlineStr">
        <is>
          <t>Central African Republic</t>
        </is>
      </c>
      <c r="B174" t="n">
        <v>2</v>
      </c>
      <c r="C174" t="n">
        <v>0</v>
      </c>
      <c r="D174" t="n">
        <v/>
      </c>
      <c r="E174" t="n">
        <v>0.0325</v>
      </c>
      <c r="F174" t="n">
        <v>0.0478</v>
      </c>
      <c r="G174" t="n">
        <v>0.043</v>
      </c>
      <c r="H174" t="n">
        <v>-0.03</v>
      </c>
      <c r="I174" t="n">
        <v>0.449</v>
      </c>
      <c r="J174" t="n">
        <v>-5.7</v>
      </c>
      <c r="K174" t="n">
        <v>551.3200000000001</v>
      </c>
      <c r="L174" t="n">
        <v>4.83</v>
      </c>
    </row>
    <row r="175" ht="16" customHeight="1" s="88" thickBot="1">
      <c r="A175" t="inlineStr">
        <is>
          <t>Bhutan</t>
        </is>
      </c>
      <c r="B175" t="n">
        <v>2</v>
      </c>
      <c r="C175" t="n">
        <v>-0.1008</v>
      </c>
      <c r="D175" t="n">
        <v/>
      </c>
      <c r="E175" t="n">
        <v>0.07139999999999999</v>
      </c>
      <c r="F175" t="n">
        <v>0.04969999999999999</v>
      </c>
      <c r="G175" t="n">
        <v>0.05</v>
      </c>
      <c r="H175" t="n">
        <v>-0.062</v>
      </c>
      <c r="I175" t="n">
        <v>1.2074</v>
      </c>
      <c r="J175" t="n">
        <v>-11.4</v>
      </c>
      <c r="K175" t="n">
        <v>71.01000000000001</v>
      </c>
      <c r="L175" t="n">
        <v>0.77</v>
      </c>
    </row>
    <row r="176" ht="16" customHeight="1" s="88" thickBot="1">
      <c r="A176" t="inlineStr">
        <is>
          <t>East Timor</t>
        </is>
      </c>
      <c r="B176" t="n">
        <v>2</v>
      </c>
      <c r="C176" t="n">
        <v>-0.068</v>
      </c>
      <c r="D176" t="n">
        <v/>
      </c>
      <c r="E176" t="n">
        <v/>
      </c>
      <c r="F176" t="n">
        <v>0.049</v>
      </c>
      <c r="G176" t="n">
        <v>0.0506</v>
      </c>
      <c r="H176" t="n">
        <v>-0.048</v>
      </c>
      <c r="I176" t="n">
        <v/>
      </c>
      <c r="J176" t="n">
        <v>-18</v>
      </c>
      <c r="K176" t="n">
        <v/>
      </c>
      <c r="L176" t="n">
        <v>1.32</v>
      </c>
    </row>
    <row r="177" ht="16" customHeight="1" s="88" thickBot="1">
      <c r="A177" t="inlineStr">
        <is>
          <t>Gambia</t>
        </is>
      </c>
      <c r="B177" t="n">
        <v>2</v>
      </c>
      <c r="C177" t="n">
        <v>-0.002</v>
      </c>
      <c r="D177" t="n">
        <v/>
      </c>
      <c r="E177" t="n">
        <v>0.1</v>
      </c>
      <c r="F177" t="n">
        <v>0.07339999999999999</v>
      </c>
      <c r="G177" t="n">
        <v>0.096</v>
      </c>
      <c r="H177" t="n">
        <v>-0.03700000000000001</v>
      </c>
      <c r="I177" t="n">
        <v>0.831</v>
      </c>
      <c r="J177" t="n">
        <v>-8.6</v>
      </c>
      <c r="K177" t="n">
        <v>51.35</v>
      </c>
      <c r="L177" t="n">
        <v>2.28</v>
      </c>
    </row>
    <row r="178" ht="16" customHeight="1" s="88" thickBot="1">
      <c r="A178" t="inlineStr">
        <is>
          <t>Guinea Bissau</t>
        </is>
      </c>
      <c r="B178" t="n">
        <v>1</v>
      </c>
      <c r="C178" t="n">
        <v>0.068</v>
      </c>
      <c r="D178" t="n">
        <v/>
      </c>
      <c r="E178" t="n">
        <v>0.04</v>
      </c>
      <c r="F178" t="n">
        <v>0.043</v>
      </c>
      <c r="G178" t="n">
        <v>0.032</v>
      </c>
      <c r="H178" t="n">
        <v>-0.078</v>
      </c>
      <c r="I178" t="n">
        <v>0.365</v>
      </c>
      <c r="J178" t="n">
        <v>-8.6</v>
      </c>
      <c r="K178" t="n">
        <v/>
      </c>
      <c r="L178" t="n">
        <v>1.96</v>
      </c>
    </row>
    <row r="179">
      <c r="A179" t="inlineStr">
        <is>
          <t>Comoros</t>
        </is>
      </c>
      <c r="B179" t="n">
        <v>1</v>
      </c>
      <c r="C179" t="n">
        <v>0.002</v>
      </c>
      <c r="D179" t="n">
        <v/>
      </c>
      <c r="E179" t="n">
        <v>0.009399999999999999</v>
      </c>
      <c r="F179" t="n">
        <v>-0.0246</v>
      </c>
      <c r="G179" t="n">
        <v>0.08400000000000001</v>
      </c>
      <c r="H179" t="n">
        <v>-0.042</v>
      </c>
      <c r="I179" t="n">
        <v>0.268</v>
      </c>
      <c r="J179" t="n">
        <v>-3.3</v>
      </c>
      <c r="K179" t="n">
        <v>417.02</v>
      </c>
      <c r="L179" t="n">
        <v>0.87</v>
      </c>
    </row>
    <row r="180" ht="16" customHeight="1" s="88" thickBot="1">
      <c r="A180" t="inlineStr">
        <is>
          <t>Seychelles</t>
        </is>
      </c>
      <c r="B180" t="n">
        <v>1</v>
      </c>
      <c r="C180" t="n">
        <v>0.143</v>
      </c>
      <c r="D180" t="n">
        <v/>
      </c>
      <c r="E180" t="n">
        <v>0.02</v>
      </c>
      <c r="F180" t="n">
        <v>0.09369999999999999</v>
      </c>
      <c r="G180" t="n">
        <v>0.04</v>
      </c>
      <c r="H180" t="n">
        <v>-0.191</v>
      </c>
      <c r="I180" t="n">
        <v>0.9399999999999999</v>
      </c>
      <c r="J180" t="n">
        <v>-27.4</v>
      </c>
      <c r="K180" t="n">
        <v>13.7</v>
      </c>
      <c r="L180" t="n">
        <v>0.1</v>
      </c>
    </row>
    <row r="181" ht="16" customHeight="1" s="88" thickBot="1">
      <c r="A181" t="inlineStr">
        <is>
          <t>South Sudan</t>
        </is>
      </c>
      <c r="B181" t="n">
        <v>1</v>
      </c>
      <c r="C181" t="n">
        <v>-0.036</v>
      </c>
      <c r="D181" t="n">
        <v/>
      </c>
      <c r="E181" t="n">
        <v>0.15</v>
      </c>
      <c r="F181" t="n">
        <v>0.0581</v>
      </c>
      <c r="G181" t="n">
        <v>0.127</v>
      </c>
      <c r="H181" t="n">
        <v/>
      </c>
      <c r="I181" t="n">
        <v/>
      </c>
      <c r="J181" t="n">
        <v/>
      </c>
      <c r="K181" t="n">
        <v>175.31</v>
      </c>
      <c r="L181" t="n">
        <v>11.19</v>
      </c>
    </row>
    <row r="182">
      <c r="A182" t="inlineStr">
        <is>
          <t>Sao Tomeand Principe</t>
        </is>
      </c>
      <c r="B182" t="n">
        <v>0</v>
      </c>
      <c r="C182" t="n">
        <v>-0.064</v>
      </c>
      <c r="D182" t="n">
        <v/>
      </c>
      <c r="E182" t="n">
        <v>0.09</v>
      </c>
      <c r="F182" t="n">
        <v>0.08400000000000001</v>
      </c>
      <c r="G182" t="n">
        <v>0.139</v>
      </c>
      <c r="H182" t="n">
        <v>-0.05</v>
      </c>
      <c r="I182" t="n">
        <v>1.03</v>
      </c>
      <c r="J182" t="n">
        <v>-9.300000000000001</v>
      </c>
      <c r="K182" t="n">
        <v>20.8</v>
      </c>
      <c r="L182" t="n">
        <v>0.21</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tabSelected="1"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A104" sqref="AA104"/>
    </sheetView>
  </sheetViews>
  <sheetFormatPr baseColWidth="10" defaultColWidth="8.83203125" defaultRowHeight="15"/>
  <cols>
    <col width="9.1640625" customWidth="1" style="91" min="1" max="1"/>
    <col width="13" bestFit="1" customWidth="1" style="88" min="2" max="2"/>
    <col width="9" bestFit="1" customWidth="1" style="88" min="3" max="26"/>
    <col width="9" customWidth="1" style="88" min="27" max="27"/>
    <col width="6.1640625" customWidth="1" style="88" min="28" max="28"/>
    <col width="8" bestFit="1" customWidth="1" style="91" min="29" max="29"/>
    <col width="16.33203125" bestFit="1" customWidth="1" style="91" min="30" max="30"/>
    <col width="8" bestFit="1" customWidth="1" style="91" min="31" max="31"/>
    <col width="5.33203125" bestFit="1" customWidth="1" style="91" min="32" max="32"/>
    <col width="37" bestFit="1" customWidth="1" style="91" min="33" max="33"/>
    <col width="41" bestFit="1" customWidth="1" style="91" min="34" max="34"/>
    <col width="9.1640625" customWidth="1" style="91"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2" t="inlineStr">
        <is>
          <t>To do List</t>
        </is>
      </c>
    </row>
    <row r="2" customFormat="1" s="91">
      <c r="AD2" s="91" t="inlineStr">
        <is>
          <t>Last quarter</t>
        </is>
      </c>
      <c r="AE2" s="69" t="inlineStr">
        <is>
          <t>2021-Q2</t>
        </is>
      </c>
      <c r="AH2" s="72" t="inlineStr">
        <is>
          <t>Modify max/min/avg + Modify AE1, AE2, AE3</t>
        </is>
      </c>
    </row>
    <row r="3" ht="75.75" customHeight="1" s="8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91" t="n"/>
      <c r="AD3" s="11" t="inlineStr">
        <is>
          <t>Previous Quarter</t>
        </is>
      </c>
      <c r="AE3" s="70" t="inlineStr">
        <is>
          <t>2020-Q2</t>
        </is>
      </c>
    </row>
    <row r="4" ht="16" customHeight="1" s="8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91" t="n"/>
      <c r="AD4" s="14" t="inlineStr">
        <is>
          <t>12 months</t>
        </is>
      </c>
      <c r="AE4" s="71"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91"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91" t="n"/>
      <c r="AC6" s="18" t="n"/>
      <c r="AD6" s="91" t="inlineStr">
        <is>
          <t>Country 1</t>
        </is>
      </c>
      <c r="AE6" s="17" t="inlineStr">
        <is>
          <t>GBR</t>
        </is>
      </c>
      <c r="AG6" s="91">
        <f>AE6&amp;" Growth yoy% vs "&amp;AE7&amp;" Growth yoy %"</f>
        <v/>
      </c>
    </row>
    <row r="7" ht="16" customHeight="1" s="8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91"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91"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91"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91" t="n"/>
    </row>
    <row r="11" hidden="1" s="8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91" t="n"/>
      <c r="AC11" s="26">
        <f>B11</f>
        <v/>
      </c>
      <c r="AD11" s="27">
        <f>(VLOOKUP(AC11,B:Y,MATCH($AE$6,$B$1:$Y$1,),))</f>
        <v/>
      </c>
      <c r="AE11" s="27">
        <f>(VLOOKUP(AC11,B:Y,MATCH($AE$7,$B$1:$Y$1,),))</f>
        <v/>
      </c>
    </row>
    <row r="12" hidden="1" s="8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91" t="n"/>
      <c r="AC12" s="26">
        <f>B12</f>
        <v/>
      </c>
      <c r="AD12" s="27">
        <f>(VLOOKUP(AC12,B:Y,MATCH($AE$6,$B$1:$Y$1,),))</f>
        <v/>
      </c>
      <c r="AE12" s="27">
        <f>(VLOOKUP(AC12,B:Y,MATCH($AE$7,$B$1:$Y$1,),))</f>
        <v/>
      </c>
    </row>
    <row r="13" hidden="1" s="8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91" t="n"/>
      <c r="AC13" s="26">
        <f>B13</f>
        <v/>
      </c>
      <c r="AD13" s="27">
        <f>(VLOOKUP(AC13,B:Y,MATCH($AE$6,$B$1:$Y$1,),))</f>
        <v/>
      </c>
      <c r="AE13" s="27">
        <f>(VLOOKUP(AC13,B:Y,MATCH($AE$7,$B$1:$Y$1,),))</f>
        <v/>
      </c>
    </row>
    <row r="14" hidden="1" s="8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91" t="n"/>
      <c r="AC14" s="26">
        <f>B14</f>
        <v/>
      </c>
      <c r="AD14" s="27">
        <f>(VLOOKUP(AC14,B:Y,MATCH($AE$6,$B$1:$Y$1,),))</f>
        <v/>
      </c>
      <c r="AE14" s="27">
        <f>(VLOOKUP(AC14,B:Y,MATCH($AE$7,$B$1:$Y$1,),))</f>
        <v/>
      </c>
    </row>
    <row r="15" hidden="1" s="8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91" t="n"/>
      <c r="AC15" s="26">
        <f>B15</f>
        <v/>
      </c>
      <c r="AD15" s="27">
        <f>(VLOOKUP(AC15,B:Y,MATCH($AE$6,$B$1:$Y$1,),))</f>
        <v/>
      </c>
      <c r="AE15" s="27">
        <f>(VLOOKUP(AC15,B:Y,MATCH($AE$7,$B$1:$Y$1,),))</f>
        <v/>
      </c>
    </row>
    <row r="16" hidden="1" s="8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91" t="n"/>
      <c r="AC16" s="26">
        <f>B16</f>
        <v/>
      </c>
      <c r="AD16" s="27">
        <f>(VLOOKUP(AC16,B:Y,MATCH($AE$6,$B$1:$Y$1,),))</f>
        <v/>
      </c>
      <c r="AE16" s="27">
        <f>(VLOOKUP(AC16,B:Y,MATCH($AE$7,$B$1:$Y$1,),))</f>
        <v/>
      </c>
    </row>
    <row r="17" hidden="1" s="8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91" t="n"/>
      <c r="AC17" s="26">
        <f>B17</f>
        <v/>
      </c>
      <c r="AD17" s="27">
        <f>(VLOOKUP(AC17,B:Y,MATCH($AE$6,$B$1:$Y$1,),))</f>
        <v/>
      </c>
      <c r="AE17" s="27">
        <f>(VLOOKUP(AC17,B:Y,MATCH($AE$7,$B$1:$Y$1,),))</f>
        <v/>
      </c>
    </row>
    <row r="18" hidden="1" s="8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91" t="n"/>
      <c r="AC18" s="26">
        <f>B18</f>
        <v/>
      </c>
      <c r="AD18" s="27">
        <f>(VLOOKUP(AC18,B:Y,MATCH($AE$6,$B$1:$Y$1,),))</f>
        <v/>
      </c>
      <c r="AE18" s="27">
        <f>(VLOOKUP(AC18,B:Y,MATCH($AE$7,$B$1:$Y$1,),))</f>
        <v/>
      </c>
    </row>
    <row r="19" hidden="1" s="8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91" t="n"/>
      <c r="AC19" s="26">
        <f>B19</f>
        <v/>
      </c>
      <c r="AD19" s="27">
        <f>(VLOOKUP(AC19,B:Y,MATCH($AE$6,$B$1:$Y$1,),))</f>
        <v/>
      </c>
      <c r="AE19" s="27">
        <f>(VLOOKUP(AC19,B:Y,MATCH($AE$7,$B$1:$Y$1,),))</f>
        <v/>
      </c>
    </row>
    <row r="20" hidden="1" s="8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91" t="n"/>
      <c r="AC20" s="26">
        <f>B20</f>
        <v/>
      </c>
      <c r="AD20" s="27">
        <f>(VLOOKUP(AC20,B:Y,MATCH($AE$6,$B$1:$Y$1,),))</f>
        <v/>
      </c>
      <c r="AE20" s="27">
        <f>(VLOOKUP(AC20,B:Y,MATCH($AE$7,$B$1:$Y$1,),))</f>
        <v/>
      </c>
    </row>
    <row r="21" hidden="1" s="8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91" t="n"/>
      <c r="AC21" s="26">
        <f>B21</f>
        <v/>
      </c>
      <c r="AD21" s="27">
        <f>(VLOOKUP(AC21,B:Y,MATCH($AE$6,$B$1:$Y$1,),))</f>
        <v/>
      </c>
      <c r="AE21" s="27">
        <f>(VLOOKUP(AC21,B:Y,MATCH($AE$7,$B$1:$Y$1,),))</f>
        <v/>
      </c>
    </row>
    <row r="22" hidden="1" s="8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91" t="n"/>
      <c r="AC22" s="26">
        <f>B22</f>
        <v/>
      </c>
      <c r="AD22" s="27">
        <f>(VLOOKUP(AC22,B:Y,MATCH($AE$6,$B$1:$Y$1,),))</f>
        <v/>
      </c>
      <c r="AE22" s="27">
        <f>(VLOOKUP(AC22,B:Y,MATCH($AE$7,$B$1:$Y$1,),))</f>
        <v/>
      </c>
    </row>
    <row r="23" hidden="1" s="8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91" t="n"/>
      <c r="AC23" s="26">
        <f>B23</f>
        <v/>
      </c>
      <c r="AD23" s="27">
        <f>(VLOOKUP(AC23,B:Y,MATCH($AE$6,$B$1:$Y$1,),))</f>
        <v/>
      </c>
      <c r="AE23" s="27">
        <f>(VLOOKUP(AC23,B:Y,MATCH($AE$7,$B$1:$Y$1,),))</f>
        <v/>
      </c>
    </row>
    <row r="24" hidden="1" s="8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91" t="n"/>
      <c r="AC24" s="26">
        <f>B24</f>
        <v/>
      </c>
      <c r="AD24" s="27">
        <f>(VLOOKUP(AC24,B:Y,MATCH($AE$6,$B$1:$Y$1,),))</f>
        <v/>
      </c>
      <c r="AE24" s="27">
        <f>(VLOOKUP(AC24,B:Y,MATCH($AE$7,$B$1:$Y$1,),))</f>
        <v/>
      </c>
    </row>
    <row r="25" hidden="1" s="8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91" t="n"/>
      <c r="AC25" s="26">
        <f>B25</f>
        <v/>
      </c>
      <c r="AD25" s="27">
        <f>(VLOOKUP(AC25,B:Y,MATCH($AE$6,$B$1:$Y$1,),))</f>
        <v/>
      </c>
      <c r="AE25" s="27">
        <f>(VLOOKUP(AC25,B:Y,MATCH($AE$7,$B$1:$Y$1,),))</f>
        <v/>
      </c>
    </row>
    <row r="26" hidden="1" s="8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91" t="n"/>
      <c r="AC26" s="26">
        <f>B26</f>
        <v/>
      </c>
      <c r="AD26" s="27">
        <f>(VLOOKUP(AC26,B:Y,MATCH($AE$6,$B$1:$Y$1,),))</f>
        <v/>
      </c>
      <c r="AE26" s="27">
        <f>(VLOOKUP(AC26,B:Y,MATCH($AE$7,$B$1:$Y$1,),))</f>
        <v/>
      </c>
    </row>
    <row r="27" hidden="1" s="8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91" t="n"/>
      <c r="AC27" s="26">
        <f>B27</f>
        <v/>
      </c>
      <c r="AD27" s="27">
        <f>(VLOOKUP(AC27,B:Y,MATCH($AE$6,$B$1:$Y$1,),))</f>
        <v/>
      </c>
      <c r="AE27" s="27">
        <f>(VLOOKUP(AC27,B:Y,MATCH($AE$7,$B$1:$Y$1,),))</f>
        <v/>
      </c>
    </row>
    <row r="28" hidden="1" s="8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91" t="n"/>
      <c r="AC28" s="26">
        <f>B28</f>
        <v/>
      </c>
      <c r="AD28" s="27">
        <f>(VLOOKUP(AC28,B:Y,MATCH($AE$6,$B$1:$Y$1,),))</f>
        <v/>
      </c>
      <c r="AE28" s="27">
        <f>(VLOOKUP(AC28,B:Y,MATCH($AE$7,$B$1:$Y$1,),))</f>
        <v/>
      </c>
    </row>
    <row r="29" hidden="1" s="8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91" t="n"/>
      <c r="AC29" s="26">
        <f>B29</f>
        <v/>
      </c>
      <c r="AD29" s="27">
        <f>(VLOOKUP(AC29,B:Y,MATCH($AE$6,$B$1:$Y$1,),))</f>
        <v/>
      </c>
      <c r="AE29" s="27">
        <f>(VLOOKUP(AC29,B:Y,MATCH($AE$7,$B$1:$Y$1,),))</f>
        <v/>
      </c>
    </row>
    <row r="30" hidden="1" s="8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91" t="n"/>
      <c r="AC30" s="26">
        <f>B30</f>
        <v/>
      </c>
      <c r="AD30" s="27">
        <f>(VLOOKUP(AC30,B:Y,MATCH($AE$6,$B$1:$Y$1,),))</f>
        <v/>
      </c>
      <c r="AE30" s="27">
        <f>(VLOOKUP(AC30,B:Y,MATCH($AE$7,$B$1:$Y$1,),))</f>
        <v/>
      </c>
    </row>
    <row r="31" hidden="1" s="8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91" t="n"/>
      <c r="AC31" s="26">
        <f>B31</f>
        <v/>
      </c>
      <c r="AD31" s="27">
        <f>(VLOOKUP(AC31,B:Y,MATCH($AE$6,$B$1:$Y$1,),))</f>
        <v/>
      </c>
      <c r="AE31" s="27">
        <f>(VLOOKUP(AC31,B:Y,MATCH($AE$7,$B$1:$Y$1,),))</f>
        <v/>
      </c>
    </row>
    <row r="32" hidden="1" s="8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91" t="n"/>
      <c r="AC32" s="26">
        <f>B32</f>
        <v/>
      </c>
      <c r="AD32" s="27">
        <f>(VLOOKUP(AC32,B:Y,MATCH($AE$6,$B$1:$Y$1,),))</f>
        <v/>
      </c>
      <c r="AE32" s="27">
        <f>(VLOOKUP(AC32,B:Y,MATCH($AE$7,$B$1:$Y$1,),))</f>
        <v/>
      </c>
    </row>
    <row r="33" hidden="1" s="8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91" t="n"/>
      <c r="AC33" s="26">
        <f>B33</f>
        <v/>
      </c>
      <c r="AD33" s="27">
        <f>(VLOOKUP(AC33,B:Y,MATCH($AE$6,$B$1:$Y$1,),))</f>
        <v/>
      </c>
      <c r="AE33" s="27">
        <f>(VLOOKUP(AC33,B:Y,MATCH($AE$7,$B$1:$Y$1,),))</f>
        <v/>
      </c>
    </row>
    <row r="34" hidden="1" s="8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91" t="n"/>
      <c r="AC34" s="26">
        <f>B34</f>
        <v/>
      </c>
      <c r="AD34" s="27">
        <f>(VLOOKUP(AC34,B:Y,MATCH($AE$6,$B$1:$Y$1,),))</f>
        <v/>
      </c>
      <c r="AE34" s="27">
        <f>(VLOOKUP(AC34,B:Y,MATCH($AE$7,$B$1:$Y$1,),))</f>
        <v/>
      </c>
    </row>
    <row r="35" hidden="1" s="8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91" t="n"/>
      <c r="AC35" s="26">
        <f>B35</f>
        <v/>
      </c>
      <c r="AD35" s="27">
        <f>(VLOOKUP(AC35,B:Y,MATCH($AE$6,$B$1:$Y$1,),))</f>
        <v/>
      </c>
      <c r="AE35" s="27">
        <f>(VLOOKUP(AC35,B:Y,MATCH($AE$7,$B$1:$Y$1,),))</f>
        <v/>
      </c>
    </row>
    <row r="36" hidden="1" s="8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91" t="n"/>
      <c r="AC36" s="26">
        <f>B36</f>
        <v/>
      </c>
      <c r="AD36" s="27">
        <f>(VLOOKUP(AC36,B:Y,MATCH($AE$6,$B$1:$Y$1,),))</f>
        <v/>
      </c>
      <c r="AE36" s="27">
        <f>(VLOOKUP(AC36,B:Y,MATCH($AE$7,$B$1:$Y$1,),))</f>
        <v/>
      </c>
    </row>
    <row r="37" hidden="1" s="8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91" t="n"/>
      <c r="AC37" s="26">
        <f>B37</f>
        <v/>
      </c>
      <c r="AD37" s="27">
        <f>(VLOOKUP(AC37,B:Y,MATCH($AE$6,$B$1:$Y$1,),))</f>
        <v/>
      </c>
      <c r="AE37" s="27">
        <f>(VLOOKUP(AC37,B:Y,MATCH($AE$7,$B$1:$Y$1,),))</f>
        <v/>
      </c>
    </row>
    <row r="38" hidden="1" s="8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91" t="n"/>
      <c r="AC38" s="26">
        <f>B38</f>
        <v/>
      </c>
      <c r="AD38" s="27">
        <f>(VLOOKUP(AC38,B:Y,MATCH($AE$6,$B$1:$Y$1,),))</f>
        <v/>
      </c>
      <c r="AE38" s="27">
        <f>(VLOOKUP(AC38,B:Y,MATCH($AE$7,$B$1:$Y$1,),))</f>
        <v/>
      </c>
    </row>
    <row r="39" hidden="1" s="8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91" t="n"/>
      <c r="AC39" s="26">
        <f>B39</f>
        <v/>
      </c>
      <c r="AD39" s="27">
        <f>(VLOOKUP(AC39,B:Y,MATCH($AE$6,$B$1:$Y$1,),))</f>
        <v/>
      </c>
      <c r="AE39" s="27">
        <f>(VLOOKUP(AC39,B:Y,MATCH($AE$7,$B$1:$Y$1,),))</f>
        <v/>
      </c>
    </row>
    <row r="40" hidden="1" s="8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91" t="n"/>
      <c r="AC40" s="26">
        <f>B40</f>
        <v/>
      </c>
      <c r="AD40" s="27">
        <f>(VLOOKUP(AC40,B:Y,MATCH($AE$6,$B$1:$Y$1,),))</f>
        <v/>
      </c>
      <c r="AE40" s="27">
        <f>(VLOOKUP(AC40,B:Y,MATCH($AE$7,$B$1:$Y$1,),))</f>
        <v/>
      </c>
    </row>
    <row r="41" hidden="1" s="8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91" t="n"/>
      <c r="AC41" s="26">
        <f>B41</f>
        <v/>
      </c>
      <c r="AD41" s="27">
        <f>(VLOOKUP(AC41,B:Y,MATCH($AE$6,$B$1:$Y$1,),))</f>
        <v/>
      </c>
      <c r="AE41" s="27">
        <f>(VLOOKUP(AC41,B:Y,MATCH($AE$7,$B$1:$Y$1,),))</f>
        <v/>
      </c>
    </row>
    <row r="42" hidden="1" s="8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91" t="n"/>
      <c r="AC42" s="26">
        <f>B42</f>
        <v/>
      </c>
      <c r="AD42" s="27">
        <f>(VLOOKUP(AC42,B:Y,MATCH($AE$6,$B$1:$Y$1,),))</f>
        <v/>
      </c>
      <c r="AE42" s="27">
        <f>(VLOOKUP(AC42,B:Y,MATCH($AE$7,$B$1:$Y$1,),))</f>
        <v/>
      </c>
    </row>
    <row r="43" hidden="1" s="8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91" t="n"/>
      <c r="AC43" s="26">
        <f>B43</f>
        <v/>
      </c>
      <c r="AD43" s="27">
        <f>(VLOOKUP(AC43,B:Y,MATCH($AE$6,$B$1:$Y$1,),))</f>
        <v/>
      </c>
      <c r="AE43" s="27">
        <f>(VLOOKUP(AC43,B:Y,MATCH($AE$7,$B$1:$Y$1,),))</f>
        <v/>
      </c>
    </row>
    <row r="44" hidden="1" s="8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91" t="n"/>
      <c r="AC44" s="26">
        <f>B44</f>
        <v/>
      </c>
      <c r="AD44" s="27">
        <f>(VLOOKUP(AC44,B:Y,MATCH($AE$6,$B$1:$Y$1,),))</f>
        <v/>
      </c>
      <c r="AE44" s="27">
        <f>(VLOOKUP(AC44,B:Y,MATCH($AE$7,$B$1:$Y$1,),))</f>
        <v/>
      </c>
    </row>
    <row r="45" hidden="1" s="8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91" t="n"/>
      <c r="AC45" s="26">
        <f>B45</f>
        <v/>
      </c>
      <c r="AD45" s="27">
        <f>(VLOOKUP(AC45,B:Y,MATCH($AE$6,$B$1:$Y$1,),))</f>
        <v/>
      </c>
      <c r="AE45" s="27">
        <f>(VLOOKUP(AC45,B:Y,MATCH($AE$7,$B$1:$Y$1,),))</f>
        <v/>
      </c>
    </row>
    <row r="46" hidden="1" s="8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91" t="n"/>
      <c r="AC46" s="26">
        <f>B46</f>
        <v/>
      </c>
      <c r="AD46" s="27">
        <f>(VLOOKUP(AC46,B:Y,MATCH($AE$6,$B$1:$Y$1,),))</f>
        <v/>
      </c>
      <c r="AE46" s="27">
        <f>(VLOOKUP(AC46,B:Y,MATCH($AE$7,$B$1:$Y$1,),))</f>
        <v/>
      </c>
      <c r="AF46" s="27">
        <f>AD46-AE46</f>
        <v/>
      </c>
    </row>
    <row r="47" hidden="1" s="8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91" t="n"/>
      <c r="AC47" s="26">
        <f>B47</f>
        <v/>
      </c>
      <c r="AD47" s="27">
        <f>(VLOOKUP(AC47,B:Y,MATCH($AE$6,$B$1:$Y$1,),))</f>
        <v/>
      </c>
      <c r="AE47" s="27">
        <f>(VLOOKUP(AC47,B:Y,MATCH($AE$7,$B$1:$Y$1,),))</f>
        <v/>
      </c>
      <c r="AF47" s="27">
        <f>AD47-AE47</f>
        <v/>
      </c>
    </row>
    <row r="48" hidden="1" s="8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91" t="n"/>
      <c r="AC48" s="26">
        <f>B48</f>
        <v/>
      </c>
      <c r="AD48" s="27">
        <f>(VLOOKUP(AC48,B:Y,MATCH($AE$6,$B$1:$Y$1,),))</f>
        <v/>
      </c>
      <c r="AE48" s="27">
        <f>(VLOOKUP(AC48,B:Y,MATCH($AE$7,$B$1:$Y$1,),))</f>
        <v/>
      </c>
      <c r="AF48" s="27">
        <f>AD48-AE48</f>
        <v/>
      </c>
    </row>
    <row r="49" hidden="1" s="8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91" t="n"/>
      <c r="AC49" s="26">
        <f>B49</f>
        <v/>
      </c>
      <c r="AD49" s="27">
        <f>(VLOOKUP(AC49,B:Y,MATCH($AE$6,$B$1:$Y$1,),))</f>
        <v/>
      </c>
      <c r="AE49" s="27">
        <f>(VLOOKUP(AC49,B:Y,MATCH($AE$7,$B$1:$Y$1,),))</f>
        <v/>
      </c>
      <c r="AF49" s="27">
        <f>AD49-AE49</f>
        <v/>
      </c>
    </row>
    <row r="50" hidden="1" s="8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91" t="n"/>
      <c r="AC50" s="26">
        <f>B50</f>
        <v/>
      </c>
      <c r="AD50" s="27">
        <f>(VLOOKUP(AC50,B:Y,MATCH($AE$6,$B$1:$Y$1,),))</f>
        <v/>
      </c>
      <c r="AE50" s="27">
        <f>(VLOOKUP(AC50,B:Y,MATCH($AE$7,$B$1:$Y$1,),))</f>
        <v/>
      </c>
      <c r="AF50" s="27">
        <f>AD50-AE50</f>
        <v/>
      </c>
    </row>
    <row r="51" hidden="1" s="8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91" t="n"/>
      <c r="AC51" s="26">
        <f>B51</f>
        <v/>
      </c>
      <c r="AD51" s="27">
        <f>(VLOOKUP(AC51,B:Y,MATCH($AE$6,$B$1:$Y$1,),))</f>
        <v/>
      </c>
      <c r="AE51" s="27">
        <f>(VLOOKUP(AC51,B:Y,MATCH($AE$7,$B$1:$Y$1,),))</f>
        <v/>
      </c>
      <c r="AF51" s="27">
        <f>AD51-AE51</f>
        <v/>
      </c>
    </row>
    <row r="52" hidden="1" s="8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91" t="n"/>
      <c r="AC52" s="26">
        <f>B52</f>
        <v/>
      </c>
      <c r="AD52" s="27">
        <f>(VLOOKUP(AC52,B:Y,MATCH($AE$6,$B$1:$Y$1,),))</f>
        <v/>
      </c>
      <c r="AE52" s="27">
        <f>(VLOOKUP(AC52,B:Y,MATCH($AE$7,$B$1:$Y$1,),))</f>
        <v/>
      </c>
      <c r="AF52" s="27">
        <f>AD52-AE52</f>
        <v/>
      </c>
    </row>
    <row r="53" hidden="1" s="8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91" t="n"/>
      <c r="AC53" s="26">
        <f>B53</f>
        <v/>
      </c>
      <c r="AD53" s="27">
        <f>(VLOOKUP(AC53,B:Y,MATCH($AE$6,$B$1:$Y$1,),))</f>
        <v/>
      </c>
      <c r="AE53" s="27">
        <f>(VLOOKUP(AC53,B:Y,MATCH($AE$7,$B$1:$Y$1,),))</f>
        <v/>
      </c>
      <c r="AF53" s="27">
        <f>AD53-AE53</f>
        <v/>
      </c>
    </row>
    <row r="54" hidden="1" s="8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91" t="n"/>
      <c r="AC54" s="26">
        <f>B54</f>
        <v/>
      </c>
      <c r="AD54" s="27">
        <f>(VLOOKUP(AC54,B:Y,MATCH($AE$6,$B$1:$Y$1,),))</f>
        <v/>
      </c>
      <c r="AE54" s="27">
        <f>(VLOOKUP(AC54,B:Y,MATCH($AE$7,$B$1:$Y$1,),))</f>
        <v/>
      </c>
      <c r="AF54" s="27">
        <f>AD54-AE54</f>
        <v/>
      </c>
    </row>
    <row r="55" hidden="1" s="8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91" t="n"/>
      <c r="AC55" s="26">
        <f>B55</f>
        <v/>
      </c>
      <c r="AD55" s="27">
        <f>(VLOOKUP(AC55,B:Y,MATCH($AE$6,$B$1:$Y$1,),))</f>
        <v/>
      </c>
      <c r="AE55" s="27">
        <f>(VLOOKUP(AC55,B:Y,MATCH($AE$7,$B$1:$Y$1,),))</f>
        <v/>
      </c>
      <c r="AF55" s="27">
        <f>AD55-AE55</f>
        <v/>
      </c>
    </row>
    <row r="56" hidden="1" s="8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91" t="n"/>
      <c r="AC56" s="26">
        <f>B56</f>
        <v/>
      </c>
      <c r="AD56" s="27">
        <f>(VLOOKUP(AC56,B:Y,MATCH($AE$6,$B$1:$Y$1,),))</f>
        <v/>
      </c>
      <c r="AE56" s="27">
        <f>(VLOOKUP(AC56,B:Y,MATCH($AE$7,$B$1:$Y$1,),))</f>
        <v/>
      </c>
      <c r="AF56" s="27">
        <f>AD56-AE56</f>
        <v/>
      </c>
    </row>
    <row r="57" hidden="1" s="8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91" t="n"/>
      <c r="AC57" s="26">
        <f>B57</f>
        <v/>
      </c>
      <c r="AD57" s="27">
        <f>(VLOOKUP(AC57,B:Y,MATCH($AE$6,$B$1:$Y$1,),))</f>
        <v/>
      </c>
      <c r="AE57" s="27">
        <f>(VLOOKUP(AC57,B:Y,MATCH($AE$7,$B$1:$Y$1,),))</f>
        <v/>
      </c>
      <c r="AF57" s="27">
        <f>AD57-AE57</f>
        <v/>
      </c>
    </row>
    <row r="58" hidden="1" s="8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91" t="n"/>
      <c r="AC58" s="26">
        <f>B58</f>
        <v/>
      </c>
      <c r="AD58" s="27">
        <f>(VLOOKUP(AC58,B:Y,MATCH($AE$6,$B$1:$Y$1,),))</f>
        <v/>
      </c>
      <c r="AE58" s="27">
        <f>(VLOOKUP(AC58,B:Y,MATCH($AE$7,$B$1:$Y$1,),))</f>
        <v/>
      </c>
      <c r="AF58" s="27">
        <f>AD58-AE58</f>
        <v/>
      </c>
    </row>
    <row r="59" hidden="1" s="8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91" t="n"/>
      <c r="AC59" s="26">
        <f>B59</f>
        <v/>
      </c>
      <c r="AD59" s="27">
        <f>(VLOOKUP(AC59,B:Y,MATCH($AE$6,$B$1:$Y$1,),))</f>
        <v/>
      </c>
      <c r="AE59" s="27">
        <f>(VLOOKUP(AC59,B:Y,MATCH($AE$7,$B$1:$Y$1,),))</f>
        <v/>
      </c>
      <c r="AF59" s="27">
        <f>AD59-AE59</f>
        <v/>
      </c>
    </row>
    <row r="60" hidden="1" s="8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91" t="n"/>
      <c r="AC60" s="26">
        <f>B60</f>
        <v/>
      </c>
      <c r="AD60" s="27">
        <f>(VLOOKUP(AC60,B:Y,MATCH($AE$6,$B$1:$Y$1,),))</f>
        <v/>
      </c>
      <c r="AE60" s="27">
        <f>(VLOOKUP(AC60,B:Y,MATCH($AE$7,$B$1:$Y$1,),))</f>
        <v/>
      </c>
      <c r="AF60" s="27">
        <f>AD60-AE60</f>
        <v/>
      </c>
    </row>
    <row r="61" hidden="1" s="8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91" t="n"/>
      <c r="AC61" s="26">
        <f>B61</f>
        <v/>
      </c>
      <c r="AD61" s="27">
        <f>(VLOOKUP(AC61,B:Y,MATCH($AE$6,$B$1:$Y$1,),))</f>
        <v/>
      </c>
      <c r="AE61" s="27">
        <f>(VLOOKUP(AC61,B:Y,MATCH($AE$7,$B$1:$Y$1,),))</f>
        <v/>
      </c>
      <c r="AF61" s="27">
        <f>AD61-AE61</f>
        <v/>
      </c>
    </row>
    <row r="62" hidden="1" s="8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91" t="n"/>
      <c r="AC62" s="26">
        <f>B62</f>
        <v/>
      </c>
      <c r="AD62" s="27">
        <f>(VLOOKUP(AC62,B:Y,MATCH($AE$6,$B$1:$Y$1,),))</f>
        <v/>
      </c>
      <c r="AE62" s="27">
        <f>(VLOOKUP(AC62,B:Y,MATCH($AE$7,$B$1:$Y$1,),))</f>
        <v/>
      </c>
      <c r="AF62" s="27">
        <f>AD62-AE62</f>
        <v/>
      </c>
    </row>
    <row r="63" hidden="1" s="8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91" t="n"/>
      <c r="AC63" s="26">
        <f>B63</f>
        <v/>
      </c>
      <c r="AD63" s="27">
        <f>(VLOOKUP(AC63,B:Y,MATCH($AE$6,$B$1:$Y$1,),))</f>
        <v/>
      </c>
      <c r="AE63" s="27">
        <f>(VLOOKUP(AC63,B:Y,MATCH($AE$7,$B$1:$Y$1,),))</f>
        <v/>
      </c>
      <c r="AF63" s="27">
        <f>AD63-AE63</f>
        <v/>
      </c>
    </row>
    <row r="64" hidden="1" s="8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91" t="n"/>
      <c r="AC64" s="26">
        <f>B64</f>
        <v/>
      </c>
      <c r="AD64" s="27">
        <f>(VLOOKUP(AC64,B:Y,MATCH($AE$6,$B$1:$Y$1,),))</f>
        <v/>
      </c>
      <c r="AE64" s="27">
        <f>(VLOOKUP(AC64,B:Y,MATCH($AE$7,$B$1:$Y$1,),))</f>
        <v/>
      </c>
      <c r="AF64" s="27">
        <f>AD64-AE64</f>
        <v/>
      </c>
    </row>
    <row r="65" hidden="1" s="8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91" t="n"/>
      <c r="AC65" s="26">
        <f>B65</f>
        <v/>
      </c>
      <c r="AD65" s="27">
        <f>(VLOOKUP(AC65,B:Y,MATCH($AE$6,$B$1:$Y$1,),))</f>
        <v/>
      </c>
      <c r="AE65" s="27">
        <f>(VLOOKUP(AC65,B:Y,MATCH($AE$7,$B$1:$Y$1,),))</f>
        <v/>
      </c>
      <c r="AF65" s="27">
        <f>AD65-AE65</f>
        <v/>
      </c>
    </row>
    <row r="66" hidden="1" s="8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91" t="n"/>
      <c r="AC66" s="26">
        <f>B66</f>
        <v/>
      </c>
      <c r="AD66" s="27">
        <f>(VLOOKUP(AC66,B:Y,MATCH($AE$6,$B$1:$Y$1,),))</f>
        <v/>
      </c>
      <c r="AE66" s="27">
        <f>(VLOOKUP(AC66,B:Y,MATCH($AE$7,$B$1:$Y$1,),))</f>
        <v/>
      </c>
      <c r="AF66" s="27">
        <f>AD66-AE66</f>
        <v/>
      </c>
    </row>
    <row r="67" hidden="1" s="8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91" t="n"/>
      <c r="AC67" s="26">
        <f>B67</f>
        <v/>
      </c>
      <c r="AD67" s="27">
        <f>(VLOOKUP(AC67,B:Y,MATCH($AE$6,$B$1:$Y$1,),))</f>
        <v/>
      </c>
      <c r="AE67" s="27">
        <f>(VLOOKUP(AC67,B:Y,MATCH($AE$7,$B$1:$Y$1,),))</f>
        <v/>
      </c>
      <c r="AF67" s="27">
        <f>AD67-AE67</f>
        <v/>
      </c>
    </row>
    <row r="68" hidden="1" s="8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91" t="n"/>
      <c r="AC68" s="26">
        <f>B68</f>
        <v/>
      </c>
      <c r="AD68" s="27">
        <f>(VLOOKUP(AC68,B:Y,MATCH($AE$6,$B$1:$Y$1,),))</f>
        <v/>
      </c>
      <c r="AE68" s="27">
        <f>(VLOOKUP(AC68,B:Y,MATCH($AE$7,$B$1:$Y$1,),))</f>
        <v/>
      </c>
      <c r="AF68" s="27">
        <f>AD68-AE68</f>
        <v/>
      </c>
    </row>
    <row r="69" hidden="1" s="8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91" t="n"/>
      <c r="AC69" s="26">
        <f>B69</f>
        <v/>
      </c>
      <c r="AD69" s="27">
        <f>(VLOOKUP(AC69,B:Y,MATCH($AE$6,$B$1:$Y$1,),))</f>
        <v/>
      </c>
      <c r="AE69" s="27">
        <f>(VLOOKUP(AC69,B:Y,MATCH($AE$7,$B$1:$Y$1,),))</f>
        <v/>
      </c>
      <c r="AF69" s="27">
        <f>AD69-AE69</f>
        <v/>
      </c>
    </row>
    <row r="70" hidden="1" s="8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91"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91"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91"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91"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91"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91"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91"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91"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91"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91"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91"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91"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91"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91" t="n"/>
      <c r="AC83" s="26">
        <f>B83</f>
        <v/>
      </c>
      <c r="AD83" s="27">
        <f>(VLOOKUP(AC83,B:Y,MATCH($AE$6,$B$1:$Y$1,),))</f>
        <v/>
      </c>
      <c r="AE83" s="27">
        <f>(VLOOKUP(AC83,B:Y,MATCH($AE$7,$B$1:$Y$1,),))</f>
        <v/>
      </c>
      <c r="AF83" s="27">
        <f>AD83-AE83</f>
        <v/>
      </c>
    </row>
    <row r="84" customFormat="1" s="91">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91">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91">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91">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91">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91">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91">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91">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91">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91">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91">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91">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91">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91">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91">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91"/>
    <row r="100" customFormat="1" s="91"/>
    <row r="101" customFormat="1" s="91"/>
    <row r="102" customFormat="1" s="91"/>
    <row r="103" customFormat="1" s="91"/>
    <row r="104" customFormat="1" s="91"/>
    <row r="105" customFormat="1" s="91"/>
    <row r="106" customFormat="1" s="91"/>
    <row r="107" customFormat="1" s="91"/>
    <row r="108" customFormat="1" s="91"/>
    <row r="109" customFormat="1" s="91"/>
    <row r="110" customFormat="1" s="91"/>
    <row r="111" customFormat="1" s="91"/>
    <row r="112" customFormat="1" s="91"/>
    <row r="113" customFormat="1" s="91"/>
    <row r="114" customFormat="1" s="91"/>
    <row r="115" customFormat="1" s="91"/>
    <row r="116" customFormat="1" s="91"/>
    <row r="117" customFormat="1" s="91"/>
    <row r="118" customFormat="1" s="91"/>
    <row r="119" customFormat="1" s="91"/>
    <row r="120" customFormat="1" s="91"/>
    <row r="121" customFormat="1" s="91"/>
    <row r="122" customFormat="1" s="91"/>
    <row r="123" customFormat="1" s="91"/>
    <row r="124" customFormat="1" s="91"/>
    <row r="125" customFormat="1" s="91"/>
    <row r="126" customFormat="1" s="91"/>
    <row r="127" customFormat="1" s="91"/>
    <row r="128" customFormat="1" s="91"/>
    <row r="129" customFormat="1" s="91"/>
    <row r="130" customFormat="1" s="91"/>
    <row r="131" customFormat="1" s="91"/>
    <row r="132" customFormat="1" s="91"/>
    <row r="133" customFormat="1" s="91"/>
    <row r="134" customFormat="1" s="91"/>
    <row r="135" customFormat="1" s="91"/>
    <row r="136" customFormat="1" s="91"/>
    <row r="137" customFormat="1" s="91"/>
    <row r="138" customFormat="1" s="91"/>
    <row r="139" customFormat="1" s="91"/>
    <row r="140" customFormat="1" s="91"/>
    <row r="141" customFormat="1" s="91"/>
    <row r="142" customFormat="1" s="91"/>
    <row r="143" customFormat="1" s="91"/>
    <row r="144" customFormat="1" s="91"/>
    <row r="145" customFormat="1" s="91"/>
    <row r="146" customFormat="1" s="91"/>
    <row r="147" customFormat="1" s="91"/>
    <row r="148" customFormat="1" s="91"/>
    <row r="149" customFormat="1" s="91"/>
    <row r="150" customFormat="1" s="91"/>
    <row r="151" customFormat="1" s="91"/>
    <row r="152" customFormat="1" s="91"/>
    <row r="153" customFormat="1" s="91"/>
    <row r="154" customFormat="1" s="91"/>
    <row r="155" customFormat="1" s="91"/>
    <row r="156" customFormat="1" s="91"/>
    <row r="157" customFormat="1" s="91"/>
    <row r="158" customFormat="1" s="91"/>
    <row r="159" customFormat="1" s="91"/>
    <row r="160" customFormat="1" s="91"/>
    <row r="161" customFormat="1" s="91"/>
    <row r="162" customFormat="1" s="91"/>
    <row r="163" customFormat="1" s="91"/>
    <row r="164" customFormat="1" s="91"/>
    <row r="165" customFormat="1" s="91"/>
    <row r="166" customFormat="1" s="91"/>
    <row r="167" customFormat="1" s="91"/>
    <row r="168" customFormat="1" s="91"/>
    <row r="169" customFormat="1" s="91"/>
    <row r="170" customFormat="1" s="91"/>
    <row r="171" customFormat="1" s="91"/>
    <row r="172" customFormat="1" s="91"/>
    <row r="173" customFormat="1" s="91"/>
    <row r="174" customFormat="1" s="91"/>
    <row r="175" customFormat="1" s="91"/>
    <row r="176" customFormat="1" s="91"/>
    <row r="177" customFormat="1" s="91"/>
    <row r="178" customFormat="1" s="91"/>
    <row r="179" customFormat="1" s="91"/>
    <row r="180" customFormat="1" s="91"/>
    <row r="181" customFormat="1" s="91"/>
    <row r="182" customFormat="1" s="91"/>
    <row r="183" customFormat="1" s="91"/>
    <row r="184" customFormat="1" s="91"/>
    <row r="185" customFormat="1" s="91"/>
    <row r="186" customFormat="1" s="91"/>
    <row r="187" customFormat="1" s="91"/>
    <row r="188" customFormat="1" s="91"/>
    <row r="189" customFormat="1" s="91"/>
    <row r="190" customFormat="1" s="91"/>
    <row r="191" customFormat="1" s="91"/>
    <row r="192" customFormat="1" s="91"/>
    <row r="193" customFormat="1" s="91"/>
    <row r="194" customFormat="1" s="91"/>
    <row r="195" customFormat="1" s="91"/>
    <row r="196" customFormat="1" s="91"/>
    <row r="197" customFormat="1" s="91"/>
    <row r="198" customFormat="1" s="91"/>
    <row r="199" customFormat="1" s="91"/>
    <row r="200" customFormat="1" s="91"/>
    <row r="201" customFormat="1" s="91"/>
    <row r="202" customFormat="1" s="91"/>
    <row r="203" customFormat="1" s="91"/>
    <row r="204" customFormat="1" s="91"/>
    <row r="205" customFormat="1" s="91"/>
    <row r="206" customFormat="1" s="91"/>
    <row r="207" customFormat="1" s="91"/>
    <row r="208" customFormat="1" s="91"/>
    <row r="209" customFormat="1" s="91"/>
    <row r="210" customFormat="1" s="91"/>
    <row r="211" customFormat="1" s="91"/>
    <row r="212" customFormat="1" s="91"/>
    <row r="213" customFormat="1" s="91"/>
    <row r="214" customFormat="1" s="91"/>
    <row r="215" customFormat="1" s="91"/>
    <row r="216" customFormat="1" s="91"/>
    <row r="217" customFormat="1" s="91"/>
    <row r="218" customFormat="1" s="91"/>
    <row r="219" customFormat="1" s="91"/>
    <row r="220" customFormat="1" s="91"/>
    <row r="221" customFormat="1" s="91"/>
    <row r="222" customFormat="1" s="91"/>
    <row r="223" customFormat="1" s="91"/>
    <row r="224" customFormat="1" s="91"/>
    <row r="225" customFormat="1" s="91"/>
    <row r="226" customFormat="1" s="91"/>
    <row r="227" customFormat="1" s="91"/>
    <row r="228" customFormat="1" s="91"/>
    <row r="229" customFormat="1" s="91"/>
    <row r="230" customFormat="1" s="91"/>
    <row r="231" customFormat="1" s="91"/>
    <row r="232" customFormat="1" s="91"/>
    <row r="233" customFormat="1" s="91"/>
    <row r="234" customFormat="1" s="91"/>
    <row r="235" customFormat="1" s="91"/>
    <row r="236" customFormat="1" s="91"/>
    <row r="237" customFormat="1" s="91"/>
    <row r="238" customFormat="1" s="91"/>
    <row r="239" customFormat="1" s="91"/>
    <row r="240" customFormat="1" s="91"/>
    <row r="241" customFormat="1" s="91"/>
    <row r="242" customFormat="1" s="91"/>
    <row r="243" customFormat="1" s="91"/>
    <row r="244" customFormat="1" s="91"/>
    <row r="245" customFormat="1" s="91"/>
    <row r="246" customFormat="1" s="91"/>
    <row r="247" customFormat="1" s="91"/>
    <row r="248" customFormat="1" s="91"/>
    <row r="249" customFormat="1" s="91"/>
    <row r="250" customFormat="1" s="91"/>
    <row r="251" customFormat="1" s="91"/>
    <row r="252" customFormat="1" s="91"/>
    <row r="253" customFormat="1" s="91"/>
    <row r="254" customFormat="1" s="91"/>
    <row r="255" customFormat="1" s="91"/>
    <row r="256" customFormat="1" s="91"/>
    <row r="257" customFormat="1" s="91"/>
    <row r="258" customFormat="1" s="91"/>
    <row r="259" customFormat="1" s="91"/>
    <row r="260" customFormat="1" s="91"/>
    <row r="261" customFormat="1" s="91"/>
    <row r="262" customFormat="1" s="91"/>
    <row r="263" customFormat="1" s="91"/>
    <row r="264" customFormat="1" s="91"/>
    <row r="265" customFormat="1" s="91"/>
    <row r="266" customFormat="1" s="91"/>
    <row r="267" customFormat="1" s="91"/>
    <row r="268" customFormat="1" s="91"/>
    <row r="269" customFormat="1" s="91"/>
    <row r="270" customFormat="1" s="91"/>
    <row r="271" customFormat="1" s="91"/>
    <row r="272" customFormat="1" s="91"/>
    <row r="273" customFormat="1" s="91"/>
    <row r="274" customFormat="1" s="91"/>
    <row r="275" customFormat="1" s="91"/>
    <row r="276" customFormat="1" s="91"/>
    <row r="277" customFormat="1" s="91"/>
    <row r="278" customFormat="1" s="91"/>
    <row r="279" customFormat="1" s="91"/>
    <row r="280" customFormat="1" s="91"/>
    <row r="281" customFormat="1" s="91"/>
    <row r="282" customFormat="1" s="91"/>
    <row r="283" customFormat="1" s="91"/>
    <row r="284" customFormat="1" s="91"/>
    <row r="285" customFormat="1" s="91"/>
    <row r="286" customFormat="1" s="91"/>
    <row r="287" customFormat="1" s="91"/>
    <row r="288" customFormat="1" s="91"/>
    <row r="289" customFormat="1" s="91"/>
    <row r="290" customFormat="1" s="91"/>
    <row r="291" customFormat="1" s="91"/>
    <row r="292" customFormat="1" s="91"/>
    <row r="293" customFormat="1" s="91"/>
    <row r="294" customFormat="1" s="91"/>
    <row r="295" customFormat="1" s="91"/>
    <row r="296" customFormat="1" s="91"/>
    <row r="297" customFormat="1" s="91"/>
    <row r="298" customFormat="1" s="91"/>
    <row r="299" customFormat="1" s="91"/>
    <row r="300" customFormat="1" s="91"/>
    <row r="301" customFormat="1" s="91"/>
    <row r="302" customFormat="1" s="91"/>
    <row r="303" customFormat="1" s="91"/>
    <row r="304" customFormat="1" s="91"/>
    <row r="305" customFormat="1" s="91"/>
    <row r="306" customFormat="1" s="91"/>
    <row r="307" customFormat="1" s="91"/>
    <row r="308" customFormat="1" s="91"/>
    <row r="309" customFormat="1" s="91"/>
    <row r="310" customFormat="1" s="91"/>
    <row r="311" customFormat="1" s="91"/>
    <row r="312" customFormat="1" s="91"/>
    <row r="313" customFormat="1" s="91"/>
    <row r="314" customFormat="1" s="91"/>
    <row r="315" customFormat="1" s="91"/>
    <row r="316" customFormat="1" s="91"/>
    <row r="317" customFormat="1" s="91"/>
    <row r="318" customFormat="1" s="91"/>
    <row r="319" customFormat="1" s="91"/>
    <row r="320" customFormat="1" s="91"/>
    <row r="321" customFormat="1" s="91"/>
    <row r="322" customFormat="1" s="91"/>
    <row r="323" customFormat="1" s="91"/>
    <row r="324" customFormat="1" s="91"/>
    <row r="325" customFormat="1" s="91"/>
    <row r="326" customFormat="1" s="91"/>
    <row r="327" customFormat="1" s="91"/>
    <row r="328" customFormat="1" s="91"/>
    <row r="329" customFormat="1" s="91"/>
    <row r="330" customFormat="1" s="91"/>
    <row r="331" customFormat="1" s="91"/>
    <row r="332" customFormat="1" s="91"/>
    <row r="333" customFormat="1" s="91"/>
    <row r="334" customFormat="1" s="91"/>
    <row r="335" customFormat="1" s="91"/>
    <row r="336" customFormat="1" s="91"/>
    <row r="337" customFormat="1" s="91"/>
    <row r="338" customFormat="1" s="91"/>
    <row r="339" customFormat="1" s="91"/>
    <row r="340" customFormat="1" s="91"/>
    <row r="341" customFormat="1" s="91"/>
    <row r="342" customFormat="1" s="91"/>
    <row r="343" customFormat="1" s="91"/>
    <row r="344" customFormat="1" s="91"/>
    <row r="345" customFormat="1" s="91"/>
    <row r="346" customFormat="1" s="91"/>
    <row r="347" customFormat="1" s="91"/>
    <row r="348" customFormat="1" s="91"/>
    <row r="349" customFormat="1" s="91"/>
    <row r="350" customFormat="1" s="91"/>
    <row r="351" customFormat="1" s="91"/>
    <row r="352" customFormat="1" s="91"/>
    <row r="353" customFormat="1" s="91"/>
    <row r="354" customFormat="1" s="91"/>
    <row r="355" customFormat="1" s="91"/>
    <row r="356" customFormat="1" s="91"/>
    <row r="357" customFormat="1" s="91"/>
    <row r="358" customFormat="1" s="91"/>
    <row r="359" customFormat="1" s="91"/>
    <row r="360" customFormat="1" s="91"/>
    <row r="361" customFormat="1" s="91"/>
    <row r="362" customFormat="1" s="91"/>
    <row r="363" customFormat="1" s="91"/>
    <row r="364" customFormat="1" s="91"/>
    <row r="365" customFormat="1" s="91"/>
    <row r="366" customFormat="1" s="91"/>
    <row r="367" customFormat="1" s="91"/>
    <row r="368" customFormat="1" s="91"/>
    <row r="369" customFormat="1" s="91"/>
    <row r="370" customFormat="1" s="91"/>
    <row r="371" customFormat="1" s="91"/>
    <row r="372" customFormat="1" s="91"/>
    <row r="373" customFormat="1" s="91"/>
    <row r="374" customFormat="1" s="91"/>
    <row r="375" customFormat="1" s="91"/>
    <row r="376" customFormat="1" s="91"/>
    <row r="377" customFormat="1" s="91"/>
    <row r="378" customFormat="1" s="91"/>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91" min="1" max="1"/>
    <col width="13.6640625" customWidth="1" style="88" min="2" max="2"/>
    <col width="6.1640625" customWidth="1" style="88" min="3" max="27"/>
    <col width="6.1640625" customWidth="1" style="91" min="28" max="28"/>
    <col width="15.33203125" customWidth="1" style="91" min="29" max="30"/>
    <col width="10.6640625" bestFit="1" customWidth="1" style="91" min="31" max="31"/>
    <col width="9.1640625" customWidth="1" style="91"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1">
      <c r="AD2" s="91" t="inlineStr">
        <is>
          <t>Last quarter</t>
        </is>
      </c>
      <c r="AE2" s="3">
        <f>'Table yoy'!AE2</f>
        <v/>
      </c>
      <c r="AH2" s="91" t="inlineStr">
        <is>
          <t>modify max/min/avg</t>
        </is>
      </c>
    </row>
    <row r="3" ht="75.75" customHeight="1" s="8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8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91" t="inlineStr">
        <is>
          <t>Country 1</t>
        </is>
      </c>
      <c r="AE6" s="17" t="inlineStr">
        <is>
          <t>USA</t>
        </is>
      </c>
    </row>
    <row r="7" ht="16" customHeight="1" s="8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8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8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8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8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8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8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8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8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8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8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8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8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8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8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8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8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8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8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8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8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8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8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8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8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8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8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8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8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8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8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8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8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8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8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8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8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8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8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8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8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8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8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8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8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8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8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8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8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8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8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8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8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8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8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8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8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8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8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8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8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91">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91">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91">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91">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91">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91">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91">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91">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91">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91">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91">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91">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91">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91">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91"/>
    <row r="99" customFormat="1" s="91"/>
    <row r="100" customFormat="1" s="91"/>
    <row r="101" customFormat="1" s="91"/>
    <row r="102" customFormat="1" s="91"/>
    <row r="103" customFormat="1" s="91"/>
    <row r="104" customFormat="1" s="91"/>
    <row r="105" customFormat="1" s="91"/>
    <row r="106" customFormat="1" s="91"/>
    <row r="107" customFormat="1" s="91"/>
    <row r="108" customFormat="1" s="91"/>
    <row r="109" customFormat="1" s="91"/>
    <row r="110" customFormat="1" s="91"/>
    <row r="111" customFormat="1" s="91"/>
    <row r="112" customFormat="1" s="91"/>
    <row r="113" customFormat="1" s="91"/>
    <row r="114" customFormat="1" s="91"/>
    <row r="115" customFormat="1" s="91"/>
    <row r="116" customFormat="1" s="91"/>
    <row r="117" customFormat="1" s="91"/>
    <row r="118" customFormat="1" s="91"/>
    <row r="119" customFormat="1" s="91"/>
    <row r="120" customFormat="1" s="91"/>
    <row r="121" customFormat="1" s="91"/>
    <row r="122" customFormat="1" s="91"/>
    <row r="123" customFormat="1" s="91"/>
    <row r="124" customFormat="1" s="91"/>
    <row r="125" customFormat="1" s="91"/>
    <row r="126" customFormat="1" s="91"/>
    <row r="127" customFormat="1" s="91"/>
    <row r="128" customFormat="1" s="91"/>
    <row r="129" customFormat="1" s="91"/>
    <row r="130" customFormat="1" s="91"/>
    <row r="131" customFormat="1" s="91"/>
    <row r="132" customFormat="1" s="91"/>
    <row r="133" customFormat="1" s="91"/>
    <row r="134" customFormat="1" s="91"/>
    <row r="135" customFormat="1" s="91"/>
    <row r="136" customFormat="1" s="91"/>
    <row r="137" customFormat="1" s="91"/>
    <row r="138" customFormat="1" s="91"/>
    <row r="139" customFormat="1" s="91"/>
    <row r="140" customFormat="1" s="91"/>
    <row r="141" customFormat="1" s="91"/>
    <row r="142" customFormat="1" s="91"/>
    <row r="143" customFormat="1" s="91"/>
    <row r="144" customFormat="1" s="91"/>
    <row r="145" customFormat="1" s="91"/>
    <row r="146" customFormat="1" s="91"/>
    <row r="147" customFormat="1" s="91"/>
    <row r="148" customFormat="1" s="91"/>
    <row r="149" customFormat="1" s="91"/>
    <row r="150" customFormat="1" s="91"/>
    <row r="151" customFormat="1" s="91"/>
    <row r="152" customFormat="1" s="91"/>
    <row r="153" customFormat="1" s="91"/>
    <row r="154" customFormat="1" s="91"/>
    <row r="155" customFormat="1" s="91"/>
    <row r="156" customFormat="1" s="91"/>
    <row r="157" customFormat="1" s="91"/>
    <row r="158" customFormat="1" s="91"/>
    <row r="159" customFormat="1" s="91"/>
    <row r="160" customFormat="1" s="91"/>
    <row r="161" customFormat="1" s="91"/>
    <row r="162" customFormat="1" s="91"/>
    <row r="163" customFormat="1" s="91"/>
    <row r="164" customFormat="1" s="91"/>
    <row r="165" customFormat="1" s="91"/>
    <row r="166" customFormat="1" s="91"/>
    <row r="167" customFormat="1" s="91"/>
    <row r="168" customFormat="1" s="91"/>
    <row r="169" customFormat="1" s="91"/>
    <row r="170" customFormat="1" s="91"/>
    <row r="171" customFormat="1" s="91"/>
    <row r="172" customFormat="1" s="91"/>
    <row r="173" customFormat="1" s="91"/>
    <row r="174" customFormat="1" s="91"/>
    <row r="175" customFormat="1" s="91"/>
    <row r="176" customFormat="1" s="91"/>
    <row r="177" customFormat="1" s="91"/>
    <row r="178" customFormat="1" s="91"/>
    <row r="179" customFormat="1" s="91"/>
    <row r="180" customFormat="1" s="91"/>
    <row r="181" customFormat="1" s="91"/>
    <row r="182" customFormat="1" s="91"/>
    <row r="183" customFormat="1" s="91"/>
    <row r="184" customFormat="1" s="91"/>
    <row r="185" customFormat="1" s="91"/>
    <row r="186" customFormat="1" s="91"/>
    <row r="187" customFormat="1" s="91"/>
    <row r="188" customFormat="1" s="91"/>
    <row r="189" customFormat="1" s="91"/>
    <row r="190" customFormat="1" s="91"/>
    <row r="191" customFormat="1" s="91"/>
    <row r="192" customFormat="1" s="91"/>
    <row r="193" customFormat="1" s="91"/>
    <row r="194" customFormat="1" s="91"/>
    <row r="195" customFormat="1" s="91"/>
    <row r="196" customFormat="1" s="91"/>
    <row r="197" customFormat="1" s="91"/>
    <row r="198" customFormat="1" s="91"/>
    <row r="199" customFormat="1" s="91"/>
    <row r="200" customFormat="1" s="91"/>
    <row r="201" customFormat="1" s="91"/>
    <row r="202" customFormat="1" s="91"/>
    <row r="203" customFormat="1" s="91"/>
    <row r="204" customFormat="1" s="91"/>
    <row r="205" customFormat="1" s="91"/>
    <row r="206" customFormat="1" s="91"/>
    <row r="207" customFormat="1" s="91"/>
    <row r="208" customFormat="1" s="91"/>
    <row r="209" customFormat="1" s="91"/>
    <row r="210" customFormat="1" s="91"/>
    <row r="211" customFormat="1" s="91"/>
    <row r="212" customFormat="1" s="91"/>
    <row r="213" customFormat="1" s="91"/>
    <row r="214" customFormat="1" s="91"/>
    <row r="215" customFormat="1" s="91"/>
    <row r="216" customFormat="1" s="91"/>
    <row r="217" customFormat="1" s="91"/>
    <row r="218" customFormat="1" s="91"/>
    <row r="219" customFormat="1" s="91"/>
    <row r="220" customFormat="1" s="91"/>
    <row r="221" customFormat="1" s="91"/>
    <row r="222" customFormat="1" s="91"/>
    <row r="223" customFormat="1" s="91"/>
    <row r="224" customFormat="1" s="91"/>
    <row r="225" customFormat="1" s="91"/>
    <row r="226" customFormat="1" s="91"/>
    <row r="227" customFormat="1" s="91"/>
    <row r="228" customFormat="1" s="91"/>
    <row r="229" customFormat="1" s="91"/>
    <row r="230" customFormat="1" s="91"/>
    <row r="231" customFormat="1" s="91"/>
    <row r="232" customFormat="1" s="91"/>
    <row r="233" customFormat="1" s="91"/>
    <row r="234" customFormat="1" s="91"/>
    <row r="235" customFormat="1" s="91"/>
    <row r="236" customFormat="1" s="91"/>
    <row r="237" customFormat="1" s="91"/>
    <row r="238" customFormat="1" s="91"/>
    <row r="239" customFormat="1" s="91"/>
    <row r="240" customFormat="1" s="91"/>
    <row r="241" customFormat="1" s="91"/>
    <row r="242" customFormat="1" s="91"/>
    <row r="243" customFormat="1" s="91"/>
    <row r="244" customFormat="1" s="91"/>
    <row r="245" customFormat="1" s="91"/>
    <row r="246" customFormat="1" s="91"/>
    <row r="247" customFormat="1" s="91"/>
    <row r="248" customFormat="1" s="91"/>
    <row r="249" customFormat="1" s="91"/>
    <row r="250" customFormat="1" s="91"/>
    <row r="251" customFormat="1" s="91"/>
    <row r="252" customFormat="1" s="91"/>
    <row r="253" customFormat="1" s="91"/>
    <row r="254" customFormat="1" s="91"/>
    <row r="255" customFormat="1" s="91"/>
    <row r="256" customFormat="1" s="91"/>
    <row r="257" customFormat="1" s="91"/>
    <row r="258" customFormat="1" s="91"/>
    <row r="259" customFormat="1" s="91"/>
    <row r="260" customFormat="1" s="91"/>
    <row r="261" customFormat="1" s="91"/>
    <row r="262" customFormat="1" s="91"/>
    <row r="263" customFormat="1" s="91"/>
    <row r="264" customFormat="1" s="91"/>
    <row r="265" customFormat="1" s="91"/>
    <row r="266" customFormat="1" s="91"/>
    <row r="267" customFormat="1" s="91"/>
    <row r="268" customFormat="1" s="91"/>
    <row r="269" customFormat="1" s="91"/>
    <row r="270" customFormat="1" s="91"/>
    <row r="271" customFormat="1" s="91"/>
    <row r="272" customFormat="1" s="91"/>
    <row r="273" customFormat="1" s="91"/>
    <row r="274" customFormat="1" s="91"/>
    <row r="275" customFormat="1" s="91"/>
    <row r="276" customFormat="1" s="91"/>
    <row r="277" customFormat="1" s="91"/>
    <row r="278" customFormat="1" s="91"/>
    <row r="279" customFormat="1" s="91"/>
    <row r="280" customFormat="1" s="91"/>
    <row r="281" customFormat="1" s="91"/>
    <row r="282" customFormat="1" s="91"/>
    <row r="283" customFormat="1" s="91"/>
    <row r="284" customFormat="1" s="91"/>
    <row r="285" customFormat="1" s="91"/>
    <row r="286" customFormat="1" s="91"/>
    <row r="287" customFormat="1" s="91"/>
    <row r="288" customFormat="1" s="91"/>
    <row r="289" customFormat="1" s="91"/>
    <row r="290" customFormat="1" s="91"/>
    <row r="291" customFormat="1" s="91"/>
    <row r="292" customFormat="1" s="91"/>
    <row r="293" customFormat="1" s="91"/>
    <row r="294" customFormat="1" s="91"/>
    <row r="295" customFormat="1" s="91"/>
    <row r="296" customFormat="1" s="91"/>
    <row r="297" customFormat="1" s="91"/>
    <row r="298" customFormat="1" s="91"/>
    <row r="299" customFormat="1" s="91"/>
    <row r="300" customFormat="1" s="91"/>
    <row r="301" customFormat="1" s="91"/>
    <row r="302" customFormat="1" s="91"/>
    <row r="303" customFormat="1" s="91"/>
    <row r="304" customFormat="1" s="91"/>
    <row r="305" customFormat="1" s="91"/>
    <row r="306" customFormat="1" s="91"/>
    <row r="307" customFormat="1" s="91"/>
    <row r="308" customFormat="1" s="91"/>
    <row r="309" customFormat="1" s="91"/>
    <row r="310" customFormat="1" s="91"/>
    <row r="311" customFormat="1" s="91"/>
    <row r="312" customFormat="1" s="91"/>
    <row r="313" customFormat="1" s="91"/>
    <row r="314" customFormat="1" s="91"/>
    <row r="315" customFormat="1" s="91"/>
    <row r="316" customFormat="1" s="91"/>
    <row r="317" customFormat="1" s="91"/>
    <row r="318" customFormat="1" s="91"/>
    <row r="319" customFormat="1" s="91"/>
    <row r="320" customFormat="1" s="91"/>
    <row r="321" customFormat="1" s="91"/>
    <row r="322" customFormat="1" s="91"/>
    <row r="323" customFormat="1" s="91"/>
    <row r="324" customFormat="1" s="91"/>
    <row r="325" customFormat="1" s="91"/>
    <row r="326" customFormat="1" s="91"/>
    <row r="327" customFormat="1" s="91"/>
    <row r="328" customFormat="1" s="91"/>
    <row r="329" customFormat="1" s="91"/>
    <row r="330" customFormat="1" s="91"/>
    <row r="331" customFormat="1" s="91"/>
    <row r="332" customFormat="1" s="91"/>
    <row r="333" customFormat="1" s="91"/>
    <row r="334" customFormat="1" s="91"/>
    <row r="335" customFormat="1" s="91"/>
    <row r="336" customFormat="1" s="91"/>
    <row r="337" customFormat="1" s="91"/>
    <row r="338" customFormat="1" s="91"/>
    <row r="339" customFormat="1" s="91"/>
    <row r="340" customFormat="1" s="91"/>
    <row r="341" customFormat="1" s="91"/>
    <row r="342" customFormat="1" s="91"/>
    <row r="343" customFormat="1" s="91"/>
    <row r="344" customFormat="1" s="91"/>
    <row r="345" customFormat="1" s="91"/>
    <row r="346" customFormat="1" s="91"/>
    <row r="347" customFormat="1" s="91"/>
    <row r="348" customFormat="1" s="91"/>
    <row r="349" customFormat="1" s="91"/>
    <row r="350" customFormat="1" s="91"/>
    <row r="351" customFormat="1" s="91"/>
    <row r="352" customFormat="1" s="91"/>
    <row r="353" customFormat="1" s="91"/>
    <row r="354" customFormat="1" s="91"/>
    <row r="355" customFormat="1" s="91"/>
    <row r="356" customFormat="1" s="91"/>
    <row r="357" customFormat="1" s="91"/>
    <row r="358" customFormat="1" s="91"/>
    <row r="359" customFormat="1" s="91"/>
    <row r="360" customFormat="1" s="91"/>
    <row r="361" customFormat="1" s="91"/>
    <row r="362" customFormat="1" s="91"/>
    <row r="363" customFormat="1" s="91"/>
    <row r="364" customFormat="1" s="91"/>
    <row r="365" customFormat="1" s="91"/>
    <row r="366" customFormat="1" s="91"/>
    <row r="367" customFormat="1" s="91"/>
    <row r="368" customFormat="1" s="91"/>
    <row r="369" customFormat="1" s="91"/>
    <row r="370" customFormat="1" s="91"/>
    <row r="371" customFormat="1" s="91"/>
    <row r="372" customFormat="1" s="91"/>
    <row r="373" customFormat="1" s="91"/>
    <row r="374" customFormat="1" s="91"/>
    <row r="375" customFormat="1" s="91"/>
    <row r="376" customFormat="1" s="91"/>
    <row r="377" customFormat="1" s="91"/>
    <row r="378" customFormat="1" s="91"/>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91" min="1" max="1"/>
    <col width="13.1640625" bestFit="1" customWidth="1" style="88" min="2" max="2"/>
    <col width="8.1640625" bestFit="1" customWidth="1" style="88" min="3" max="3"/>
    <col width="8.33203125" bestFit="1" customWidth="1" style="88" min="4" max="4"/>
    <col width="8.1640625" bestFit="1" customWidth="1" style="88" min="5" max="6"/>
    <col width="8.33203125" bestFit="1" customWidth="1" style="88" min="7" max="13"/>
    <col width="8.1640625" bestFit="1" customWidth="1" style="88" min="14" max="14"/>
    <col width="8.33203125" bestFit="1" customWidth="1" style="88" min="15" max="16"/>
    <col width="8.1640625" bestFit="1" customWidth="1" style="88" min="17" max="17"/>
    <col width="8.33203125" bestFit="1" customWidth="1" style="88" min="18" max="18"/>
    <col width="8.1640625" bestFit="1" customWidth="1" style="88" min="19" max="20"/>
    <col width="8.33203125" bestFit="1" customWidth="1" style="88" min="21" max="21"/>
    <col width="8.1640625" bestFit="1" customWidth="1" style="88" min="22" max="25"/>
    <col width="8.33203125" bestFit="1" customWidth="1" style="88" min="26" max="26"/>
    <col width="8.1640625" bestFit="1" customWidth="1" style="88" min="27" max="27"/>
    <col width="6.1640625" customWidth="1" style="91" min="28" max="28"/>
    <col width="8" bestFit="1" customWidth="1" style="91" min="29" max="29"/>
    <col width="15" bestFit="1" customWidth="1" style="91" min="30" max="30"/>
    <col width="8" bestFit="1" customWidth="1" style="91" min="31" max="31"/>
    <col width="9.1640625" customWidth="1" style="91" min="32" max="33"/>
    <col width="18.1640625" bestFit="1" customWidth="1" style="91" min="34" max="34"/>
    <col width="9.1640625" customWidth="1" style="91"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1">
      <c r="AD2" s="91" t="inlineStr">
        <is>
          <t>Last month</t>
        </is>
      </c>
      <c r="AE2" s="3">
        <f>'Table yoy'!AE2</f>
        <v/>
      </c>
      <c r="AH2" s="91" t="inlineStr">
        <is>
          <t>modify max/min/avg</t>
        </is>
      </c>
    </row>
    <row r="3" ht="75.75" customHeight="1" s="8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8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91" t="inlineStr">
        <is>
          <t>Country 1</t>
        </is>
      </c>
      <c r="AE6" s="17" t="inlineStr">
        <is>
          <t>EA19</t>
        </is>
      </c>
    </row>
    <row r="7" ht="16" customHeight="1" s="8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8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8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8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8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8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8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8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8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8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8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8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8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8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8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8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8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8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8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8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8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8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8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8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8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8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8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8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8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8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8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8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8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8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8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8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8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8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8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8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8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8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8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8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8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8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8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8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8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8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8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8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8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8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8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8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8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8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8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8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8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91">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91">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91">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91">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91">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91">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91">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91">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91">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91">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91">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91">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91">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91">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91">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91"/>
    <row r="100" customFormat="1" s="91"/>
    <row r="101" customFormat="1" s="91"/>
    <row r="102" customFormat="1" s="91"/>
    <row r="103" customFormat="1" s="91"/>
    <row r="104" customFormat="1" s="91"/>
    <row r="105" customFormat="1" s="91"/>
    <row r="106" customFormat="1" s="91"/>
    <row r="107" customFormat="1" s="91"/>
    <row r="108" customFormat="1" s="91"/>
    <row r="109" customFormat="1" s="91"/>
    <row r="110" customFormat="1" s="91"/>
    <row r="111" customFormat="1" s="91"/>
    <row r="112" customFormat="1" s="91"/>
    <row r="113" customFormat="1" s="91"/>
    <row r="114" customFormat="1" s="91"/>
    <row r="115" customFormat="1" s="91"/>
    <row r="116" customFormat="1" s="91"/>
    <row r="117" customFormat="1" s="91"/>
    <row r="118" customFormat="1" s="91"/>
    <row r="119" customFormat="1" s="91"/>
    <row r="120" customFormat="1" s="91"/>
    <row r="121" customFormat="1" s="91"/>
    <row r="122" customFormat="1" s="91"/>
    <row r="123" customFormat="1" s="91"/>
    <row r="124" customFormat="1" s="91"/>
    <row r="125" customFormat="1" s="91"/>
    <row r="126" customFormat="1" s="91"/>
    <row r="127" customFormat="1" s="91"/>
    <row r="128" customFormat="1" s="91"/>
    <row r="129" customFormat="1" s="91"/>
    <row r="130" customFormat="1" s="91"/>
    <row r="131" customFormat="1" s="91"/>
    <row r="132" customFormat="1" s="91"/>
    <row r="133" customFormat="1" s="91"/>
    <row r="134" customFormat="1" s="91"/>
    <row r="135" customFormat="1" s="91"/>
    <row r="136" customFormat="1" s="91"/>
    <row r="137" customFormat="1" s="91"/>
    <row r="138" customFormat="1" s="91"/>
    <row r="139" customFormat="1" s="91"/>
    <row r="140" customFormat="1" s="91"/>
    <row r="141" customFormat="1" s="91"/>
    <row r="142" customFormat="1" s="91"/>
    <row r="143" customFormat="1" s="91"/>
    <row r="144" customFormat="1" s="91"/>
    <row r="145" customFormat="1" s="91"/>
    <row r="146" customFormat="1" s="91"/>
    <row r="147" customFormat="1" s="91"/>
    <row r="148" customFormat="1" s="91"/>
    <row r="149" customFormat="1" s="91"/>
    <row r="150" customFormat="1" s="91"/>
    <row r="151" customFormat="1" s="91"/>
    <row r="152" customFormat="1" s="91"/>
    <row r="153" customFormat="1" s="91"/>
    <row r="154" customFormat="1" s="91"/>
    <row r="155" customFormat="1" s="91"/>
    <row r="156" customFormat="1" s="91"/>
    <row r="157" customFormat="1" s="91"/>
    <row r="158" customFormat="1" s="91"/>
    <row r="159" customFormat="1" s="91"/>
    <row r="160" customFormat="1" s="91"/>
    <row r="161" customFormat="1" s="91"/>
    <row r="162" customFormat="1" s="91"/>
    <row r="163" customFormat="1" s="91"/>
    <row r="164" customFormat="1" s="91"/>
    <row r="165" customFormat="1" s="91"/>
    <row r="166" customFormat="1" s="91"/>
    <row r="167" customFormat="1" s="91"/>
    <row r="168" customFormat="1" s="91"/>
    <row r="169" customFormat="1" s="91"/>
    <row r="170" customFormat="1" s="91"/>
    <row r="171" customFormat="1" s="91"/>
    <row r="172" customFormat="1" s="91"/>
    <row r="173" customFormat="1" s="91"/>
    <row r="174" customFormat="1" s="91"/>
    <row r="175" customFormat="1" s="91"/>
    <row r="176" customFormat="1" s="91"/>
    <row r="177" customFormat="1" s="91"/>
    <row r="178" customFormat="1" s="91"/>
    <row r="179" customFormat="1" s="91"/>
    <row r="180" customFormat="1" s="91"/>
    <row r="181" customFormat="1" s="91"/>
    <row r="182" customFormat="1" s="91"/>
    <row r="183" customFormat="1" s="91"/>
    <row r="184" customFormat="1" s="91"/>
    <row r="185" customFormat="1" s="91"/>
    <row r="186" customFormat="1" s="91"/>
    <row r="187" customFormat="1" s="91"/>
    <row r="188" customFormat="1" s="91"/>
    <row r="189" customFormat="1" s="91"/>
    <row r="190" customFormat="1" s="91"/>
    <row r="191" customFormat="1" s="91"/>
    <row r="192" customFormat="1" s="91"/>
    <row r="193" customFormat="1" s="91"/>
    <row r="194" customFormat="1" s="91"/>
    <row r="195" customFormat="1" s="91"/>
    <row r="196" customFormat="1" s="91"/>
    <row r="197" customFormat="1" s="91"/>
    <row r="198" customFormat="1" s="91"/>
    <row r="199" customFormat="1" s="91"/>
    <row r="200" customFormat="1" s="91"/>
    <row r="201" customFormat="1" s="91"/>
    <row r="202" customFormat="1" s="91"/>
    <row r="203" customFormat="1" s="91"/>
    <row r="204" customFormat="1" s="91"/>
    <row r="205" customFormat="1" s="91"/>
    <row r="206" customFormat="1" s="91"/>
    <row r="207" customFormat="1" s="91"/>
    <row r="208" customFormat="1" s="91"/>
    <row r="209" customFormat="1" s="91"/>
    <row r="210" customFormat="1" s="91"/>
    <row r="211" customFormat="1" s="91"/>
    <row r="212" customFormat="1" s="91"/>
    <row r="213" customFormat="1" s="91"/>
    <row r="214" customFormat="1" s="91"/>
    <row r="215" customFormat="1" s="91"/>
    <row r="216" customFormat="1" s="91"/>
    <row r="217" customFormat="1" s="91"/>
    <row r="218" customFormat="1" s="91"/>
    <row r="219" customFormat="1" s="91"/>
    <row r="220" customFormat="1" s="91"/>
    <row r="221" customFormat="1" s="91"/>
    <row r="222" customFormat="1" s="91"/>
    <row r="223" customFormat="1" s="91"/>
    <row r="224" customFormat="1" s="91"/>
    <row r="225" customFormat="1" s="91"/>
    <row r="226" customFormat="1" s="91"/>
    <row r="227" customFormat="1" s="91"/>
    <row r="228" customFormat="1" s="91"/>
    <row r="229" customFormat="1" s="91"/>
    <row r="230" customFormat="1" s="91"/>
    <row r="231" customFormat="1" s="91"/>
    <row r="232" customFormat="1" s="91"/>
    <row r="233" customFormat="1" s="91"/>
    <row r="234" customFormat="1" s="91"/>
    <row r="235" customFormat="1" s="91"/>
    <row r="236" customFormat="1" s="91"/>
    <row r="237" customFormat="1" s="91"/>
    <row r="238" customFormat="1" s="91"/>
    <row r="239" customFormat="1" s="91"/>
    <row r="240" customFormat="1" s="91"/>
    <row r="241" customFormat="1" s="91"/>
    <row r="242" customFormat="1" s="91"/>
    <row r="243" customFormat="1" s="91"/>
    <row r="244" customFormat="1" s="91"/>
    <row r="245" customFormat="1" s="91"/>
    <row r="246" customFormat="1" s="91"/>
    <row r="247" customFormat="1" s="91"/>
    <row r="248" customFormat="1" s="91"/>
    <row r="249" customFormat="1" s="91"/>
    <row r="250" customFormat="1" s="91"/>
    <row r="251" customFormat="1" s="91"/>
    <row r="252" customFormat="1" s="91"/>
    <row r="253" customFormat="1" s="91"/>
    <row r="254" customFormat="1" s="91"/>
    <row r="255" customFormat="1" s="91"/>
    <row r="256" customFormat="1" s="91"/>
    <row r="257" customFormat="1" s="91"/>
    <row r="258" customFormat="1" s="91"/>
    <row r="259" customFormat="1" s="91"/>
    <row r="260" customFormat="1" s="91"/>
    <row r="261" customFormat="1" s="91"/>
    <row r="262" customFormat="1" s="91"/>
    <row r="263" customFormat="1" s="91"/>
    <row r="264" customFormat="1" s="91"/>
    <row r="265" customFormat="1" s="91"/>
    <row r="266" customFormat="1" s="91"/>
    <row r="267" customFormat="1" s="91"/>
    <row r="268" customFormat="1" s="91"/>
    <row r="269" customFormat="1" s="91"/>
    <row r="270" customFormat="1" s="91"/>
    <row r="271" customFormat="1" s="91"/>
    <row r="272" customFormat="1" s="91"/>
    <row r="273" customFormat="1" s="91"/>
    <row r="274" customFormat="1" s="91"/>
    <row r="275" customFormat="1" s="91"/>
    <row r="276" customFormat="1" s="91"/>
    <row r="277" customFormat="1" s="91"/>
    <row r="278" customFormat="1" s="91"/>
    <row r="279" customFormat="1" s="91"/>
    <row r="280" customFormat="1" s="91"/>
    <row r="281" customFormat="1" s="91"/>
    <row r="282" customFormat="1" s="91"/>
    <row r="283" customFormat="1" s="91"/>
    <row r="284" customFormat="1" s="91"/>
    <row r="285" customFormat="1" s="91"/>
    <row r="286" customFormat="1" s="91"/>
    <row r="287" customFormat="1" s="91"/>
    <row r="288" customFormat="1" s="91"/>
    <row r="289" customFormat="1" s="91"/>
    <row r="290" customFormat="1" s="91"/>
    <row r="291" customFormat="1" s="91"/>
    <row r="292" customFormat="1" s="91"/>
    <row r="293" customFormat="1" s="91"/>
    <row r="294" customFormat="1" s="91"/>
    <row r="295" customFormat="1" s="91"/>
    <row r="296" customFormat="1" s="91"/>
    <row r="297" customFormat="1" s="91"/>
    <row r="298" customFormat="1" s="91"/>
    <row r="299" customFormat="1" s="91"/>
    <row r="300" customFormat="1" s="91"/>
    <row r="301" customFormat="1" s="91"/>
    <row r="302" customFormat="1" s="91"/>
    <row r="303" customFormat="1" s="91"/>
    <row r="304" customFormat="1" s="91"/>
    <row r="305" customFormat="1" s="91"/>
    <row r="306" customFormat="1" s="91"/>
    <row r="307" customFormat="1" s="91"/>
    <row r="308" customFormat="1" s="91"/>
    <row r="309" customFormat="1" s="91"/>
    <row r="310" customFormat="1" s="91"/>
    <row r="311" customFormat="1" s="91"/>
    <row r="312" customFormat="1" s="91"/>
    <row r="313" customFormat="1" s="91"/>
    <row r="314" customFormat="1" s="91"/>
    <row r="315" customFormat="1" s="91"/>
    <row r="316" customFormat="1" s="91"/>
    <row r="317" customFormat="1" s="91"/>
    <row r="318" customFormat="1" s="91"/>
    <row r="319" customFormat="1" s="91"/>
    <row r="320" customFormat="1" s="91"/>
    <row r="321" customFormat="1" s="91"/>
    <row r="322" customFormat="1" s="91"/>
    <row r="323" customFormat="1" s="91"/>
    <row r="324" customFormat="1" s="91"/>
    <row r="325" customFormat="1" s="91"/>
    <row r="326" customFormat="1" s="91"/>
    <row r="327" customFormat="1" s="91"/>
    <row r="328" customFormat="1" s="91"/>
    <row r="329" customFormat="1" s="91"/>
    <row r="330" customFormat="1" s="91"/>
    <row r="331" customFormat="1" s="91"/>
    <row r="332" customFormat="1" s="91"/>
    <row r="333" customFormat="1" s="91"/>
    <row r="334" customFormat="1" s="91"/>
    <row r="335" customFormat="1" s="91"/>
    <row r="336" customFormat="1" s="91"/>
    <row r="337" customFormat="1" s="91"/>
    <row r="338" customFormat="1" s="91"/>
    <row r="339" customFormat="1" s="91"/>
    <row r="340" customFormat="1" s="91"/>
    <row r="341" customFormat="1" s="91"/>
    <row r="342" customFormat="1" s="91"/>
    <row r="343" customFormat="1" s="91"/>
    <row r="344" customFormat="1" s="91"/>
    <row r="345" customFormat="1" s="91"/>
    <row r="346" customFormat="1" s="91"/>
    <row r="347" customFormat="1" s="91"/>
    <row r="348" customFormat="1" s="91"/>
    <row r="349" customFormat="1" s="91"/>
    <row r="350" customFormat="1" s="91"/>
    <row r="351" customFormat="1" s="91"/>
    <row r="352" customFormat="1" s="91"/>
    <row r="353" customFormat="1" s="91"/>
    <row r="354" customFormat="1" s="91"/>
    <row r="355" customFormat="1" s="91"/>
    <row r="356" customFormat="1" s="91"/>
    <row r="357" customFormat="1" s="91"/>
    <row r="358" customFormat="1" s="91"/>
    <row r="359" customFormat="1" s="91"/>
    <row r="360" customFormat="1" s="91"/>
    <row r="361" customFormat="1" s="91"/>
    <row r="362" customFormat="1" s="91"/>
    <row r="363" customFormat="1" s="91"/>
    <row r="364" customFormat="1" s="91"/>
    <row r="365" customFormat="1" s="91"/>
    <row r="366" customFormat="1" s="91"/>
    <row r="367" customFormat="1" s="91"/>
    <row r="368" customFormat="1" s="91"/>
    <row r="369" customFormat="1" s="91"/>
    <row r="370" customFormat="1" s="91"/>
    <row r="371" customFormat="1" s="91"/>
    <row r="372" customFormat="1" s="91"/>
    <row r="373" customFormat="1" s="91"/>
    <row r="374" customFormat="1" s="91"/>
    <row r="375" customFormat="1" s="91"/>
    <row r="376" customFormat="1" s="91"/>
    <row r="377" customFormat="1" s="91"/>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L213"/>
  <sheetViews>
    <sheetView zoomScale="180" zoomScaleNormal="180" workbookViewId="0">
      <selection activeCell="M27" sqref="M27"/>
    </sheetView>
  </sheetViews>
  <sheetFormatPr baseColWidth="10" defaultColWidth="9.1640625" defaultRowHeight="15"/>
  <cols>
    <col width="9.1640625" customWidth="1" style="91" min="1" max="1"/>
    <col width="31.83203125" customWidth="1" style="91" min="2" max="2"/>
    <col width="13.83203125" customWidth="1" style="91" min="3" max="3"/>
    <col width="12.33203125" customWidth="1" style="91" min="4" max="4"/>
    <col width="18.33203125" customWidth="1" style="91" min="5" max="5"/>
    <col width="9.1640625" customWidth="1" style="91" min="6" max="14"/>
    <col width="9.1640625" customWidth="1" style="91" min="15" max="16384"/>
  </cols>
  <sheetData>
    <row r="1" ht="16" customHeight="1" s="88" thickBot="1"/>
    <row r="2" ht="17" customHeight="1" s="88" thickBot="1">
      <c r="B2" s="63" t="inlineStr">
        <is>
          <t>Country Name</t>
        </is>
      </c>
      <c r="C2" s="64" t="inlineStr">
        <is>
          <t>% World GDP</t>
        </is>
      </c>
      <c r="D2" s="63" t="inlineStr">
        <is>
          <t xml:space="preserve">GDP y/y </t>
        </is>
      </c>
      <c r="E2" s="65" t="inlineStr">
        <is>
          <t xml:space="preserve">GDP q/q </t>
        </is>
      </c>
    </row>
    <row r="3" ht="16" customHeight="1" s="88">
      <c r="B3" s="66" t="inlineStr">
        <is>
          <t>United States</t>
        </is>
      </c>
      <c r="C3" s="33">
        <f>VLOOKUP(B3,$B$33:$L$213,2,FALSE)/$C$30</f>
        <v/>
      </c>
      <c r="D3" s="34">
        <f>VLOOKUP(B3,$B$33:$L$213,3,FALSE)</f>
        <v/>
      </c>
      <c r="E3" s="35">
        <f>VLOOKUP(B3,$B$33:$L$213,4,FALSE)</f>
        <v/>
      </c>
    </row>
    <row r="4" ht="16" customHeight="1" s="88">
      <c r="B4" s="66" t="inlineStr">
        <is>
          <t>China</t>
        </is>
      </c>
      <c r="C4" s="34">
        <f>VLOOKUP(B4,$B$33:$L$213,2,FALSE)/$C$30</f>
        <v/>
      </c>
      <c r="D4" s="34">
        <f>VLOOKUP(B4,$B$33:$L$213,3,FALSE)</f>
        <v/>
      </c>
      <c r="E4" s="35">
        <f>VLOOKUP(B4,$B$33:$L$213,4,FALSE)</f>
        <v/>
      </c>
    </row>
    <row r="5" ht="16" customHeight="1" s="88">
      <c r="B5" s="66" t="inlineStr">
        <is>
          <t>Euro Area</t>
        </is>
      </c>
      <c r="C5" s="34">
        <f>VLOOKUP(B5,$B$33:$L$213,2,FALSE)/$C$30</f>
        <v/>
      </c>
      <c r="D5" s="34">
        <f>VLOOKUP(B5,$B$33:$L$213,3,FALSE)</f>
        <v/>
      </c>
      <c r="E5" s="35">
        <f>VLOOKUP(B5,$B$33:$L$213,4,FALSE)</f>
        <v/>
      </c>
    </row>
    <row r="6" ht="16" customHeight="1" s="88">
      <c r="B6" s="66" t="inlineStr">
        <is>
          <t>Japan</t>
        </is>
      </c>
      <c r="C6" s="34">
        <f>VLOOKUP(B6,$B$33:$L$213,2,FALSE)/$C$30</f>
        <v/>
      </c>
      <c r="D6" s="34">
        <f>VLOOKUP(B6,$B$33:$L$213,3,FALSE)</f>
        <v/>
      </c>
      <c r="E6" s="35">
        <f>VLOOKUP(B6,$B$33:$L$213,4,FALSE)</f>
        <v/>
      </c>
    </row>
    <row r="7" ht="16" customHeight="1" s="88">
      <c r="B7" s="66" t="inlineStr">
        <is>
          <t>Germany</t>
        </is>
      </c>
      <c r="C7" s="34">
        <f>VLOOKUP(B7,$B$33:$L$213,2,FALSE)/$C$30</f>
        <v/>
      </c>
      <c r="D7" s="34">
        <f>VLOOKUP(B7,$B$33:$L$213,3,FALSE)</f>
        <v/>
      </c>
      <c r="E7" s="35">
        <f>VLOOKUP(B7,$B$33:$L$213,4,FALSE)</f>
        <v/>
      </c>
    </row>
    <row r="8" ht="16" customHeight="1" s="88">
      <c r="B8" s="66" t="inlineStr">
        <is>
          <t>United Kingdom</t>
        </is>
      </c>
      <c r="C8" s="34">
        <f>VLOOKUP(B8,$B$33:$L$213,2,FALSE)/$C$30</f>
        <v/>
      </c>
      <c r="D8" s="34">
        <f>VLOOKUP(B8,$B$33:$L$213,3,FALSE)</f>
        <v/>
      </c>
      <c r="E8" s="35">
        <f>VLOOKUP(B8,$B$33:$L$213,4,FALSE)</f>
        <v/>
      </c>
    </row>
    <row r="9" ht="16" customHeight="1" s="88">
      <c r="B9" s="66" t="inlineStr">
        <is>
          <t>India</t>
        </is>
      </c>
      <c r="C9" s="34">
        <f>VLOOKUP(B9,$B$33:$L$213,2,FALSE)/$C$30</f>
        <v/>
      </c>
      <c r="D9" s="34">
        <f>VLOOKUP(B9,$B$33:$L$213,3,FALSE)</f>
        <v/>
      </c>
      <c r="E9" s="35">
        <f>VLOOKUP(B9,$B$33:$L$213,4,FALSE)</f>
        <v/>
      </c>
    </row>
    <row r="10" ht="16" customHeight="1" s="88">
      <c r="B10" s="66" t="inlineStr">
        <is>
          <t>France</t>
        </is>
      </c>
      <c r="C10" s="34">
        <f>VLOOKUP(B10,$B$33:$L$213,2,FALSE)/$C$30</f>
        <v/>
      </c>
      <c r="D10" s="34">
        <f>VLOOKUP(B10,$B$33:$L$213,3,FALSE)</f>
        <v/>
      </c>
      <c r="E10" s="35">
        <f>VLOOKUP(B10,$B$33:$L$213,4,FALSE)</f>
        <v/>
      </c>
    </row>
    <row r="11" ht="16" customHeight="1" s="88">
      <c r="B11" s="66" t="inlineStr">
        <is>
          <t>Brazil</t>
        </is>
      </c>
      <c r="C11" s="34">
        <f>VLOOKUP(B11,$B$33:$L$213,2,FALSE)/$C$30</f>
        <v/>
      </c>
      <c r="D11" s="34">
        <f>VLOOKUP(B11,$B$33:$L$213,3,FALSE)</f>
        <v/>
      </c>
      <c r="E11" s="35">
        <f>VLOOKUP(B11,$B$33:$L$213,4,FALSE)</f>
        <v/>
      </c>
    </row>
    <row r="12" ht="16" customHeight="1" s="88">
      <c r="B12" s="66" t="inlineStr">
        <is>
          <t>Italy</t>
        </is>
      </c>
      <c r="C12" s="34">
        <f>VLOOKUP(B12,$B$33:$L$213,2,FALSE)/$C$30</f>
        <v/>
      </c>
      <c r="D12" s="34">
        <f>VLOOKUP(B12,$B$33:$L$213,3,FALSE)</f>
        <v/>
      </c>
      <c r="E12" s="35">
        <f>VLOOKUP(B12,$B$33:$L$213,4,FALSE)</f>
        <v/>
      </c>
    </row>
    <row r="13" ht="16" customHeight="1" s="88">
      <c r="B13" s="66" t="inlineStr">
        <is>
          <t>Canada</t>
        </is>
      </c>
      <c r="C13" s="34">
        <f>VLOOKUP(B13,$B$33:$L$213,2,FALSE)/$C$30</f>
        <v/>
      </c>
      <c r="D13" s="34">
        <f>VLOOKUP(B13,$B$33:$L$213,3,FALSE)</f>
        <v/>
      </c>
      <c r="E13" s="35">
        <f>VLOOKUP(B13,$B$33:$L$213,4,FALSE)</f>
        <v/>
      </c>
    </row>
    <row r="14" ht="16" customHeight="1" s="88">
      <c r="B14" s="66" t="inlineStr">
        <is>
          <t>Russia</t>
        </is>
      </c>
      <c r="C14" s="34">
        <f>VLOOKUP(B14,$B$33:$L$213,2,FALSE)/$C$30</f>
        <v/>
      </c>
      <c r="D14" s="34">
        <f>VLOOKUP(B14,$B$33:$L$213,3,FALSE)</f>
        <v/>
      </c>
      <c r="E14" s="35">
        <f>VLOOKUP(B14,$B$33:$L$213,4,FALSE)</f>
        <v/>
      </c>
    </row>
    <row r="15" ht="16" customHeight="1" s="88">
      <c r="B15" s="66" t="inlineStr">
        <is>
          <t>South Korea</t>
        </is>
      </c>
      <c r="C15" s="34">
        <f>VLOOKUP(B15,$B$33:$L$213,2,FALSE)/$C$30</f>
        <v/>
      </c>
      <c r="D15" s="34">
        <f>VLOOKUP(B15,$B$33:$L$213,3,FALSE)</f>
        <v/>
      </c>
      <c r="E15" s="35">
        <f>VLOOKUP(B15,$B$33:$L$213,4,FALSE)</f>
        <v/>
      </c>
    </row>
    <row r="16" ht="16" customHeight="1" s="88">
      <c r="B16" s="66" t="inlineStr">
        <is>
          <t>Australia</t>
        </is>
      </c>
      <c r="C16" s="34">
        <f>VLOOKUP(B16,$B$33:$L$213,2,FALSE)/$C$30</f>
        <v/>
      </c>
      <c r="D16" s="34">
        <f>VLOOKUP(B16,$B$33:$L$213,3,FALSE)</f>
        <v/>
      </c>
      <c r="E16" s="35">
        <f>VLOOKUP(B16,$B$33:$L$213,4,FALSE)</f>
        <v/>
      </c>
    </row>
    <row r="17" ht="16" customHeight="1" s="88">
      <c r="B17" s="66" t="inlineStr">
        <is>
          <t>Spain</t>
        </is>
      </c>
      <c r="C17" s="34">
        <f>VLOOKUP(B17,$B$33:$L$213,2,FALSE)/$C$30</f>
        <v/>
      </c>
      <c r="D17" s="34">
        <f>VLOOKUP(B17,$B$33:$L$213,3,FALSE)</f>
        <v/>
      </c>
      <c r="E17" s="35">
        <f>VLOOKUP(B17,$B$33:$L$213,4,FALSE)</f>
        <v/>
      </c>
    </row>
    <row r="18" ht="16" customHeight="1" s="88">
      <c r="B18" s="66" t="inlineStr">
        <is>
          <t>Mexico</t>
        </is>
      </c>
      <c r="C18" s="34">
        <f>VLOOKUP(B18,$B$33:$L$213,2,FALSE)/$C$30</f>
        <v/>
      </c>
      <c r="D18" s="34">
        <f>VLOOKUP(B18,$B$33:$L$213,3,FALSE)</f>
        <v/>
      </c>
      <c r="E18" s="35">
        <f>VLOOKUP(B18,$B$33:$L$213,4,FALSE)</f>
        <v/>
      </c>
    </row>
    <row r="19" ht="16" customHeight="1" s="88">
      <c r="B19" s="66" t="inlineStr">
        <is>
          <t>Indonesia</t>
        </is>
      </c>
      <c r="C19" s="34">
        <f>VLOOKUP(B19,$B$33:$L$213,2,FALSE)/$C$30</f>
        <v/>
      </c>
      <c r="D19" s="34">
        <f>VLOOKUP(B19,$B$33:$L$213,3,FALSE)</f>
        <v/>
      </c>
      <c r="E19" s="35">
        <f>VLOOKUP(B19,$B$33:$L$213,4,FALSE)</f>
        <v/>
      </c>
    </row>
    <row r="20" ht="16" customHeight="1" s="88">
      <c r="B20" s="66" t="inlineStr">
        <is>
          <t>Turkey</t>
        </is>
      </c>
      <c r="C20" s="34">
        <f>VLOOKUP(B20,$B$33:$L$213,2,FALSE)/$C$30</f>
        <v/>
      </c>
      <c r="D20" s="34">
        <f>VLOOKUP(B20,$B$33:$L$213,3,FALSE)</f>
        <v/>
      </c>
      <c r="E20" s="35">
        <f>VLOOKUP(B20,$B$33:$L$213,4,FALSE)</f>
        <v/>
      </c>
    </row>
    <row r="21" ht="16" customHeight="1" s="88">
      <c r="B21" s="66" t="inlineStr">
        <is>
          <t>Taiwan</t>
        </is>
      </c>
      <c r="C21" s="34">
        <f>VLOOKUP(B21,$B$33:$L$213,2,FALSE)/$C$30</f>
        <v/>
      </c>
      <c r="D21" s="34">
        <f>VLOOKUP(B21,$B$33:$L$213,3,FALSE)</f>
        <v/>
      </c>
      <c r="E21" s="35">
        <f>VLOOKUP(B21,$B$33:$L$213,4,FALSE)</f>
        <v/>
      </c>
    </row>
    <row r="22" ht="16" customHeight="1" s="88">
      <c r="B22" s="66" t="inlineStr">
        <is>
          <t>Poland</t>
        </is>
      </c>
      <c r="C22" s="34">
        <f>VLOOKUP(B22,$B$33:$L$213,2,FALSE)/$C$30</f>
        <v/>
      </c>
      <c r="D22" s="34">
        <f>VLOOKUP(B22,$B$33:$L$213,3,FALSE)</f>
        <v/>
      </c>
      <c r="E22" s="35">
        <f>VLOOKUP(B22,$B$33:$L$213,4,FALSE)</f>
        <v/>
      </c>
    </row>
    <row r="23" ht="16" customHeight="1" s="88">
      <c r="B23" s="66" t="inlineStr">
        <is>
          <t>Ireland</t>
        </is>
      </c>
      <c r="C23" s="34">
        <f>VLOOKUP(B23,$B$33:$L$213,2,FALSE)/$C$30</f>
        <v/>
      </c>
      <c r="D23" s="34">
        <f>VLOOKUP(B23,$B$33:$L$213,3,FALSE)</f>
        <v/>
      </c>
      <c r="E23" s="35">
        <f>VLOOKUP(B23,$B$33:$L$213,4,FALSE)</f>
        <v/>
      </c>
    </row>
    <row r="24" ht="16" customHeight="1" s="88">
      <c r="B24" s="66" t="inlineStr">
        <is>
          <t>Denmark</t>
        </is>
      </c>
      <c r="C24" s="34">
        <f>VLOOKUP(B24,$B$33:$L$213,2,FALSE)/$C$30</f>
        <v/>
      </c>
      <c r="D24" s="34">
        <f>VLOOKUP(B24,$B$33:$L$213,3,FALSE)</f>
        <v/>
      </c>
      <c r="E24" s="35">
        <f>VLOOKUP(B24,$B$33:$L$213,4,FALSE)</f>
        <v/>
      </c>
      <c r="H24" s="68" t="inlineStr">
        <is>
          <t>https://tradingeconomics.com/</t>
        </is>
      </c>
    </row>
    <row r="25" ht="16" customHeight="1" s="88">
      <c r="B25" s="66" t="inlineStr">
        <is>
          <t>Czech Republic</t>
        </is>
      </c>
      <c r="C25" s="34">
        <f>VLOOKUP(B25,$B$33:$L$213,2,FALSE)/$C$30</f>
        <v/>
      </c>
      <c r="D25" s="34">
        <f>VLOOKUP(B25,$B$33:$L$213,3,FALSE)</f>
        <v/>
      </c>
      <c r="E25" s="35">
        <f>VLOOKUP(B25,$B$33:$L$213,4,FALSE)</f>
        <v/>
      </c>
      <c r="H25" s="91" t="inlineStr">
        <is>
          <t>Expand Table: + Button</t>
        </is>
      </c>
    </row>
    <row r="26" ht="16" customHeight="1" s="88">
      <c r="B26" s="66" t="inlineStr">
        <is>
          <t>New Zealand</t>
        </is>
      </c>
      <c r="C26" s="34">
        <f>VLOOKUP(B26,$B$33:$L$213,2,FALSE)/$C$30</f>
        <v/>
      </c>
      <c r="D26" s="34">
        <f>VLOOKUP(B26,$B$33:$L$213,3,FALSE)</f>
        <v/>
      </c>
      <c r="E26" s="35">
        <f>VLOOKUP(B26,$B$33:$L$213,4,FALSE)</f>
        <v/>
      </c>
      <c r="H26" s="91" t="inlineStr">
        <is>
          <t>Copy And paste in B33 without hyperlinks</t>
        </is>
      </c>
    </row>
    <row r="27" ht="17" customHeight="1" s="88" thickBot="1">
      <c r="B27" s="67" t="inlineStr">
        <is>
          <t>Greece</t>
        </is>
      </c>
      <c r="C27" s="36">
        <f>VLOOKUP(B27,$B$33:$L$213,2,FALSE)/$C$30</f>
        <v/>
      </c>
      <c r="D27" s="36">
        <f>VLOOKUP(B27,$B$33:$L$213,3,FALSE)</f>
        <v/>
      </c>
      <c r="E27" s="37">
        <f>VLOOKUP(B27,$B$33:$L$213,4,FALSE)</f>
        <v/>
      </c>
    </row>
    <row r="29">
      <c r="C29" s="91">
        <f>SUM(C33:C213)</f>
        <v/>
      </c>
    </row>
    <row r="30">
      <c r="B30" s="91" t="inlineStr">
        <is>
          <t>World GDP</t>
        </is>
      </c>
      <c r="C30" s="91">
        <f>C29-VLOOKUP("Euro Area",B33:C213,2,)</f>
        <v/>
      </c>
    </row>
    <row r="31" ht="16" customHeight="1" s="88" thickBot="1">
      <c r="B31" s="103" t="n"/>
      <c r="C31" s="91" t="inlineStr">
        <is>
          <t>GDP</t>
        </is>
      </c>
      <c r="D31" s="91" t="inlineStr">
        <is>
          <t>GDP YoY</t>
        </is>
      </c>
      <c r="E31" s="91" t="inlineStr">
        <is>
          <t>GDP QoQ</t>
        </is>
      </c>
      <c r="F31" s="91" t="inlineStr">
        <is>
          <t>Interest rate</t>
        </is>
      </c>
      <c r="G31" s="91" t="inlineStr">
        <is>
          <t>Inflation rate</t>
        </is>
      </c>
      <c r="H31" s="91" t="inlineStr">
        <is>
          <t>Jobless rate</t>
        </is>
      </c>
      <c r="I31" s="91" t="inlineStr">
        <is>
          <t>Gov. Budget</t>
        </is>
      </c>
      <c r="J31" s="91" t="inlineStr">
        <is>
          <t>Debt/GDP</t>
        </is>
      </c>
      <c r="K31" s="91" t="inlineStr">
        <is>
          <t>Current Account</t>
        </is>
      </c>
      <c r="L31" s="91" t="inlineStr">
        <is>
          <t>Population</t>
        </is>
      </c>
    </row>
    <row r="32" ht="16" customHeight="1" s="88" thickBot="1">
      <c r="B32" s="104" t="n"/>
    </row>
    <row r="33">
      <c r="B33" t="inlineStr">
        <is>
          <t>United States</t>
        </is>
      </c>
      <c r="C33" t="n">
        <v>20937</v>
      </c>
      <c r="D33" t="n">
        <v>0.122</v>
      </c>
      <c r="E33" t="n">
        <v>0.066</v>
      </c>
      <c r="F33" t="n">
        <v>0.0025</v>
      </c>
      <c r="G33" t="n">
        <v>0.053</v>
      </c>
      <c r="H33" t="n">
        <v>0.052</v>
      </c>
      <c r="I33" t="n">
        <v>-0.149</v>
      </c>
      <c r="J33" t="n">
        <v>1.076</v>
      </c>
      <c r="K33" t="n">
        <v>-3.1</v>
      </c>
      <c r="L33" t="n">
        <v>98.56</v>
      </c>
    </row>
    <row r="34">
      <c r="B34" t="inlineStr">
        <is>
          <t>China</t>
        </is>
      </c>
      <c r="C34" t="n">
        <v>14723</v>
      </c>
      <c r="D34" t="n">
        <v>0.079</v>
      </c>
      <c r="E34" t="n">
        <v>0.013</v>
      </c>
      <c r="F34" t="n">
        <v>0.0385</v>
      </c>
      <c r="G34" t="n">
        <v>0.008</v>
      </c>
      <c r="H34" t="n">
        <v>0.051</v>
      </c>
      <c r="I34" t="n">
        <v>-0.037</v>
      </c>
      <c r="J34" t="n">
        <v>0.668</v>
      </c>
      <c r="K34" t="n">
        <v>1.9</v>
      </c>
      <c r="L34" t="n">
        <v>7.08</v>
      </c>
    </row>
    <row r="35">
      <c r="B35" t="inlineStr">
        <is>
          <t>Euro Area</t>
        </is>
      </c>
      <c r="C35" t="n">
        <v>12933</v>
      </c>
      <c r="D35" t="n">
        <v>0.143</v>
      </c>
      <c r="E35" t="n">
        <v>0.022</v>
      </c>
      <c r="F35" t="n">
        <v>0</v>
      </c>
      <c r="G35" t="n">
        <v>0.03</v>
      </c>
      <c r="H35" t="n">
        <v>0.076</v>
      </c>
      <c r="I35" t="n">
        <v>-0.07199999999999999</v>
      </c>
      <c r="J35" t="n">
        <v>0.98</v>
      </c>
      <c r="K35" t="n">
        <v>3</v>
      </c>
      <c r="L35" t="n">
        <v>1.11</v>
      </c>
    </row>
    <row r="36">
      <c r="B36" t="inlineStr">
        <is>
          <t>Japan</t>
        </is>
      </c>
      <c r="C36" t="n">
        <v>5065</v>
      </c>
      <c r="D36" t="n">
        <v>0.076</v>
      </c>
      <c r="E36" t="n">
        <v>0.005</v>
      </c>
      <c r="F36" t="n">
        <v>-0.001</v>
      </c>
      <c r="G36" t="n">
        <v>-0.004</v>
      </c>
      <c r="H36" t="n">
        <v>0.028</v>
      </c>
      <c r="I36" t="n">
        <v>-0.126</v>
      </c>
      <c r="J36" t="n">
        <v>2.662</v>
      </c>
      <c r="K36" t="n">
        <v>3.2</v>
      </c>
      <c r="L36" t="n">
        <v>108.19</v>
      </c>
    </row>
    <row r="37">
      <c r="B37" t="inlineStr">
        <is>
          <t>Germany</t>
        </is>
      </c>
      <c r="C37" t="n">
        <v>3806</v>
      </c>
      <c r="D37" t="n">
        <v>0.094</v>
      </c>
      <c r="E37" t="n">
        <v>0.016</v>
      </c>
      <c r="F37" t="n">
        <v>0</v>
      </c>
      <c r="G37" t="n">
        <v>0.039</v>
      </c>
      <c r="H37" t="n">
        <v>0.036</v>
      </c>
      <c r="I37" t="n">
        <v>-0.042</v>
      </c>
      <c r="J37" t="n">
        <v>0.698</v>
      </c>
      <c r="K37" t="n">
        <v>7</v>
      </c>
      <c r="L37" t="n">
        <v>1.11</v>
      </c>
    </row>
    <row r="38">
      <c r="B38" t="inlineStr">
        <is>
          <t>United Kingdom</t>
        </is>
      </c>
      <c r="C38" t="n">
        <v>2708</v>
      </c>
      <c r="D38" t="n">
        <v>0.222</v>
      </c>
      <c r="E38" t="n">
        <v>0.048</v>
      </c>
      <c r="F38" t="n">
        <v>0.001</v>
      </c>
      <c r="G38" t="n">
        <v>0.032</v>
      </c>
      <c r="H38" t="n">
        <v>0.046</v>
      </c>
      <c r="I38" t="n">
        <v>-0.142</v>
      </c>
      <c r="J38" t="n">
        <v>0.972</v>
      </c>
      <c r="K38" t="n">
        <v>-3.5</v>
      </c>
      <c r="L38" t="n">
        <v>1.25</v>
      </c>
    </row>
    <row r="39">
      <c r="B39" t="inlineStr">
        <is>
          <t>India</t>
        </is>
      </c>
      <c r="C39" t="n">
        <v>2623</v>
      </c>
      <c r="D39" t="n">
        <v>0.201</v>
      </c>
      <c r="E39" t="n">
        <v>0.021</v>
      </c>
      <c r="F39" t="n">
        <v>0.04</v>
      </c>
      <c r="G39" t="n">
        <v>0.053</v>
      </c>
      <c r="H39" t="n">
        <v>0.07000000000000001</v>
      </c>
      <c r="I39" t="n">
        <v>-0.094</v>
      </c>
      <c r="J39" t="n">
        <v>0.6962</v>
      </c>
      <c r="K39" t="n">
        <v>0.9</v>
      </c>
      <c r="L39" t="n">
        <v>71.01000000000001</v>
      </c>
    </row>
    <row r="40">
      <c r="B40" t="inlineStr">
        <is>
          <t>France</t>
        </is>
      </c>
      <c r="C40" t="n">
        <v>2603</v>
      </c>
      <c r="D40" t="n">
        <v>0.187</v>
      </c>
      <c r="E40" t="n">
        <v>0.011</v>
      </c>
      <c r="F40" t="n">
        <v>0</v>
      </c>
      <c r="G40" t="n">
        <v>0.019</v>
      </c>
      <c r="H40" t="n">
        <v>0.08</v>
      </c>
      <c r="I40" t="n">
        <v>-0.092</v>
      </c>
      <c r="J40" t="n">
        <v>1.157</v>
      </c>
      <c r="K40" t="n">
        <v>-1.9</v>
      </c>
      <c r="L40" t="n">
        <v>1.11</v>
      </c>
    </row>
    <row r="41">
      <c r="B41" t="inlineStr">
        <is>
          <t>Italy</t>
        </is>
      </c>
      <c r="C41" t="n">
        <v>1886</v>
      </c>
      <c r="D41" t="n">
        <v>0.173</v>
      </c>
      <c r="E41" t="n">
        <v>0.027</v>
      </c>
      <c r="F41" t="n">
        <v>0</v>
      </c>
      <c r="G41" t="n">
        <v>0.02</v>
      </c>
      <c r="H41" t="n">
        <v>0.093</v>
      </c>
      <c r="I41" t="n">
        <v>-0.095</v>
      </c>
      <c r="J41" t="n">
        <v>1.558</v>
      </c>
      <c r="K41" t="n">
        <v>3.6</v>
      </c>
      <c r="L41" t="n">
        <v>1.11</v>
      </c>
    </row>
    <row r="42">
      <c r="B42" t="inlineStr">
        <is>
          <t>Canada</t>
        </is>
      </c>
      <c r="C42" t="n">
        <v>1643</v>
      </c>
      <c r="D42" t="n">
        <v>0.127</v>
      </c>
      <c r="E42" t="n">
        <v>-0.003</v>
      </c>
      <c r="F42" t="n">
        <v>0.0025</v>
      </c>
      <c r="G42" t="n">
        <v>0.041</v>
      </c>
      <c r="H42" t="n">
        <v>0.07099999999999999</v>
      </c>
      <c r="I42" t="n">
        <v>-0.159</v>
      </c>
      <c r="J42" t="n">
        <v>1.178</v>
      </c>
      <c r="K42" t="n">
        <v>-1.9</v>
      </c>
      <c r="L42" t="n">
        <v>1.33</v>
      </c>
    </row>
    <row r="43">
      <c r="B43" t="inlineStr">
        <is>
          <t>South Korea</t>
        </is>
      </c>
      <c r="C43" t="n">
        <v>1631</v>
      </c>
      <c r="D43" t="n">
        <v>0.06</v>
      </c>
      <c r="E43" t="n">
        <v>0.008</v>
      </c>
      <c r="F43" t="n">
        <v>0.0075</v>
      </c>
      <c r="G43" t="n">
        <v>0.026</v>
      </c>
      <c r="H43" t="n">
        <v>0.028</v>
      </c>
      <c r="I43" t="n">
        <v>-0.061</v>
      </c>
      <c r="J43" t="n">
        <v>0.426</v>
      </c>
      <c r="K43" t="n">
        <v>3.5</v>
      </c>
      <c r="L43" t="n">
        <v>1145.85</v>
      </c>
    </row>
    <row r="44">
      <c r="B44" t="inlineStr">
        <is>
          <t>Russia</t>
        </is>
      </c>
      <c r="C44" t="n">
        <v>1484</v>
      </c>
      <c r="D44" t="n">
        <v>0.105</v>
      </c>
      <c r="E44" t="n">
        <v>0</v>
      </c>
      <c r="F44" t="n">
        <v>0.0675</v>
      </c>
      <c r="G44" t="n">
        <v>0.0668</v>
      </c>
      <c r="H44" t="n">
        <v>0.045</v>
      </c>
      <c r="I44" t="n">
        <v>-0.038</v>
      </c>
      <c r="J44" t="n">
        <v>0.178</v>
      </c>
      <c r="K44" t="n">
        <v>2.4</v>
      </c>
      <c r="L44" t="n">
        <v>64.34999999999999</v>
      </c>
    </row>
    <row r="45">
      <c r="B45" t="inlineStr">
        <is>
          <t>Brazil</t>
        </is>
      </c>
      <c r="C45" t="n">
        <v>1445</v>
      </c>
      <c r="D45" t="n">
        <v>0.124</v>
      </c>
      <c r="E45" t="n">
        <v>-0.001</v>
      </c>
      <c r="F45" t="n">
        <v>0.0625</v>
      </c>
      <c r="G45" t="n">
        <v>0.0968</v>
      </c>
      <c r="H45" t="n">
        <v>0.141</v>
      </c>
      <c r="I45" t="n">
        <v>-0.134</v>
      </c>
      <c r="J45" t="n">
        <v>0.8883</v>
      </c>
      <c r="K45" t="n">
        <v>-0.72</v>
      </c>
      <c r="L45" t="n">
        <v>4.07</v>
      </c>
    </row>
    <row r="46">
      <c r="B46" t="inlineStr">
        <is>
          <t>Australia</t>
        </is>
      </c>
      <c r="C46" t="n">
        <v>1331</v>
      </c>
      <c r="D46" t="n">
        <v>0.096</v>
      </c>
      <c r="E46" t="n">
        <v>0.007</v>
      </c>
      <c r="F46" t="n">
        <v>0.001</v>
      </c>
      <c r="G46" t="n">
        <v>0.038</v>
      </c>
      <c r="H46" t="n">
        <v>0.045</v>
      </c>
      <c r="I46" t="n">
        <v>-0.043</v>
      </c>
      <c r="J46" t="n">
        <v>0.248</v>
      </c>
      <c r="K46" t="n">
        <v>2.5</v>
      </c>
      <c r="L46" t="n">
        <v>0.68</v>
      </c>
    </row>
    <row r="47">
      <c r="B47" t="inlineStr">
        <is>
          <t>Spain</t>
        </is>
      </c>
      <c r="C47" t="n">
        <v>1281</v>
      </c>
      <c r="D47" t="n">
        <v>0.175</v>
      </c>
      <c r="E47" t="n">
        <v>0.011</v>
      </c>
      <c r="F47" t="n">
        <v>0</v>
      </c>
      <c r="G47" t="n">
        <v>0.033</v>
      </c>
      <c r="H47" t="n">
        <v>0.1526</v>
      </c>
      <c r="I47" t="n">
        <v>-0.11</v>
      </c>
      <c r="J47" t="n">
        <v>1.2</v>
      </c>
      <c r="K47" t="n">
        <v>0.7</v>
      </c>
      <c r="L47" t="n">
        <v>1.11</v>
      </c>
    </row>
    <row r="48">
      <c r="B48" t="inlineStr">
        <is>
          <t>Mexico</t>
        </is>
      </c>
      <c r="C48" t="n">
        <v>1076</v>
      </c>
      <c r="D48" t="n">
        <v>0.196</v>
      </c>
      <c r="E48" t="n">
        <v>0.015</v>
      </c>
      <c r="F48" t="n">
        <v>0.045</v>
      </c>
      <c r="G48" t="n">
        <v>0.0559</v>
      </c>
      <c r="H48" t="n">
        <v>0.043</v>
      </c>
      <c r="I48" t="n">
        <v>-0.046</v>
      </c>
      <c r="J48" t="n">
        <v>0.521</v>
      </c>
      <c r="K48" t="n">
        <v>2.4</v>
      </c>
      <c r="L48" t="n">
        <v>19.36</v>
      </c>
    </row>
    <row r="49">
      <c r="B49" t="inlineStr">
        <is>
          <t>Indonesia</t>
        </is>
      </c>
      <c r="C49" t="n">
        <v>1058</v>
      </c>
      <c r="D49" t="n">
        <v>0.0707</v>
      </c>
      <c r="E49" t="n">
        <v>0.0331</v>
      </c>
      <c r="F49" t="n">
        <v>0.035</v>
      </c>
      <c r="G49" t="n">
        <v>0.0159</v>
      </c>
      <c r="H49" t="n">
        <v>0.0626</v>
      </c>
      <c r="I49" t="n">
        <v>-0.065</v>
      </c>
      <c r="J49" t="n">
        <v>0.385</v>
      </c>
      <c r="K49" t="n">
        <v>-0.44</v>
      </c>
      <c r="L49" t="n">
        <v>14462</v>
      </c>
    </row>
    <row r="50">
      <c r="B50" t="inlineStr">
        <is>
          <t>Netherlands</t>
        </is>
      </c>
      <c r="C50" t="n">
        <v>912</v>
      </c>
      <c r="D50" t="n">
        <v>0.104</v>
      </c>
      <c r="E50" t="n">
        <v>0.038</v>
      </c>
      <c r="F50" t="n">
        <v>0</v>
      </c>
      <c r="G50" t="n">
        <v>0.024</v>
      </c>
      <c r="H50" t="n">
        <v>0.032</v>
      </c>
      <c r="I50" t="n">
        <v>-0.043</v>
      </c>
      <c r="J50" t="n">
        <v>0.545</v>
      </c>
      <c r="K50" t="n">
        <v>7.8</v>
      </c>
      <c r="L50" t="n">
        <v>1.11</v>
      </c>
    </row>
    <row r="51">
      <c r="B51" t="inlineStr">
        <is>
          <t>Switzerland</t>
        </is>
      </c>
      <c r="C51" t="n">
        <v>748</v>
      </c>
      <c r="D51" t="n">
        <v>0.077</v>
      </c>
      <c r="E51" t="n">
        <v>0.018</v>
      </c>
      <c r="F51" t="n">
        <v>-0.0075</v>
      </c>
      <c r="G51" t="n">
        <v>0.008999999999999999</v>
      </c>
      <c r="H51" t="n">
        <v>0.027</v>
      </c>
      <c r="I51" t="n">
        <v>-0.026</v>
      </c>
      <c r="J51" t="n">
        <v>0.429</v>
      </c>
      <c r="K51" t="n">
        <v>3.8</v>
      </c>
      <c r="L51" t="n">
        <v>0.92</v>
      </c>
    </row>
    <row r="52">
      <c r="B52" t="inlineStr">
        <is>
          <t>Turkey</t>
        </is>
      </c>
      <c r="C52" t="n">
        <v>720</v>
      </c>
      <c r="D52" t="n">
        <v>0.217</v>
      </c>
      <c r="E52" t="n">
        <v>0.008999999999999999</v>
      </c>
      <c r="F52" t="n">
        <v>0.18</v>
      </c>
      <c r="G52" t="n">
        <v>0.1925</v>
      </c>
      <c r="H52" t="n">
        <v>0.12</v>
      </c>
      <c r="I52" t="n">
        <v>-0.034</v>
      </c>
      <c r="J52" t="n">
        <v>0.395</v>
      </c>
      <c r="K52" t="n">
        <v>-5.1</v>
      </c>
      <c r="L52" t="n">
        <v>8.619999999999999</v>
      </c>
    </row>
    <row r="53">
      <c r="B53" t="inlineStr">
        <is>
          <t>Saudi Arabia</t>
        </is>
      </c>
      <c r="C53" t="n">
        <v>700</v>
      </c>
      <c r="D53" t="n">
        <v>0.018</v>
      </c>
      <c r="E53" t="n">
        <v>0.006</v>
      </c>
      <c r="F53" t="n">
        <v>0.01</v>
      </c>
      <c r="G53" t="n">
        <v>0.003</v>
      </c>
      <c r="H53" t="n">
        <v>0.065</v>
      </c>
      <c r="I53" t="n">
        <v>-0.112</v>
      </c>
      <c r="J53" t="n">
        <v>0.325</v>
      </c>
      <c r="K53" t="n">
        <v>-2.8</v>
      </c>
      <c r="L53" t="n">
        <v>3.75</v>
      </c>
    </row>
    <row r="54">
      <c r="B54" t="inlineStr">
        <is>
          <t>Taiwan</t>
        </is>
      </c>
      <c r="C54" t="n">
        <v>611</v>
      </c>
      <c r="D54" t="n">
        <v>0.0743</v>
      </c>
      <c r="E54" t="n">
        <v>-0.0107</v>
      </c>
      <c r="F54" t="n">
        <v>0.0113</v>
      </c>
      <c r="G54" t="n">
        <v>0.0236</v>
      </c>
      <c r="H54" t="n">
        <v>0.0408</v>
      </c>
      <c r="I54" t="n">
        <v>-0.045</v>
      </c>
      <c r="J54" t="n">
        <v>0.282</v>
      </c>
      <c r="K54" t="n">
        <v>9.5</v>
      </c>
      <c r="L54" t="n">
        <v>28.02</v>
      </c>
    </row>
    <row r="55">
      <c r="B55" t="inlineStr">
        <is>
          <t>Poland</t>
        </is>
      </c>
      <c r="C55" t="n">
        <v>594</v>
      </c>
      <c r="D55" t="n">
        <v>0.111</v>
      </c>
      <c r="E55" t="n">
        <v>0.021</v>
      </c>
      <c r="F55" t="n">
        <v>0.001</v>
      </c>
      <c r="G55" t="n">
        <v>0.055</v>
      </c>
      <c r="H55" t="n">
        <v>0.058</v>
      </c>
      <c r="I55" t="n">
        <v>-0.07000000000000001</v>
      </c>
      <c r="J55" t="n">
        <v>0.575</v>
      </c>
      <c r="K55" t="n">
        <v>3.6</v>
      </c>
      <c r="L55" t="n">
        <v>3.89</v>
      </c>
    </row>
    <row r="56">
      <c r="B56" t="inlineStr">
        <is>
          <t>Sweden</t>
        </is>
      </c>
      <c r="C56" t="n">
        <v>538</v>
      </c>
      <c r="D56" t="n">
        <v>0.097</v>
      </c>
      <c r="E56" t="n">
        <v>0.008999999999999999</v>
      </c>
      <c r="F56" t="n">
        <v>0</v>
      </c>
      <c r="G56" t="n">
        <v>0.021</v>
      </c>
      <c r="H56" t="n">
        <v>0.08500000000000001</v>
      </c>
      <c r="I56" t="n">
        <v>-0.031</v>
      </c>
      <c r="J56" t="n">
        <v>0.399</v>
      </c>
      <c r="K56" t="n">
        <v>5.2</v>
      </c>
      <c r="L56" t="n">
        <v>8.65</v>
      </c>
    </row>
    <row r="57">
      <c r="B57" t="inlineStr">
        <is>
          <t>Belgium</t>
        </is>
      </c>
      <c r="C57" t="n">
        <v>515</v>
      </c>
      <c r="D57" t="n">
        <v>0.149</v>
      </c>
      <c r="E57" t="n">
        <v>0.017</v>
      </c>
      <c r="F57" t="n">
        <v>0</v>
      </c>
      <c r="G57" t="n">
        <v>0.0273</v>
      </c>
      <c r="H57" t="n">
        <v>0.059</v>
      </c>
      <c r="I57" t="n">
        <v>-0.094</v>
      </c>
      <c r="J57" t="n">
        <v>1.141</v>
      </c>
      <c r="K57" t="n">
        <v>-0.2</v>
      </c>
      <c r="L57" t="n">
        <v>1.11</v>
      </c>
    </row>
    <row r="58">
      <c r="B58" t="inlineStr">
        <is>
          <t>Thailand</t>
        </is>
      </c>
      <c r="C58" t="n">
        <v>502</v>
      </c>
      <c r="D58" t="n">
        <v>0.075</v>
      </c>
      <c r="E58" t="n">
        <v>0.004</v>
      </c>
      <c r="F58" t="n">
        <v>0.005</v>
      </c>
      <c r="G58" t="n">
        <v>-0.0002</v>
      </c>
      <c r="H58" t="n">
        <v>0.019</v>
      </c>
      <c r="I58" t="n">
        <v>-0.061</v>
      </c>
      <c r="J58" t="n">
        <v>0.505</v>
      </c>
      <c r="K58" t="n">
        <v>4.2</v>
      </c>
      <c r="L58" t="n">
        <v>32.64</v>
      </c>
    </row>
    <row r="59">
      <c r="B59" t="inlineStr">
        <is>
          <t>Venezuela</t>
        </is>
      </c>
      <c r="C59" t="n">
        <v>482</v>
      </c>
      <c r="D59" t="n">
        <v>-0.268</v>
      </c>
      <c r="E59" t="n">
        <v>-0.237</v>
      </c>
      <c r="F59" t="n">
        <v>0.5406</v>
      </c>
      <c r="G59" t="n">
        <v>27.195</v>
      </c>
      <c r="H59" t="n">
        <v>0.064</v>
      </c>
      <c r="I59" t="n">
        <v>-0.299</v>
      </c>
      <c r="J59" t="n">
        <v>3.5</v>
      </c>
      <c r="K59" t="n">
        <v>-3.5</v>
      </c>
      <c r="L59" t="n">
        <v>971748.8</v>
      </c>
    </row>
    <row r="60">
      <c r="B60" t="inlineStr">
        <is>
          <t>Nigeria</t>
        </is>
      </c>
      <c r="C60" t="n">
        <v>432</v>
      </c>
      <c r="D60" t="n">
        <v>0.05</v>
      </c>
      <c r="E60" t="n">
        <v>-0.139</v>
      </c>
      <c r="F60" t="n">
        <v>0.115</v>
      </c>
      <c r="G60" t="n">
        <v>0.1701</v>
      </c>
      <c r="H60" t="n">
        <v>0.333</v>
      </c>
      <c r="I60" t="n">
        <v>-0.038</v>
      </c>
      <c r="J60" t="n">
        <v>0.3498</v>
      </c>
      <c r="K60" t="n">
        <v>-4.2</v>
      </c>
      <c r="L60" t="n">
        <v>411</v>
      </c>
    </row>
    <row r="61">
      <c r="B61" t="inlineStr">
        <is>
          <t>Austria</t>
        </is>
      </c>
      <c r="C61" t="n">
        <v>429</v>
      </c>
      <c r="D61" t="n">
        <v>0.12</v>
      </c>
      <c r="E61" t="n">
        <v>0.036</v>
      </c>
      <c r="F61" t="n">
        <v>0</v>
      </c>
      <c r="G61" t="n">
        <v>0.032</v>
      </c>
      <c r="H61" t="n">
        <v>0.06900000000000001</v>
      </c>
      <c r="I61" t="n">
        <v>-0.089</v>
      </c>
      <c r="J61" t="n">
        <v>0.839</v>
      </c>
      <c r="K61" t="n">
        <v>2.5</v>
      </c>
      <c r="L61" t="n">
        <v>1.11</v>
      </c>
    </row>
    <row r="62">
      <c r="B62" t="inlineStr">
        <is>
          <t>United Arab Emirates</t>
        </is>
      </c>
      <c r="C62" t="n">
        <v>421</v>
      </c>
      <c r="D62" t="n">
        <v>-0.061</v>
      </c>
      <c r="E62" t="n">
        <v>0.02</v>
      </c>
      <c r="F62" t="n">
        <v>0.015</v>
      </c>
      <c r="G62" t="n">
        <v>-0.0002</v>
      </c>
      <c r="H62" t="n">
        <v>0.05</v>
      </c>
      <c r="I62" t="n">
        <v>-0.008</v>
      </c>
      <c r="J62" t="n">
        <v>0.369</v>
      </c>
      <c r="K62" t="n">
        <v>5.9</v>
      </c>
      <c r="L62" t="n">
        <v>3.67</v>
      </c>
    </row>
    <row r="63">
      <c r="B63" t="inlineStr">
        <is>
          <t>Ireland</t>
        </is>
      </c>
      <c r="C63" t="n">
        <v>419</v>
      </c>
      <c r="D63" t="n">
        <v>0.216</v>
      </c>
      <c r="E63" t="n">
        <v>0.063</v>
      </c>
      <c r="F63" t="n">
        <v>0</v>
      </c>
      <c r="G63" t="n">
        <v>0.028</v>
      </c>
      <c r="H63" t="n">
        <v>0.064</v>
      </c>
      <c r="I63" t="n">
        <v>-0.05</v>
      </c>
      <c r="J63" t="n">
        <v>0.595</v>
      </c>
      <c r="K63" t="n">
        <v>4.6</v>
      </c>
      <c r="L63" t="n">
        <v>1.11</v>
      </c>
    </row>
    <row r="64">
      <c r="B64" t="inlineStr">
        <is>
          <t>Israel</t>
        </is>
      </c>
      <c r="C64" t="n">
        <v>402</v>
      </c>
      <c r="D64" t="n">
        <v>0.15</v>
      </c>
      <c r="E64" t="n">
        <v>0.0392</v>
      </c>
      <c r="F64" t="n">
        <v>0.001</v>
      </c>
      <c r="G64" t="n">
        <v>0.022</v>
      </c>
      <c r="H64" t="n">
        <v>0.05</v>
      </c>
      <c r="I64" t="n">
        <v>-0.117</v>
      </c>
      <c r="J64" t="n">
        <v>0.711</v>
      </c>
      <c r="K64" t="n">
        <v>4.9</v>
      </c>
      <c r="L64" t="n">
        <v>3.28</v>
      </c>
    </row>
    <row r="65">
      <c r="B65" t="inlineStr">
        <is>
          <t>Argentina</t>
        </is>
      </c>
      <c r="C65" t="n">
        <v>383</v>
      </c>
      <c r="D65" t="n">
        <v>0.179</v>
      </c>
      <c r="E65" t="n">
        <v>-0.014</v>
      </c>
      <c r="F65" t="n">
        <v>0.38</v>
      </c>
      <c r="G65" t="n">
        <v>0.514</v>
      </c>
      <c r="H65" t="n">
        <v>0.096</v>
      </c>
      <c r="I65" t="n">
        <v>-0.08500000000000001</v>
      </c>
      <c r="J65" t="n">
        <v>1.02</v>
      </c>
      <c r="K65" t="n">
        <v>1</v>
      </c>
      <c r="L65" t="n">
        <v>96.12</v>
      </c>
    </row>
    <row r="66">
      <c r="B66" t="inlineStr">
        <is>
          <t>Egypt</t>
        </is>
      </c>
      <c r="C66" t="n">
        <v>363</v>
      </c>
      <c r="D66" t="n">
        <v>0.029</v>
      </c>
      <c r="E66" t="n">
        <v>0.029</v>
      </c>
      <c r="F66" t="n">
        <v>0.0825</v>
      </c>
      <c r="G66" t="n">
        <v>0.057</v>
      </c>
      <c r="H66" t="n">
        <v>0.073</v>
      </c>
      <c r="I66" t="n">
        <v>-0.09</v>
      </c>
      <c r="J66" t="n">
        <v>0.88</v>
      </c>
      <c r="K66" t="n">
        <v>-3.5</v>
      </c>
      <c r="L66" t="n">
        <v>15.64</v>
      </c>
    </row>
    <row r="67">
      <c r="B67" t="inlineStr">
        <is>
          <t>Norway</t>
        </is>
      </c>
      <c r="C67" t="n">
        <v>362</v>
      </c>
      <c r="D67" t="n">
        <v>0.061</v>
      </c>
      <c r="E67" t="n">
        <v>0.011</v>
      </c>
      <c r="F67" t="n">
        <v>0.0025</v>
      </c>
      <c r="G67" t="n">
        <v>0.034</v>
      </c>
      <c r="H67" t="n">
        <v>0.051</v>
      </c>
      <c r="I67" t="n">
        <v>-0.034</v>
      </c>
      <c r="J67" t="n">
        <v>0.46</v>
      </c>
      <c r="K67" t="n">
        <v>2</v>
      </c>
      <c r="L67" t="n">
        <v>8.93</v>
      </c>
    </row>
    <row r="68">
      <c r="B68" t="inlineStr">
        <is>
          <t>Philippines</t>
        </is>
      </c>
      <c r="C68" t="n">
        <v>361</v>
      </c>
      <c r="D68" t="n">
        <v>0.118</v>
      </c>
      <c r="E68" t="n">
        <v>-0.013</v>
      </c>
      <c r="F68" t="n">
        <v>0.02</v>
      </c>
      <c r="G68" t="n">
        <v>0.049</v>
      </c>
      <c r="H68" t="n">
        <v>0.06900000000000001</v>
      </c>
      <c r="I68" t="n">
        <v>-0.075</v>
      </c>
      <c r="J68" t="n">
        <v>0.535</v>
      </c>
      <c r="K68" t="n">
        <v>3.6</v>
      </c>
      <c r="L68" t="n">
        <v>50.07</v>
      </c>
    </row>
    <row r="69">
      <c r="B69" t="inlineStr">
        <is>
          <t>Denmark</t>
        </is>
      </c>
      <c r="C69" t="n">
        <v>352</v>
      </c>
      <c r="D69" t="n">
        <v>0.08500000000000001</v>
      </c>
      <c r="E69" t="n">
        <v>0.023</v>
      </c>
      <c r="F69" t="n">
        <v>-0.005</v>
      </c>
      <c r="G69" t="n">
        <v>0.018</v>
      </c>
      <c r="H69" t="n">
        <v>0.038</v>
      </c>
      <c r="I69" t="n">
        <v>-0.035</v>
      </c>
      <c r="J69" t="n">
        <v>0.422</v>
      </c>
      <c r="K69" t="n">
        <v>7.8</v>
      </c>
      <c r="L69" t="n">
        <v>6.31</v>
      </c>
    </row>
    <row r="70">
      <c r="B70" t="inlineStr">
        <is>
          <t>Hong Kong</t>
        </is>
      </c>
      <c r="C70" t="n">
        <v>347</v>
      </c>
      <c r="D70" t="n">
        <v>0.076</v>
      </c>
      <c r="E70" t="n">
        <v>-0.008999999999999999</v>
      </c>
      <c r="F70" t="n">
        <v>0.0086</v>
      </c>
      <c r="G70" t="n">
        <v>0.016</v>
      </c>
      <c r="H70" t="n">
        <v>0.047</v>
      </c>
      <c r="I70" t="n">
        <v>-0.12</v>
      </c>
      <c r="J70" t="n">
        <v>0.384</v>
      </c>
      <c r="K70" t="n">
        <v>6.6</v>
      </c>
      <c r="L70" t="n">
        <v>7.83</v>
      </c>
    </row>
    <row r="71">
      <c r="B71" t="inlineStr">
        <is>
          <t>Singapore</t>
        </is>
      </c>
      <c r="C71" t="n">
        <v>340</v>
      </c>
      <c r="D71" t="n">
        <v>0.147</v>
      </c>
      <c r="E71" t="n">
        <v>-0.018</v>
      </c>
      <c r="F71" t="n">
        <v>0.0022</v>
      </c>
      <c r="G71" t="n">
        <v>0.024</v>
      </c>
      <c r="H71" t="n">
        <v>0.027</v>
      </c>
      <c r="I71" t="n">
        <v>-0.139</v>
      </c>
      <c r="J71" t="n">
        <v>1.31</v>
      </c>
      <c r="K71" t="n">
        <v>17.6</v>
      </c>
      <c r="L71" t="n">
        <v>1.37</v>
      </c>
    </row>
    <row r="72">
      <c r="B72" t="inlineStr">
        <is>
          <t>Malaysia</t>
        </is>
      </c>
      <c r="C72" t="n">
        <v>337</v>
      </c>
      <c r="D72" t="n">
        <v>0.161</v>
      </c>
      <c r="E72" t="n">
        <v>-0.02</v>
      </c>
      <c r="F72" t="n">
        <v>0.0175</v>
      </c>
      <c r="G72" t="n">
        <v>0.02</v>
      </c>
      <c r="H72" t="n">
        <v>0.048</v>
      </c>
      <c r="I72" t="n">
        <v>-0.032</v>
      </c>
      <c r="J72" t="n">
        <v>0.607</v>
      </c>
      <c r="K72" t="n">
        <v>1</v>
      </c>
      <c r="L72" t="n">
        <v>4.19</v>
      </c>
    </row>
    <row r="73">
      <c r="B73" t="inlineStr">
        <is>
          <t>Bangladesh</t>
        </is>
      </c>
      <c r="C73" t="n">
        <v>324</v>
      </c>
      <c r="D73" t="n">
        <v>0.0547</v>
      </c>
      <c r="E73" t="n">
        <v>0.0547</v>
      </c>
      <c r="F73" t="n">
        <v>0.0475</v>
      </c>
      <c r="G73" t="n">
        <v>0.0554</v>
      </c>
      <c r="H73" t="n">
        <v>0.053</v>
      </c>
      <c r="I73" t="n">
        <v>-0.0535</v>
      </c>
      <c r="J73" t="n">
        <v>0.317</v>
      </c>
      <c r="K73" t="n">
        <v>-1.5</v>
      </c>
      <c r="L73" t="n">
        <v>84.8</v>
      </c>
    </row>
    <row r="74">
      <c r="B74" t="inlineStr">
        <is>
          <t>South Africa</t>
        </is>
      </c>
      <c r="C74" t="n">
        <v>302</v>
      </c>
      <c r="D74" t="n">
        <v>0.193</v>
      </c>
      <c r="E74" t="n">
        <v>0.012</v>
      </c>
      <c r="F74" t="n">
        <v>0.035</v>
      </c>
      <c r="G74" t="n">
        <v>0.049</v>
      </c>
      <c r="H74" t="n">
        <v>0.344</v>
      </c>
      <c r="I74" t="n">
        <v>-0.123</v>
      </c>
      <c r="J74" t="n">
        <v>0.83</v>
      </c>
      <c r="K74" t="n">
        <v>2.2</v>
      </c>
      <c r="L74" t="n">
        <v>14.73</v>
      </c>
    </row>
    <row r="75">
      <c r="B75" t="inlineStr">
        <is>
          <t>Vietnam</t>
        </is>
      </c>
      <c r="C75" t="n">
        <v>271</v>
      </c>
      <c r="D75" t="n">
        <v>0.06610000000000001</v>
      </c>
      <c r="E75" t="n">
        <v>0.0688</v>
      </c>
      <c r="F75" t="n">
        <v>0.04</v>
      </c>
      <c r="G75" t="n">
        <v>0.0282</v>
      </c>
      <c r="H75" t="n">
        <v>0.0262</v>
      </c>
      <c r="I75" t="n">
        <v>-0.058</v>
      </c>
      <c r="J75" t="n">
        <v>0.467</v>
      </c>
      <c r="K75" t="n">
        <v>5</v>
      </c>
      <c r="L75" t="n">
        <v>23170</v>
      </c>
    </row>
    <row r="76">
      <c r="B76" t="inlineStr">
        <is>
          <t>Colombia</t>
        </is>
      </c>
      <c r="C76" t="n">
        <v>271</v>
      </c>
      <c r="D76" t="n">
        <v>0.176</v>
      </c>
      <c r="E76" t="n">
        <v>-0.024</v>
      </c>
      <c r="F76" t="n">
        <v>0.0175</v>
      </c>
      <c r="G76" t="n">
        <v>0.0444</v>
      </c>
      <c r="H76" t="n">
        <v>0.143</v>
      </c>
      <c r="I76" t="n">
        <v>-0.078</v>
      </c>
      <c r="J76" t="n">
        <v>0.628</v>
      </c>
      <c r="K76" t="n">
        <v>-3.4</v>
      </c>
      <c r="L76" t="n">
        <v>3354</v>
      </c>
    </row>
    <row r="77">
      <c r="B77" t="inlineStr">
        <is>
          <t>Finland</t>
        </is>
      </c>
      <c r="C77" t="n">
        <v>271</v>
      </c>
      <c r="D77" t="n">
        <v>0.075</v>
      </c>
      <c r="E77" t="n">
        <v>0.021</v>
      </c>
      <c r="F77" t="n">
        <v>0</v>
      </c>
      <c r="G77" t="n">
        <v>0.022</v>
      </c>
      <c r="H77" t="n">
        <v>0.065</v>
      </c>
      <c r="I77" t="n">
        <v>-0.054</v>
      </c>
      <c r="J77" t="n">
        <v>0.6919999999999999</v>
      </c>
      <c r="K77" t="n">
        <v>0.3</v>
      </c>
      <c r="L77" t="n">
        <v>1.11</v>
      </c>
    </row>
    <row r="78">
      <c r="B78" t="inlineStr">
        <is>
          <t>Pakistan</t>
        </is>
      </c>
      <c r="C78" t="n">
        <v>264</v>
      </c>
      <c r="D78" t="n">
        <v>0.0394</v>
      </c>
      <c r="E78" t="n">
        <v>0.0579</v>
      </c>
      <c r="F78" t="n">
        <v>0.0725</v>
      </c>
      <c r="G78" t="n">
        <v>0.08400000000000001</v>
      </c>
      <c r="H78" t="n">
        <v>0.044</v>
      </c>
      <c r="I78" t="n">
        <v>-0.081</v>
      </c>
      <c r="J78" t="n">
        <v>0.87</v>
      </c>
      <c r="K78" t="n">
        <v>-0.6</v>
      </c>
      <c r="L78" t="n">
        <v>159</v>
      </c>
    </row>
    <row r="79">
      <c r="B79" t="inlineStr">
        <is>
          <t>Chile</t>
        </is>
      </c>
      <c r="C79" t="n">
        <v>253</v>
      </c>
      <c r="D79" t="n">
        <v>0.181</v>
      </c>
      <c r="E79" t="n">
        <v>0.01</v>
      </c>
      <c r="F79" t="n">
        <v>0.015</v>
      </c>
      <c r="G79" t="n">
        <v>0.048</v>
      </c>
      <c r="H79" t="n">
        <v>0.089</v>
      </c>
      <c r="I79" t="n">
        <v>-0.07099999999999999</v>
      </c>
      <c r="J79" t="n">
        <v>0.33</v>
      </c>
      <c r="K79" t="n">
        <v>1.4</v>
      </c>
      <c r="L79" t="n">
        <v>749.27</v>
      </c>
    </row>
    <row r="80">
      <c r="B80" t="inlineStr">
        <is>
          <t>Romania</t>
        </is>
      </c>
      <c r="C80" t="n">
        <v>249</v>
      </c>
      <c r="D80" t="n">
        <v>0.13</v>
      </c>
      <c r="E80" t="n">
        <v>0.018</v>
      </c>
      <c r="F80" t="n">
        <v>0.0125</v>
      </c>
      <c r="G80" t="n">
        <v>0.0525</v>
      </c>
      <c r="H80" t="n">
        <v>0.051</v>
      </c>
      <c r="I80" t="n">
        <v>-0.092</v>
      </c>
      <c r="J80" t="n">
        <v>0.473</v>
      </c>
      <c r="K80" t="n">
        <v>-5.1</v>
      </c>
      <c r="L80" t="n">
        <v>4.18</v>
      </c>
    </row>
    <row r="81">
      <c r="B81" t="inlineStr">
        <is>
          <t>Czech Republic</t>
        </is>
      </c>
      <c r="C81" t="n">
        <v>244</v>
      </c>
      <c r="D81" t="n">
        <v>0.082</v>
      </c>
      <c r="E81" t="n">
        <v>0.01</v>
      </c>
      <c r="F81" t="n">
        <v>0.0075</v>
      </c>
      <c r="G81" t="n">
        <v>0.041</v>
      </c>
      <c r="H81" t="n">
        <v>0.036</v>
      </c>
      <c r="I81" t="n">
        <v>-0.062</v>
      </c>
      <c r="J81" t="n">
        <v>0.381</v>
      </c>
      <c r="K81" t="n">
        <v>3.6</v>
      </c>
      <c r="L81" t="n">
        <v>21.77</v>
      </c>
    </row>
    <row r="82">
      <c r="B82" t="inlineStr">
        <is>
          <t>Portugal</t>
        </is>
      </c>
      <c r="C82" t="n">
        <v>231</v>
      </c>
      <c r="D82" t="n">
        <v>0.155</v>
      </c>
      <c r="E82" t="n">
        <v>0.049</v>
      </c>
      <c r="F82" t="n">
        <v>0</v>
      </c>
      <c r="G82" t="n">
        <v>0.015</v>
      </c>
      <c r="H82" t="n">
        <v>0.067</v>
      </c>
      <c r="I82" t="n">
        <v>-0.057</v>
      </c>
      <c r="J82" t="n">
        <v>1.336</v>
      </c>
      <c r="K82" t="n">
        <v>-1.2</v>
      </c>
      <c r="L82" t="n">
        <v>1.11</v>
      </c>
    </row>
    <row r="83">
      <c r="B83" t="inlineStr">
        <is>
          <t>New Zealand</t>
        </is>
      </c>
      <c r="C83" t="n">
        <v>212</v>
      </c>
      <c r="D83" t="n">
        <v>0.174</v>
      </c>
      <c r="E83" t="n">
        <v>0.028</v>
      </c>
      <c r="F83" t="n">
        <v>0.0025</v>
      </c>
      <c r="G83" t="n">
        <v>0.033</v>
      </c>
      <c r="H83" t="n">
        <v>0.04</v>
      </c>
      <c r="I83" t="n">
        <v>-0.075</v>
      </c>
      <c r="J83" t="n">
        <v>0.27</v>
      </c>
      <c r="K83" t="n">
        <v>-2.7</v>
      </c>
      <c r="L83" t="n">
        <v>0.63</v>
      </c>
    </row>
    <row r="84">
      <c r="B84" t="inlineStr">
        <is>
          <t>Peru</t>
        </is>
      </c>
      <c r="C84" t="n">
        <v>202</v>
      </c>
      <c r="D84" t="n">
        <v>0.419</v>
      </c>
      <c r="E84" t="n">
        <v>0</v>
      </c>
      <c r="F84" t="n">
        <v>0.01</v>
      </c>
      <c r="G84" t="n">
        <v>0.0495</v>
      </c>
      <c r="H84" t="n">
        <v>0.095</v>
      </c>
      <c r="I84" t="n">
        <v>-0.089</v>
      </c>
      <c r="J84" t="n">
        <v>0.354</v>
      </c>
      <c r="K84" t="n">
        <v>0.7</v>
      </c>
      <c r="L84" t="n">
        <v>3.96</v>
      </c>
    </row>
    <row r="85">
      <c r="B85" t="inlineStr">
        <is>
          <t>Iran</t>
        </is>
      </c>
      <c r="C85" t="n">
        <v>192</v>
      </c>
      <c r="D85" t="n">
        <v>-0.039</v>
      </c>
      <c r="F85" t="n">
        <v>0.18</v>
      </c>
      <c r="G85" t="n">
        <v>0.432</v>
      </c>
      <c r="H85" t="n">
        <v>0.094</v>
      </c>
      <c r="I85" t="n">
        <v>-0.095</v>
      </c>
      <c r="J85" t="n">
        <v>0.454</v>
      </c>
      <c r="K85" t="n">
        <v>-0.5</v>
      </c>
      <c r="L85" t="n">
        <v>42000</v>
      </c>
    </row>
    <row r="86">
      <c r="B86" t="inlineStr">
        <is>
          <t>Greece</t>
        </is>
      </c>
      <c r="C86" t="n">
        <v>189</v>
      </c>
      <c r="D86" t="n">
        <v>0.162</v>
      </c>
      <c r="E86" t="n">
        <v>0.034</v>
      </c>
      <c r="F86" t="n">
        <v>0</v>
      </c>
      <c r="G86" t="n">
        <v>0.019</v>
      </c>
      <c r="H86" t="n">
        <v>0.142</v>
      </c>
      <c r="I86" t="n">
        <v>-0.097</v>
      </c>
      <c r="J86" t="n">
        <v>2.056</v>
      </c>
      <c r="K86" t="n">
        <v>-6.7</v>
      </c>
      <c r="L86" t="n">
        <v>1.11</v>
      </c>
    </row>
    <row r="87">
      <c r="B87" t="inlineStr">
        <is>
          <t>Kazakhstan</t>
        </is>
      </c>
      <c r="C87" t="n">
        <v>170</v>
      </c>
      <c r="D87" t="n">
        <v>0.023</v>
      </c>
      <c r="E87" t="n">
        <v>0.0126</v>
      </c>
      <c r="F87" t="n">
        <v>0.095</v>
      </c>
      <c r="G87" t="n">
        <v>0.08699999999999999</v>
      </c>
      <c r="H87" t="n">
        <v>0.049</v>
      </c>
      <c r="I87" t="n">
        <v>-0.04</v>
      </c>
      <c r="J87" t="n">
        <v>0.234</v>
      </c>
      <c r="K87" t="n">
        <v>-3.7</v>
      </c>
      <c r="L87" t="n">
        <v>427.38</v>
      </c>
    </row>
    <row r="88">
      <c r="B88" t="inlineStr">
        <is>
          <t>Iraq</t>
        </is>
      </c>
      <c r="C88" t="n">
        <v>167</v>
      </c>
      <c r="D88" t="n">
        <v>-0.109</v>
      </c>
      <c r="F88" t="n">
        <v>0.04</v>
      </c>
      <c r="G88" t="n">
        <v>0.074</v>
      </c>
      <c r="H88" t="n">
        <v>0.1374</v>
      </c>
      <c r="I88" t="n">
        <v>-0.175</v>
      </c>
      <c r="J88" t="n">
        <v>0.6830000000000001</v>
      </c>
      <c r="K88" t="n">
        <v>-12.6</v>
      </c>
      <c r="L88" t="n">
        <v>1193.81</v>
      </c>
    </row>
    <row r="89">
      <c r="B89" t="inlineStr">
        <is>
          <t>Ukraine</t>
        </is>
      </c>
      <c r="C89" t="n">
        <v>156</v>
      </c>
      <c r="D89" t="n">
        <v>0.057</v>
      </c>
      <c r="E89" t="n">
        <v>-0.007</v>
      </c>
      <c r="F89" t="n">
        <v>0.08500000000000001</v>
      </c>
      <c r="G89" t="n">
        <v>0.102</v>
      </c>
      <c r="H89" t="n">
        <v>0.093</v>
      </c>
      <c r="I89" t="n">
        <v>-0.061</v>
      </c>
      <c r="J89" t="n">
        <v>0.608</v>
      </c>
      <c r="K89" t="n">
        <v>4.3</v>
      </c>
      <c r="L89" t="n">
        <v>27.25</v>
      </c>
    </row>
    <row r="90">
      <c r="B90" t="inlineStr">
        <is>
          <t>Hungary</t>
        </is>
      </c>
      <c r="C90" t="n">
        <v>155</v>
      </c>
      <c r="D90" t="n">
        <v>0.179</v>
      </c>
      <c r="E90" t="n">
        <v>0.027</v>
      </c>
      <c r="F90" t="n">
        <v>0.0165</v>
      </c>
      <c r="G90" t="n">
        <v>0.049</v>
      </c>
      <c r="H90" t="n">
        <v>0.041</v>
      </c>
      <c r="I90" t="n">
        <v>-0.081</v>
      </c>
      <c r="J90" t="n">
        <v>0.804</v>
      </c>
      <c r="K90" t="n">
        <v>0</v>
      </c>
      <c r="L90" t="n">
        <v>302.98</v>
      </c>
    </row>
    <row r="91">
      <c r="B91" t="inlineStr">
        <is>
          <t>Qatar</t>
        </is>
      </c>
      <c r="C91" t="n">
        <v>146</v>
      </c>
      <c r="D91" t="n">
        <v>-0.025</v>
      </c>
      <c r="E91" t="n">
        <v>-0.011</v>
      </c>
      <c r="F91" t="n">
        <v>0.025</v>
      </c>
      <c r="G91" t="n">
        <v>0.0295</v>
      </c>
      <c r="H91" t="n">
        <v>0.001</v>
      </c>
      <c r="I91" t="n">
        <v>-0.021</v>
      </c>
      <c r="J91" t="n">
        <v>0.718</v>
      </c>
      <c r="K91" t="n">
        <v>-2.5</v>
      </c>
      <c r="L91" t="n">
        <v>3.7</v>
      </c>
    </row>
    <row r="92" ht="16" customHeight="1" s="88" thickBot="1">
      <c r="B92" t="inlineStr">
        <is>
          <t>Algeria</t>
        </is>
      </c>
      <c r="C92" t="n">
        <v>145</v>
      </c>
      <c r="D92" t="n">
        <v>-0.039</v>
      </c>
      <c r="E92" t="n">
        <v>0.008</v>
      </c>
      <c r="F92" t="n">
        <v>0.03</v>
      </c>
      <c r="G92" t="n">
        <v>0.0412</v>
      </c>
      <c r="H92" t="n">
        <v>0.114</v>
      </c>
      <c r="I92" t="n">
        <v>-0.115</v>
      </c>
      <c r="J92" t="n">
        <v>0.572</v>
      </c>
      <c r="K92" t="n">
        <v>-10.8</v>
      </c>
      <c r="L92" t="n">
        <v>134.37</v>
      </c>
    </row>
    <row r="93">
      <c r="B93" t="inlineStr">
        <is>
          <t>Kuwait</t>
        </is>
      </c>
      <c r="C93" t="n">
        <v>136</v>
      </c>
      <c r="D93" t="n">
        <v>-0.112</v>
      </c>
      <c r="E93" s="85" t="n">
        <v>0.047</v>
      </c>
      <c r="F93" t="n">
        <v>0.015</v>
      </c>
      <c r="G93" t="n">
        <v>0.031</v>
      </c>
      <c r="H93" t="n">
        <v>0.023</v>
      </c>
      <c r="I93" t="n">
        <v>-0.094</v>
      </c>
      <c r="J93" t="n">
        <v>0.115</v>
      </c>
      <c r="K93" t="n">
        <v>0.8</v>
      </c>
      <c r="L93" t="n">
        <v>0.3</v>
      </c>
    </row>
    <row r="94" ht="16" customHeight="1" s="88" thickBot="1">
      <c r="B94" t="inlineStr">
        <is>
          <t>Morocco</t>
        </is>
      </c>
      <c r="C94" t="n">
        <v>113</v>
      </c>
      <c r="D94" t="n">
        <v>0.01</v>
      </c>
      <c r="E94" t="n">
        <v>0.011</v>
      </c>
      <c r="F94" t="n">
        <v>0.015</v>
      </c>
      <c r="G94" t="n">
        <v>0.008</v>
      </c>
      <c r="H94" t="n">
        <v>0.128</v>
      </c>
      <c r="I94" t="n">
        <v>-0.076</v>
      </c>
      <c r="J94" t="n">
        <v>0.774</v>
      </c>
      <c r="K94" t="n">
        <v>-1.5</v>
      </c>
      <c r="L94" t="n">
        <v>8.960000000000001</v>
      </c>
    </row>
    <row r="95">
      <c r="B95" t="inlineStr">
        <is>
          <t>Ethiopia</t>
        </is>
      </c>
      <c r="C95" t="n">
        <v>108</v>
      </c>
      <c r="D95" t="n">
        <v>0.061</v>
      </c>
      <c r="E95" s="73" t="n"/>
      <c r="F95" t="n">
        <v>0.07000000000000001</v>
      </c>
      <c r="G95" t="n">
        <v>0.304</v>
      </c>
      <c r="H95" t="n">
        <v>0.191</v>
      </c>
      <c r="I95" t="n">
        <v>-0.04</v>
      </c>
      <c r="J95" t="n">
        <v>0.59</v>
      </c>
      <c r="K95" t="n">
        <v>-4.4</v>
      </c>
      <c r="L95" t="n">
        <v>31.69</v>
      </c>
    </row>
    <row r="96" ht="16" customHeight="1" s="88" thickBot="1">
      <c r="B96" t="inlineStr">
        <is>
          <t>Slovakia</t>
        </is>
      </c>
      <c r="C96" t="n">
        <v>105</v>
      </c>
      <c r="D96" t="n">
        <v>0.096</v>
      </c>
      <c r="E96" t="n">
        <v>0.02</v>
      </c>
      <c r="F96" t="n">
        <v>0</v>
      </c>
      <c r="G96" t="n">
        <v>0.038</v>
      </c>
      <c r="H96" t="n">
        <v>0.0737</v>
      </c>
      <c r="I96" t="n">
        <v>-0.062</v>
      </c>
      <c r="J96" t="n">
        <v>0.606</v>
      </c>
      <c r="K96" t="n">
        <v>-0.4</v>
      </c>
      <c r="L96" t="n">
        <v>1.11</v>
      </c>
    </row>
    <row r="97" ht="16" customHeight="1" s="88" thickBot="1">
      <c r="B97" t="inlineStr">
        <is>
          <t>Cuba</t>
        </is>
      </c>
      <c r="C97" t="n">
        <v>103</v>
      </c>
      <c r="D97" t="n">
        <v>-0.11</v>
      </c>
      <c r="E97" s="73" t="n"/>
      <c r="F97" t="n">
        <v>0.0225</v>
      </c>
      <c r="G97" t="n">
        <v>0.042</v>
      </c>
      <c r="H97" t="n">
        <v>0.0387</v>
      </c>
      <c r="I97" t="n">
        <v>-0.177</v>
      </c>
      <c r="J97" t="n">
        <v>0.184</v>
      </c>
      <c r="K97" t="n">
        <v>0.2</v>
      </c>
      <c r="L97" t="n">
        <v>1</v>
      </c>
    </row>
    <row r="98">
      <c r="B98" t="inlineStr">
        <is>
          <t>Puerto Rico</t>
        </is>
      </c>
      <c r="C98" t="n">
        <v>103</v>
      </c>
      <c r="D98" t="n">
        <v>-0.032</v>
      </c>
      <c r="E98" s="73" t="n"/>
      <c r="F98" s="73" t="n"/>
      <c r="G98" t="n">
        <v>0.029</v>
      </c>
      <c r="H98" t="n">
        <v>0.091</v>
      </c>
      <c r="I98" s="73" t="n"/>
      <c r="J98" s="73" t="n"/>
      <c r="K98" s="73" t="n"/>
      <c r="L98" t="n">
        <v>98.56</v>
      </c>
    </row>
    <row r="99">
      <c r="B99" t="inlineStr">
        <is>
          <t>Kenya</t>
        </is>
      </c>
      <c r="C99" t="n">
        <v>99</v>
      </c>
      <c r="D99" t="n">
        <v>-0.011</v>
      </c>
      <c r="E99" t="n">
        <v>0.0349</v>
      </c>
      <c r="F99" t="n">
        <v>0.07000000000000001</v>
      </c>
      <c r="G99" t="n">
        <v>0.06569999999999999</v>
      </c>
      <c r="H99" t="n">
        <v>0.07199999999999999</v>
      </c>
      <c r="I99" t="n">
        <v>-0.078</v>
      </c>
      <c r="J99" t="n">
        <v>0.656</v>
      </c>
      <c r="K99" t="n">
        <v>-4.8</v>
      </c>
      <c r="L99" t="n">
        <v>107.9</v>
      </c>
    </row>
    <row r="100">
      <c r="B100" t="inlineStr">
        <is>
          <t>Ecuador</t>
        </is>
      </c>
      <c r="C100" t="n">
        <v>99</v>
      </c>
      <c r="D100" t="n">
        <v>-0.056</v>
      </c>
      <c r="E100" t="n">
        <v>0.0068</v>
      </c>
      <c r="F100" t="n">
        <v>0.09329999999999999</v>
      </c>
      <c r="G100" t="n">
        <v>0.0089</v>
      </c>
      <c r="H100" t="n">
        <v>0.073</v>
      </c>
      <c r="I100" t="n">
        <v>-0.089</v>
      </c>
      <c r="J100" t="n">
        <v>0.6889999999999999</v>
      </c>
      <c r="K100" t="n">
        <v>2.6</v>
      </c>
      <c r="L100" t="n">
        <v>98.56</v>
      </c>
    </row>
    <row r="101" ht="16" customHeight="1" s="88" thickBot="1">
      <c r="B101" t="inlineStr">
        <is>
          <t>Sri Lanka</t>
        </is>
      </c>
      <c r="C101" t="n">
        <v>81</v>
      </c>
      <c r="D101" t="n">
        <v>0.043</v>
      </c>
      <c r="E101" t="n">
        <v>0.014</v>
      </c>
      <c r="F101" t="n">
        <v>0.05</v>
      </c>
      <c r="G101" t="n">
        <v>0.06</v>
      </c>
      <c r="H101" t="n">
        <v>0.057</v>
      </c>
      <c r="I101" t="n">
        <v>-0.111</v>
      </c>
      <c r="J101" t="n">
        <v>1.01</v>
      </c>
      <c r="K101" t="n">
        <v>-1.3</v>
      </c>
      <c r="L101" t="n">
        <v>199</v>
      </c>
    </row>
    <row r="102">
      <c r="B102" t="inlineStr">
        <is>
          <t>Dominican Republic</t>
        </is>
      </c>
      <c r="C102" t="n">
        <v>79</v>
      </c>
      <c r="D102" t="n">
        <v>0.031</v>
      </c>
      <c r="E102" s="84" t="n">
        <v>-0.007</v>
      </c>
      <c r="F102" t="n">
        <v>0.03</v>
      </c>
      <c r="G102" t="n">
        <v>0.079</v>
      </c>
      <c r="H102" t="n">
        <v>0.08</v>
      </c>
      <c r="I102" t="n">
        <v>-0.0791</v>
      </c>
      <c r="J102" t="n">
        <v>0.6909999999999999</v>
      </c>
      <c r="K102" t="n">
        <v>-2</v>
      </c>
      <c r="L102" t="n">
        <v>52.98</v>
      </c>
    </row>
    <row r="103" ht="16" customHeight="1" s="88" thickBot="1">
      <c r="B103" t="inlineStr">
        <is>
          <t>Guatemala</t>
        </is>
      </c>
      <c r="C103" t="n">
        <v>78</v>
      </c>
      <c r="D103" t="n">
        <v>0.0482</v>
      </c>
      <c r="F103" t="n">
        <v>0.0175</v>
      </c>
      <c r="G103" t="n">
        <v>0.0362</v>
      </c>
      <c r="H103" t="n">
        <v>0.02</v>
      </c>
      <c r="I103" t="n">
        <v>-0.049</v>
      </c>
      <c r="J103" t="n">
        <v>0.3126</v>
      </c>
      <c r="K103" t="n">
        <v>5.5</v>
      </c>
      <c r="L103" t="n">
        <v>7.7</v>
      </c>
    </row>
    <row r="104" ht="16" customHeight="1" s="88" thickBot="1">
      <c r="B104" t="inlineStr">
        <is>
          <t>Myanmar</t>
        </is>
      </c>
      <c r="C104" t="n">
        <v>76</v>
      </c>
      <c r="D104" t="n">
        <v>-0.1</v>
      </c>
      <c r="E104" s="73" t="n"/>
      <c r="F104" t="n">
        <v>0.07000000000000001</v>
      </c>
      <c r="G104" t="n">
        <v>0.0264</v>
      </c>
      <c r="H104" t="n">
        <v>0.0179</v>
      </c>
      <c r="I104" t="n">
        <v>-0.056</v>
      </c>
      <c r="J104" t="n">
        <v>0.424</v>
      </c>
      <c r="K104" t="n">
        <v>-4</v>
      </c>
      <c r="L104" t="n">
        <v>1500</v>
      </c>
    </row>
    <row r="105">
      <c r="B105" t="inlineStr">
        <is>
          <t>Oman</t>
        </is>
      </c>
      <c r="C105" t="n">
        <v>76</v>
      </c>
      <c r="D105" t="n">
        <v>-0.063</v>
      </c>
      <c r="E105" s="73" t="n"/>
      <c r="F105" t="n">
        <v>0.005</v>
      </c>
      <c r="G105" t="n">
        <v>0.0219</v>
      </c>
      <c r="H105" t="n">
        <v>0.05</v>
      </c>
      <c r="I105" t="n">
        <v>-0.07000000000000001</v>
      </c>
      <c r="J105" t="n">
        <v>0.5590000000000001</v>
      </c>
      <c r="K105" t="n">
        <v>-5.2</v>
      </c>
      <c r="L105" t="n">
        <v>0.38</v>
      </c>
    </row>
    <row r="106">
      <c r="B106" t="inlineStr">
        <is>
          <t>Luxembourg</t>
        </is>
      </c>
      <c r="C106" t="n">
        <v>73</v>
      </c>
      <c r="D106" t="n">
        <v>0.0487</v>
      </c>
      <c r="E106" t="n">
        <v>0.014</v>
      </c>
      <c r="F106" t="n">
        <v>0</v>
      </c>
      <c r="G106" t="n">
        <v>0.025</v>
      </c>
      <c r="H106" t="n">
        <v>0.055</v>
      </c>
      <c r="I106" t="n">
        <v>-0.041</v>
      </c>
      <c r="J106" t="n">
        <v>0.249</v>
      </c>
      <c r="K106" t="n">
        <v>4.3</v>
      </c>
      <c r="L106" t="n">
        <v>1.11</v>
      </c>
    </row>
    <row r="107">
      <c r="B107" t="inlineStr">
        <is>
          <t>Ghana</t>
        </is>
      </c>
      <c r="C107" t="n">
        <v>72</v>
      </c>
      <c r="D107" t="n">
        <v>0.039</v>
      </c>
      <c r="E107" t="n">
        <v>0.008999999999999999</v>
      </c>
      <c r="F107" t="n">
        <v>0.135</v>
      </c>
      <c r="G107" t="n">
        <v>0.097</v>
      </c>
      <c r="H107" t="n">
        <v>0.045</v>
      </c>
      <c r="I107" t="n">
        <v>-0.138</v>
      </c>
      <c r="J107" t="n">
        <v>0.78</v>
      </c>
      <c r="K107" t="n">
        <v>-2.5</v>
      </c>
      <c r="L107" t="n">
        <v>5.88</v>
      </c>
    </row>
    <row r="108" ht="16" customHeight="1" s="88" thickBot="1">
      <c r="B108" t="inlineStr">
        <is>
          <t>Bulgaria</t>
        </is>
      </c>
      <c r="C108" t="n">
        <v>69</v>
      </c>
      <c r="D108" t="n">
        <v>0.099</v>
      </c>
      <c r="E108" t="n">
        <v>0.006</v>
      </c>
      <c r="F108" t="n">
        <v>0</v>
      </c>
      <c r="G108" t="n">
        <v>0.037</v>
      </c>
      <c r="H108" t="n">
        <v>0.05</v>
      </c>
      <c r="I108" t="n">
        <v>-0.034</v>
      </c>
      <c r="J108" t="n">
        <v>0.239</v>
      </c>
      <c r="K108" t="n">
        <v>-0.7</v>
      </c>
      <c r="L108" t="n">
        <v>1.66</v>
      </c>
    </row>
    <row r="109">
      <c r="B109" t="inlineStr">
        <is>
          <t>Syria</t>
        </is>
      </c>
      <c r="C109" t="n">
        <v>65</v>
      </c>
      <c r="D109" t="n">
        <v>0.048</v>
      </c>
      <c r="E109" s="73" t="n"/>
      <c r="F109" s="73" t="n"/>
      <c r="G109" t="n">
        <v>0.5243</v>
      </c>
      <c r="H109" t="n">
        <v>0.09</v>
      </c>
      <c r="I109" t="n">
        <v>-0.114</v>
      </c>
      <c r="J109" t="n">
        <v>0.3001</v>
      </c>
      <c r="K109" t="n">
        <v>-0.62</v>
      </c>
      <c r="L109" t="n">
        <v>436.5</v>
      </c>
    </row>
    <row r="110">
      <c r="B110" t="inlineStr">
        <is>
          <t>Tanzania</t>
        </is>
      </c>
      <c r="C110" t="n">
        <v>62</v>
      </c>
      <c r="D110" t="n">
        <v>0.049</v>
      </c>
      <c r="E110" t="n">
        <v>0.015</v>
      </c>
      <c r="F110" t="n">
        <v>0.05</v>
      </c>
      <c r="G110" t="n">
        <v>0.038</v>
      </c>
      <c r="H110" t="n">
        <v>0.095</v>
      </c>
      <c r="I110" t="n">
        <v>-0.026</v>
      </c>
      <c r="J110" t="n">
        <v>0.378</v>
      </c>
      <c r="K110" t="n">
        <v>-2.1</v>
      </c>
      <c r="L110" t="n">
        <v>2314</v>
      </c>
    </row>
    <row r="111" ht="16" customHeight="1" s="88" thickBot="1">
      <c r="B111" t="inlineStr">
        <is>
          <t>Angola</t>
        </is>
      </c>
      <c r="C111" t="n">
        <v>62</v>
      </c>
      <c r="D111" t="n">
        <v>-0.034</v>
      </c>
      <c r="E111" t="n">
        <v>0.002</v>
      </c>
      <c r="F111" t="n">
        <v>0.2</v>
      </c>
      <c r="G111" t="n">
        <v>0.2609</v>
      </c>
      <c r="H111" t="n">
        <v>0.316</v>
      </c>
      <c r="I111" t="n">
        <v>-0.025</v>
      </c>
      <c r="J111" t="n">
        <v>1.2</v>
      </c>
      <c r="K111" t="n">
        <v>1.5</v>
      </c>
      <c r="L111" t="n">
        <v>456.04</v>
      </c>
    </row>
    <row r="112" ht="16" customHeight="1" s="88" thickBot="1">
      <c r="B112" t="inlineStr">
        <is>
          <t>Costa Rica</t>
        </is>
      </c>
      <c r="C112" t="n">
        <v>62</v>
      </c>
      <c r="D112" t="n">
        <v>-0.013</v>
      </c>
      <c r="E112" s="78" t="n">
        <v>0.005</v>
      </c>
      <c r="F112" t="n">
        <v>0.0075</v>
      </c>
      <c r="G112" t="n">
        <v>0.0172</v>
      </c>
      <c r="H112" t="n">
        <v>0.181</v>
      </c>
      <c r="I112" t="n">
        <v>-0.074</v>
      </c>
      <c r="J112" t="n">
        <v>0.7926</v>
      </c>
      <c r="K112" t="n">
        <v>-2.4</v>
      </c>
      <c r="L112" t="n">
        <v>566.5700000000001</v>
      </c>
    </row>
    <row r="113" ht="16" customHeight="1" s="88" thickBot="1">
      <c r="B113" t="inlineStr">
        <is>
          <t>Ivory Coast</t>
        </is>
      </c>
      <c r="C113" t="n">
        <v>61</v>
      </c>
      <c r="D113" t="n">
        <v>0.035</v>
      </c>
      <c r="E113" s="73" t="n"/>
      <c r="F113" t="n">
        <v>0.04</v>
      </c>
      <c r="G113" t="n">
        <v>0.047</v>
      </c>
      <c r="H113" t="n">
        <v>0.035</v>
      </c>
      <c r="I113" t="n">
        <v>-0.055</v>
      </c>
      <c r="J113" t="n">
        <v>0.3</v>
      </c>
      <c r="K113" t="n">
        <v>-3.7</v>
      </c>
      <c r="L113" t="n">
        <v>588.96</v>
      </c>
    </row>
    <row r="114">
      <c r="B114" t="inlineStr">
        <is>
          <t>Belarus</t>
        </is>
      </c>
      <c r="C114" t="n">
        <v>60</v>
      </c>
      <c r="D114" t="n">
        <v>0.0115</v>
      </c>
      <c r="E114" s="73" t="n"/>
      <c r="F114" t="n">
        <v>0.0925</v>
      </c>
      <c r="G114" t="n">
        <v>0.098</v>
      </c>
      <c r="H114" t="n">
        <v>0.002</v>
      </c>
      <c r="I114" t="n">
        <v>-0.026</v>
      </c>
      <c r="J114" t="n">
        <v>0.373</v>
      </c>
      <c r="K114" t="n">
        <v>-0.4</v>
      </c>
      <c r="L114" t="n">
        <v>2.57</v>
      </c>
    </row>
    <row r="115">
      <c r="B115" t="inlineStr">
        <is>
          <t>Uzbekistan</t>
        </is>
      </c>
      <c r="C115" t="n">
        <v>58</v>
      </c>
      <c r="D115" t="n">
        <v>0.062</v>
      </c>
      <c r="F115" t="n">
        <v>0.14</v>
      </c>
      <c r="G115" t="n">
        <v>0.111</v>
      </c>
      <c r="H115" t="n">
        <v>0.102</v>
      </c>
      <c r="I115" t="n">
        <v>-0.044</v>
      </c>
      <c r="J115" t="n">
        <v>0.404</v>
      </c>
      <c r="K115" t="n">
        <v>-5.4</v>
      </c>
      <c r="L115" t="n">
        <v>9527.299999999999</v>
      </c>
    </row>
    <row r="116">
      <c r="B116" t="inlineStr">
        <is>
          <t>Croatia</t>
        </is>
      </c>
      <c r="C116" t="n">
        <v>56</v>
      </c>
      <c r="D116" t="n">
        <v>0.161</v>
      </c>
      <c r="E116" t="n">
        <v>-0.002</v>
      </c>
      <c r="F116" t="n">
        <v>0.025</v>
      </c>
      <c r="G116" t="n">
        <v>0.031</v>
      </c>
      <c r="H116" t="n">
        <v>0.073</v>
      </c>
      <c r="I116" t="n">
        <v>-0.074</v>
      </c>
      <c r="J116" t="n">
        <v>0.887</v>
      </c>
      <c r="K116" t="n">
        <v>-0.3</v>
      </c>
      <c r="L116" t="n">
        <v>6.68</v>
      </c>
    </row>
    <row r="117">
      <c r="B117" t="inlineStr">
        <is>
          <t>Lithuania</t>
        </is>
      </c>
      <c r="C117" t="n">
        <v>56</v>
      </c>
      <c r="D117" t="n">
        <v>0.078</v>
      </c>
      <c r="E117" t="n">
        <v>0.01</v>
      </c>
      <c r="F117" t="n">
        <v>0</v>
      </c>
      <c r="G117" t="n">
        <v>0.053</v>
      </c>
      <c r="H117" t="n">
        <v>0.122</v>
      </c>
      <c r="I117" t="n">
        <v>-0.074</v>
      </c>
      <c r="J117" t="n">
        <v>0.473</v>
      </c>
      <c r="K117" t="n">
        <v>8.300000000000001</v>
      </c>
      <c r="L117" t="n">
        <v>1.11</v>
      </c>
    </row>
    <row r="118">
      <c r="B118" t="inlineStr">
        <is>
          <t>Macau</t>
        </is>
      </c>
      <c r="C118" t="n">
        <v>55</v>
      </c>
      <c r="D118" t="n">
        <v>0.695</v>
      </c>
      <c r="F118" t="n">
        <v>0.005</v>
      </c>
      <c r="G118" t="n">
        <v>0.004</v>
      </c>
      <c r="H118" t="n">
        <v>0.028</v>
      </c>
      <c r="K118" t="n">
        <v>33.6</v>
      </c>
      <c r="L118" t="n">
        <v>8.029999999999999</v>
      </c>
    </row>
    <row r="119">
      <c r="B119" t="inlineStr">
        <is>
          <t>Uruguay</t>
        </is>
      </c>
      <c r="C119" t="n">
        <v>54</v>
      </c>
      <c r="D119" t="n">
        <v>-0.028</v>
      </c>
      <c r="E119" t="n">
        <v>0.078</v>
      </c>
      <c r="F119" t="n">
        <v>0.05</v>
      </c>
      <c r="G119" t="n">
        <v>0.0759</v>
      </c>
      <c r="H119" t="n">
        <v>0.104</v>
      </c>
      <c r="I119" t="n">
        <v>-0.051</v>
      </c>
      <c r="J119" t="n">
        <v>0.73</v>
      </c>
      <c r="K119" t="n">
        <v>-0.6</v>
      </c>
      <c r="L119" t="n">
        <v>37.81</v>
      </c>
    </row>
    <row r="120" ht="16" customHeight="1" s="88" thickBot="1">
      <c r="B120" t="inlineStr">
        <is>
          <t>Slovenia</t>
        </is>
      </c>
      <c r="C120" t="n">
        <v>53</v>
      </c>
      <c r="D120" t="n">
        <v>0.163</v>
      </c>
      <c r="E120" t="n">
        <v>0.019</v>
      </c>
      <c r="F120" t="n">
        <v>0</v>
      </c>
      <c r="G120" t="n">
        <v>0.021</v>
      </c>
      <c r="H120" t="n">
        <v>0.073</v>
      </c>
      <c r="I120" t="n">
        <v>-0.08400000000000001</v>
      </c>
      <c r="J120" t="n">
        <v>0.8080000000000001</v>
      </c>
      <c r="K120" t="n">
        <v>7.1</v>
      </c>
      <c r="L120" t="n">
        <v>1.11</v>
      </c>
    </row>
    <row r="121">
      <c r="B121" t="inlineStr">
        <is>
          <t>Panama</t>
        </is>
      </c>
      <c r="C121" t="n">
        <v>53</v>
      </c>
      <c r="D121" t="n">
        <v>0.404</v>
      </c>
      <c r="E121" s="73" t="n"/>
      <c r="F121" t="n">
        <v>0.0136</v>
      </c>
      <c r="G121" t="n">
        <v>0.0239</v>
      </c>
      <c r="H121" t="n">
        <v>0.185</v>
      </c>
      <c r="I121" t="n">
        <v>-0.09229999999999999</v>
      </c>
      <c r="J121" t="n">
        <v>0.6982</v>
      </c>
      <c r="K121" t="n">
        <v>2.3</v>
      </c>
      <c r="L121" t="n">
        <v>1</v>
      </c>
    </row>
    <row r="122">
      <c r="B122" t="inlineStr">
        <is>
          <t>Serbia</t>
        </is>
      </c>
      <c r="C122" t="n">
        <v>53</v>
      </c>
      <c r="D122" t="n">
        <v>0.137</v>
      </c>
      <c r="E122" t="n">
        <v>0.013</v>
      </c>
      <c r="F122" t="n">
        <v>0.01</v>
      </c>
      <c r="G122" t="n">
        <v>0.043</v>
      </c>
      <c r="H122" t="n">
        <v>0.111</v>
      </c>
      <c r="I122" t="n">
        <v>-0.08400000000000001</v>
      </c>
      <c r="J122" t="n">
        <v>0.574</v>
      </c>
      <c r="K122" t="n">
        <v>-4.3</v>
      </c>
      <c r="L122" t="n">
        <v>105.49</v>
      </c>
    </row>
    <row r="123" ht="16" customHeight="1" s="88" thickBot="1">
      <c r="B123" t="inlineStr">
        <is>
          <t>Congo</t>
        </is>
      </c>
      <c r="C123" t="n">
        <v>50</v>
      </c>
      <c r="D123" t="n">
        <v>-0.024</v>
      </c>
      <c r="F123" t="n">
        <v>0.08500000000000001</v>
      </c>
      <c r="G123" t="n">
        <v>0.0623</v>
      </c>
      <c r="H123" t="n">
        <v>0.461</v>
      </c>
      <c r="I123" t="n">
        <v>-0.012</v>
      </c>
      <c r="J123" t="n">
        <v>0.152</v>
      </c>
      <c r="K123" t="n">
        <v>-5.4</v>
      </c>
      <c r="L123" t="n">
        <v>1666.65</v>
      </c>
    </row>
    <row r="124" ht="16" customHeight="1" s="88" thickBot="1">
      <c r="B124" t="inlineStr">
        <is>
          <t>Turkmenistan</t>
        </is>
      </c>
      <c r="C124" t="n">
        <v>45</v>
      </c>
      <c r="D124" t="n">
        <v>0.059</v>
      </c>
      <c r="E124" s="73" t="n"/>
      <c r="F124" s="73" t="n"/>
      <c r="G124" t="n">
        <v>0.1</v>
      </c>
      <c r="H124" t="n">
        <v>0.0438</v>
      </c>
      <c r="I124" t="n">
        <v>0.001</v>
      </c>
      <c r="J124" t="n">
        <v>0.309</v>
      </c>
      <c r="K124" t="n">
        <v>0.5</v>
      </c>
      <c r="L124" t="n">
        <v>3.5</v>
      </c>
    </row>
    <row r="125">
      <c r="B125" t="inlineStr">
        <is>
          <t>Jordan</t>
        </is>
      </c>
      <c r="C125" t="n">
        <v>44</v>
      </c>
      <c r="D125" t="n">
        <v>0.003</v>
      </c>
      <c r="E125" s="73" t="n"/>
      <c r="F125" t="n">
        <v>0.025</v>
      </c>
      <c r="G125" t="n">
        <v>0.0201</v>
      </c>
      <c r="H125" t="n">
        <v>0.25</v>
      </c>
      <c r="I125" t="n">
        <v>-0.07000000000000001</v>
      </c>
      <c r="J125" t="n">
        <v>0.924</v>
      </c>
      <c r="K125" t="n">
        <v>-8</v>
      </c>
      <c r="L125" t="n">
        <v>0.71</v>
      </c>
    </row>
    <row r="126" ht="16" customHeight="1" s="88" thickBot="1">
      <c r="B126" t="inlineStr">
        <is>
          <t>Azerbaijan</t>
        </is>
      </c>
      <c r="C126" t="n">
        <v>43</v>
      </c>
      <c r="D126" t="n">
        <v>0.3552</v>
      </c>
      <c r="F126" t="n">
        <v>0.065</v>
      </c>
      <c r="G126" t="n">
        <v>0.048</v>
      </c>
      <c r="H126" t="n">
        <v>0.06270000000000001</v>
      </c>
      <c r="I126" t="n">
        <v>-0.024</v>
      </c>
      <c r="J126" t="n">
        <v>0.201</v>
      </c>
      <c r="K126" t="n">
        <v>-0.5</v>
      </c>
      <c r="L126" t="n">
        <v>1.7</v>
      </c>
    </row>
    <row r="127">
      <c r="B127" t="inlineStr">
        <is>
          <t>Cameroon</t>
        </is>
      </c>
      <c r="C127" t="n">
        <v>40</v>
      </c>
      <c r="D127" t="n">
        <v>0.008</v>
      </c>
      <c r="E127" s="74" t="n">
        <v>0.027</v>
      </c>
      <c r="F127" t="n">
        <v>0.0325</v>
      </c>
      <c r="G127" t="n">
        <v>0.0239</v>
      </c>
      <c r="H127" t="n">
        <v>0.036</v>
      </c>
      <c r="I127" t="n">
        <v>-0.049</v>
      </c>
      <c r="J127" t="n">
        <v>0.432</v>
      </c>
      <c r="K127" t="n">
        <v>-5.2</v>
      </c>
      <c r="L127" t="n">
        <v>551.3200000000001</v>
      </c>
    </row>
    <row r="128">
      <c r="B128" t="inlineStr">
        <is>
          <t>Tunisia</t>
        </is>
      </c>
      <c r="C128" t="n">
        <v>39</v>
      </c>
      <c r="D128" t="n">
        <v>0.162</v>
      </c>
      <c r="E128" t="n">
        <v>-0.02</v>
      </c>
      <c r="F128" t="n">
        <v>0.0625</v>
      </c>
      <c r="G128" t="n">
        <v>0.062</v>
      </c>
      <c r="H128" t="n">
        <v>0.178</v>
      </c>
      <c r="I128" t="n">
        <v>-0.11</v>
      </c>
      <c r="J128" t="n">
        <v>0.876</v>
      </c>
      <c r="K128" t="n">
        <v>-6.9</v>
      </c>
      <c r="L128" t="n">
        <v>2.8</v>
      </c>
    </row>
    <row r="129">
      <c r="B129" t="inlineStr">
        <is>
          <t>Bahrain</t>
        </is>
      </c>
      <c r="C129" t="n">
        <v>38</v>
      </c>
      <c r="D129" t="n">
        <v>-0.0211</v>
      </c>
      <c r="E129" t="n">
        <v>-0.001</v>
      </c>
      <c r="F129" t="n">
        <v>0.01</v>
      </c>
      <c r="G129" t="n">
        <v>0.003</v>
      </c>
      <c r="H129" t="n">
        <v>0.049</v>
      </c>
      <c r="I129" t="n">
        <v>-0.131</v>
      </c>
      <c r="J129" t="n">
        <v>1.283</v>
      </c>
      <c r="K129" t="n">
        <v>-2.1</v>
      </c>
      <c r="L129" t="n">
        <v>0.38</v>
      </c>
    </row>
    <row r="130">
      <c r="B130" t="inlineStr">
        <is>
          <t>Bolivia</t>
        </is>
      </c>
      <c r="C130" t="n">
        <v>37</v>
      </c>
      <c r="D130" t="n">
        <v>-0.2168</v>
      </c>
      <c r="E130" t="n">
        <v>-0.062</v>
      </c>
      <c r="F130" t="n">
        <v>0.041</v>
      </c>
      <c r="G130" t="n">
        <v>0.002</v>
      </c>
      <c r="H130" t="n">
        <v>0.056</v>
      </c>
      <c r="I130" t="n">
        <v>-0.097</v>
      </c>
      <c r="J130" t="n">
        <v>0.673</v>
      </c>
      <c r="K130" t="n">
        <v>-0.5</v>
      </c>
      <c r="L130" t="n">
        <v>6.83</v>
      </c>
    </row>
    <row r="131">
      <c r="B131" t="inlineStr">
        <is>
          <t>Uganda</t>
        </is>
      </c>
      <c r="C131" t="n">
        <v>37</v>
      </c>
      <c r="D131" t="n">
        <v>0.062</v>
      </c>
      <c r="E131" t="n">
        <v>-0.002</v>
      </c>
      <c r="F131" t="n">
        <v>0.065</v>
      </c>
      <c r="G131" t="n">
        <v>0.019</v>
      </c>
      <c r="H131" t="n">
        <v>0.0244</v>
      </c>
      <c r="I131" t="n">
        <v>-0.066</v>
      </c>
      <c r="J131" t="n">
        <v>0.498</v>
      </c>
      <c r="K131" t="n">
        <v>-6.4</v>
      </c>
      <c r="L131" t="n">
        <v>3665</v>
      </c>
    </row>
    <row r="132" ht="16" customHeight="1" s="88" thickBot="1">
      <c r="B132" t="inlineStr">
        <is>
          <t>Paraguay</t>
        </is>
      </c>
      <c r="C132" t="n">
        <v>35</v>
      </c>
      <c r="D132" t="n">
        <v>0.06900000000000001</v>
      </c>
      <c r="E132" t="n">
        <v>0.005</v>
      </c>
      <c r="F132" t="n">
        <v>0.015</v>
      </c>
      <c r="G132" t="n">
        <v>0.056</v>
      </c>
      <c r="H132" t="n">
        <v>0.08599999999999999</v>
      </c>
      <c r="I132" t="n">
        <v>-0.073</v>
      </c>
      <c r="J132" t="n">
        <v>0.339</v>
      </c>
      <c r="K132" t="n">
        <v>2.2</v>
      </c>
      <c r="L132" t="n">
        <v>6838.31</v>
      </c>
    </row>
    <row r="133">
      <c r="B133" t="inlineStr">
        <is>
          <t>Nepal</t>
        </is>
      </c>
      <c r="C133" t="n">
        <v>34</v>
      </c>
      <c r="D133" t="n">
        <v>0.04</v>
      </c>
      <c r="E133" s="73" t="n"/>
      <c r="F133" t="n">
        <v>0.05</v>
      </c>
      <c r="G133" t="n">
        <v>0.0435</v>
      </c>
      <c r="H133" t="n">
        <v>0.0444</v>
      </c>
      <c r="I133" t="n">
        <v>-0.054</v>
      </c>
      <c r="J133" t="n">
        <v>0.377</v>
      </c>
      <c r="K133" t="n">
        <v>-0.9</v>
      </c>
      <c r="L133" t="n">
        <v>113.59</v>
      </c>
    </row>
    <row r="134" ht="16" customHeight="1" s="88" thickBot="1">
      <c r="B134" t="inlineStr">
        <is>
          <t>Latvia</t>
        </is>
      </c>
      <c r="C134" t="n">
        <v>34</v>
      </c>
      <c r="D134" t="n">
        <v>0.111</v>
      </c>
      <c r="E134" t="n">
        <v>0.044</v>
      </c>
      <c r="F134" t="n">
        <v>0</v>
      </c>
      <c r="G134" t="n">
        <v>0.037</v>
      </c>
      <c r="H134" t="n">
        <v>0.079</v>
      </c>
      <c r="I134" t="n">
        <v>-0.045</v>
      </c>
      <c r="J134" t="n">
        <v>0.435</v>
      </c>
      <c r="K134" t="n">
        <v>3</v>
      </c>
      <c r="L134" t="n">
        <v>1.11</v>
      </c>
    </row>
    <row r="135">
      <c r="B135" t="inlineStr">
        <is>
          <t>Lebanon</t>
        </is>
      </c>
      <c r="C135" t="n">
        <v>33</v>
      </c>
      <c r="D135" t="n">
        <v>-0.203</v>
      </c>
      <c r="E135" s="73" t="n"/>
      <c r="F135" t="n">
        <v>0.1</v>
      </c>
      <c r="G135" t="n">
        <v>1.3775</v>
      </c>
      <c r="H135" t="n">
        <v>0.066</v>
      </c>
      <c r="I135" t="n">
        <v>-0.165</v>
      </c>
      <c r="J135" t="n">
        <v>1.717</v>
      </c>
      <c r="K135" t="n">
        <v>-22.2</v>
      </c>
      <c r="L135" t="n">
        <v>1512</v>
      </c>
    </row>
    <row r="136">
      <c r="B136" t="inlineStr">
        <is>
          <t>Estonia</t>
        </is>
      </c>
      <c r="C136" t="n">
        <v>31</v>
      </c>
      <c r="D136" t="n">
        <v>0.129</v>
      </c>
      <c r="E136" t="n">
        <v>0.043</v>
      </c>
      <c r="F136" t="n">
        <v>0</v>
      </c>
      <c r="G136" t="n">
        <v>0.05</v>
      </c>
      <c r="H136" t="n">
        <v>0.06900000000000001</v>
      </c>
      <c r="I136" t="n">
        <v>-0.049</v>
      </c>
      <c r="J136" t="n">
        <v>0.182</v>
      </c>
      <c r="K136" t="n">
        <v>-0.6</v>
      </c>
      <c r="L136" t="n">
        <v>1.11</v>
      </c>
    </row>
    <row r="137">
      <c r="B137" t="inlineStr">
        <is>
          <t>Sudan</t>
        </is>
      </c>
      <c r="C137" t="n">
        <v>26</v>
      </c>
      <c r="D137" t="n">
        <v>-0.08400000000000001</v>
      </c>
      <c r="F137" t="n">
        <v>0.196</v>
      </c>
      <c r="G137" t="n">
        <v>3.876</v>
      </c>
      <c r="H137" t="n">
        <v>0.177</v>
      </c>
      <c r="I137" t="n">
        <v>-0.124</v>
      </c>
      <c r="J137" t="n">
        <v>2.594</v>
      </c>
      <c r="K137" t="n">
        <v>-12.6</v>
      </c>
      <c r="L137" t="n">
        <v>45.11</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row>
    <row r="139" ht="16" customHeight="1" s="88" thickBot="1">
      <c r="B139" t="inlineStr">
        <is>
          <t>Cambodia</t>
        </is>
      </c>
      <c r="C139" t="n">
        <v>25</v>
      </c>
      <c r="D139" t="n">
        <v>-0.031</v>
      </c>
      <c r="F139" t="n">
        <v>0.0061</v>
      </c>
      <c r="G139" t="n">
        <v>0.027</v>
      </c>
      <c r="H139" t="n">
        <v>0.0031</v>
      </c>
      <c r="I139" t="n">
        <v>-0.026</v>
      </c>
      <c r="J139" t="n">
        <v>0.315</v>
      </c>
      <c r="K139" t="n">
        <v>-11.9</v>
      </c>
      <c r="L139" t="n">
        <v>4061</v>
      </c>
    </row>
    <row r="140">
      <c r="B140" t="inlineStr">
        <is>
          <t>Libya</t>
        </is>
      </c>
      <c r="C140" t="n">
        <v>25</v>
      </c>
      <c r="D140" t="n">
        <v>-0.603</v>
      </c>
      <c r="E140" s="73" t="n"/>
      <c r="F140" t="n">
        <v>0.03</v>
      </c>
      <c r="G140" t="n">
        <v>0.0208</v>
      </c>
      <c r="H140" t="n">
        <v>0.1863</v>
      </c>
      <c r="I140" t="n">
        <v>-1.03</v>
      </c>
      <c r="J140" t="n">
        <v>1.55</v>
      </c>
      <c r="K140" t="n">
        <v>9.300000000000001</v>
      </c>
      <c r="L140" t="n">
        <v>1.39</v>
      </c>
    </row>
    <row r="141" ht="16" customHeight="1" s="88" thickBot="1">
      <c r="B141" t="inlineStr">
        <is>
          <t>Senegal</t>
        </is>
      </c>
      <c r="C141" t="n">
        <v>25</v>
      </c>
      <c r="D141" t="n">
        <v>0.051</v>
      </c>
      <c r="E141" t="n">
        <v>0.008999999999999999</v>
      </c>
      <c r="F141" t="n">
        <v>0.04</v>
      </c>
      <c r="G141" t="n">
        <v>0.026</v>
      </c>
      <c r="H141" t="n">
        <v>0.226</v>
      </c>
      <c r="I141" t="n">
        <v>-0.06</v>
      </c>
      <c r="J141" t="n">
        <v>0.477</v>
      </c>
      <c r="K141" t="n">
        <v>-10.3</v>
      </c>
      <c r="L141" t="n">
        <v>588.96</v>
      </c>
    </row>
    <row r="142">
      <c r="B142" t="inlineStr">
        <is>
          <t>Papua New Guinea</t>
        </is>
      </c>
      <c r="C142" t="n">
        <v>24</v>
      </c>
      <c r="D142" t="n">
        <v>-0.038</v>
      </c>
      <c r="E142" s="73" t="n"/>
      <c r="F142" t="n">
        <v>0.03</v>
      </c>
      <c r="G142" t="n">
        <v>0.033</v>
      </c>
      <c r="H142" t="n">
        <v>0.027</v>
      </c>
      <c r="I142" t="n">
        <v>-0.081</v>
      </c>
      <c r="J142" t="n">
        <v>0.489</v>
      </c>
      <c r="K142" t="n">
        <v>16.9</v>
      </c>
      <c r="L142" t="n">
        <v>3.41</v>
      </c>
    </row>
    <row r="143">
      <c r="B143" t="inlineStr">
        <is>
          <t>Honduras</t>
        </is>
      </c>
      <c r="C143" t="n">
        <v>24</v>
      </c>
      <c r="D143" t="n">
        <v>0.013</v>
      </c>
      <c r="E143" t="n">
        <v>0.062</v>
      </c>
      <c r="F143" t="n">
        <v>0.03</v>
      </c>
      <c r="G143" t="n">
        <v>0.0448</v>
      </c>
      <c r="H143" t="n">
        <v>0.109</v>
      </c>
      <c r="I143" t="n">
        <v>-0.06900000000000001</v>
      </c>
      <c r="J143" t="n">
        <v>0.5486</v>
      </c>
      <c r="K143" t="n">
        <v>4</v>
      </c>
      <c r="L143" t="n">
        <v>24.6</v>
      </c>
    </row>
    <row r="144" ht="16" customHeight="1" s="88" thickBot="1">
      <c r="B144" t="inlineStr">
        <is>
          <t>Cyprus</t>
        </is>
      </c>
      <c r="C144" t="n">
        <v>24</v>
      </c>
      <c r="D144" t="n">
        <v>0.129</v>
      </c>
      <c r="E144" t="n">
        <v>0.002</v>
      </c>
      <c r="F144" t="n">
        <v>0</v>
      </c>
      <c r="G144" t="n">
        <v>0.0504</v>
      </c>
      <c r="H144" t="n">
        <v>0.052</v>
      </c>
      <c r="I144" t="n">
        <v>-0.057</v>
      </c>
      <c r="J144" t="n">
        <v>1.182</v>
      </c>
      <c r="K144" t="n">
        <v>-11.9</v>
      </c>
      <c r="L144" t="n">
        <v>1.11</v>
      </c>
    </row>
    <row r="145" ht="16" customHeight="1" s="88" thickBot="1">
      <c r="B145" t="inlineStr">
        <is>
          <t>Yemen</t>
        </is>
      </c>
      <c r="C145" t="n">
        <v>23</v>
      </c>
      <c r="D145" t="n">
        <v>-0.005</v>
      </c>
      <c r="E145" s="73" t="n"/>
      <c r="F145" t="n">
        <v>0.27</v>
      </c>
      <c r="G145" t="n">
        <v>0.0077</v>
      </c>
      <c r="H145" t="n">
        <v>0.1342</v>
      </c>
      <c r="I145" t="n">
        <v>-0.044</v>
      </c>
      <c r="J145" t="n">
        <v>0.8169999999999999</v>
      </c>
      <c r="K145" t="n">
        <v>-0.01</v>
      </c>
      <c r="L145" t="n">
        <v>246.5</v>
      </c>
    </row>
    <row r="146">
      <c r="B146" t="inlineStr">
        <is>
          <t>Trinidad and Tobago</t>
        </is>
      </c>
      <c r="C146" t="n">
        <v>22</v>
      </c>
      <c r="D146" t="n">
        <v>-0.077</v>
      </c>
      <c r="E146" s="86" t="n">
        <v>0.051</v>
      </c>
      <c r="F146" t="n">
        <v>0.035</v>
      </c>
      <c r="G146" t="n">
        <v>0.018</v>
      </c>
      <c r="H146" t="n">
        <v>0.051</v>
      </c>
      <c r="I146" t="n">
        <v>-0.112</v>
      </c>
      <c r="J146" t="n">
        <v>0.827</v>
      </c>
      <c r="K146" t="n">
        <v>2.3</v>
      </c>
      <c r="L146" t="n">
        <v>6.74</v>
      </c>
    </row>
    <row r="147" ht="16" customHeight="1" s="88" thickBot="1">
      <c r="B147" t="inlineStr">
        <is>
          <t>Iceland</t>
        </is>
      </c>
      <c r="C147" t="n">
        <v>22</v>
      </c>
      <c r="D147" t="n">
        <v>0.073</v>
      </c>
      <c r="E147" t="n">
        <v>0.042</v>
      </c>
      <c r="F147" t="n">
        <v>0.0125</v>
      </c>
      <c r="G147" t="n">
        <v>0.044</v>
      </c>
      <c r="H147" t="n">
        <v>0.051</v>
      </c>
      <c r="I147" t="n">
        <v>-0.073</v>
      </c>
      <c r="J147" t="n">
        <v>0.799</v>
      </c>
      <c r="K147" t="n">
        <v>1</v>
      </c>
      <c r="L147" t="n">
        <v>124.24</v>
      </c>
    </row>
    <row r="148" ht="16" customHeight="1" s="88" thickBot="1">
      <c r="B148" t="inlineStr">
        <is>
          <t>Bosnia and Herzegovina</t>
        </is>
      </c>
      <c r="C148" t="n">
        <v>20</v>
      </c>
      <c r="D148" t="n">
        <v>0.015</v>
      </c>
      <c r="E148" s="87" t="n">
        <v>0.046</v>
      </c>
      <c r="F148" t="n">
        <v>0.0302</v>
      </c>
      <c r="G148" t="n">
        <v>0.023</v>
      </c>
      <c r="H148" t="n">
        <v>0.3254</v>
      </c>
      <c r="I148" t="n">
        <v>0.019</v>
      </c>
      <c r="J148" t="n">
        <v>0.246</v>
      </c>
      <c r="K148" t="n">
        <v>-3.1</v>
      </c>
      <c r="L148" t="n">
        <v>1.77</v>
      </c>
    </row>
    <row r="149" ht="16" customHeight="1" s="88" thickBot="1">
      <c r="B149" t="inlineStr">
        <is>
          <t>Afghanistan</t>
        </is>
      </c>
      <c r="C149" t="n">
        <v>20</v>
      </c>
      <c r="D149" t="n">
        <v>-0.0193</v>
      </c>
      <c r="E149" s="73" t="n"/>
      <c r="F149" t="n">
        <v>0.15</v>
      </c>
      <c r="G149" t="n">
        <v>0.0156</v>
      </c>
      <c r="H149" t="n">
        <v>0.112</v>
      </c>
      <c r="I149" t="n">
        <v>-0.034</v>
      </c>
      <c r="J149" t="n">
        <v>0.078</v>
      </c>
      <c r="K149" t="n">
        <v>-21.2</v>
      </c>
      <c r="L149" t="n">
        <v>78.40000000000001</v>
      </c>
    </row>
    <row r="150" ht="16" customHeight="1" s="88" thickBot="1">
      <c r="B150" t="inlineStr">
        <is>
          <t>Laos</t>
        </is>
      </c>
      <c r="C150" t="n">
        <v>19</v>
      </c>
      <c r="D150" t="n">
        <v>0.004</v>
      </c>
      <c r="E150" s="73" t="n"/>
      <c r="F150" t="n">
        <v>0.03</v>
      </c>
      <c r="G150" t="n">
        <v>0.047</v>
      </c>
      <c r="H150" t="n">
        <v>0.01</v>
      </c>
      <c r="I150" t="n">
        <v>-0.0522</v>
      </c>
      <c r="J150" t="n">
        <v>0.5566</v>
      </c>
      <c r="K150" t="n">
        <v>-0.6</v>
      </c>
      <c r="L150" t="n">
        <v>9485</v>
      </c>
    </row>
    <row r="151" ht="16" customHeight="1" s="88" thickBot="1">
      <c r="B151" t="inlineStr">
        <is>
          <t>Zambia</t>
        </is>
      </c>
      <c r="C151" t="n">
        <v>19</v>
      </c>
      <c r="D151" t="n">
        <v>0.007</v>
      </c>
      <c r="E151" s="73" t="n"/>
      <c r="F151" t="n">
        <v>0.08500000000000001</v>
      </c>
      <c r="G151" t="n">
        <v>0.244</v>
      </c>
      <c r="H151" t="n">
        <v>0.122</v>
      </c>
      <c r="I151" t="n">
        <v>-0.11</v>
      </c>
      <c r="J151" t="n">
        <v>0.96</v>
      </c>
      <c r="K151" t="n">
        <v>12.2</v>
      </c>
      <c r="L151" t="n">
        <v>22.64</v>
      </c>
    </row>
    <row r="152" ht="16" customHeight="1" s="88" thickBot="1">
      <c r="B152" t="inlineStr">
        <is>
          <t>Zimbabwe</t>
        </is>
      </c>
      <c r="C152" t="n">
        <v>17</v>
      </c>
      <c r="D152" t="n">
        <v>-0.041</v>
      </c>
      <c r="E152" s="73" t="n"/>
      <c r="F152" t="n">
        <v>0.4</v>
      </c>
      <c r="G152" t="n">
        <v>0.5155</v>
      </c>
      <c r="H152" t="n">
        <v>0.057</v>
      </c>
      <c r="I152" t="n">
        <v>-0.015</v>
      </c>
      <c r="J152" t="n">
        <v>0.772</v>
      </c>
      <c r="K152" t="n">
        <v>-1.9</v>
      </c>
      <c r="L152" t="n">
        <v>16.36</v>
      </c>
    </row>
    <row r="153" ht="16" customHeight="1" s="88" thickBot="1">
      <c r="B153" t="inlineStr">
        <is>
          <t>Mali</t>
        </is>
      </c>
      <c r="C153" t="n">
        <v>17</v>
      </c>
      <c r="D153" t="n">
        <v>0.029</v>
      </c>
      <c r="E153" s="73" t="n"/>
      <c r="F153" t="n">
        <v>0.04</v>
      </c>
      <c r="G153" t="n">
        <v>0.02</v>
      </c>
      <c r="H153" t="n">
        <v>0.075</v>
      </c>
      <c r="I153" t="n">
        <v>-0.061</v>
      </c>
      <c r="J153" s="73" t="n"/>
      <c r="K153" t="n">
        <v>-1.7</v>
      </c>
      <c r="L153" t="n">
        <v>588.96</v>
      </c>
    </row>
    <row r="154">
      <c r="B154" t="inlineStr">
        <is>
          <t>Burkina Faso</t>
        </is>
      </c>
      <c r="C154" t="n">
        <v>17</v>
      </c>
      <c r="D154" t="n">
        <v>0.147</v>
      </c>
      <c r="E154" s="73" t="n"/>
      <c r="F154" t="n">
        <v>0.04</v>
      </c>
      <c r="G154" t="n">
        <v>0.035</v>
      </c>
      <c r="H154" t="n">
        <v>0.05</v>
      </c>
      <c r="I154" t="n">
        <v>-0.054</v>
      </c>
      <c r="J154" t="n">
        <v>0.25</v>
      </c>
      <c r="K154" t="n">
        <v>1.2</v>
      </c>
      <c r="L154" t="n">
        <v>588.96</v>
      </c>
    </row>
    <row r="155" ht="16" customHeight="1" s="88" thickBot="1">
      <c r="B155" t="inlineStr">
        <is>
          <t>Botswana</t>
        </is>
      </c>
      <c r="C155" t="n">
        <v>16</v>
      </c>
      <c r="D155" t="n">
        <v>0.007</v>
      </c>
      <c r="E155" t="n">
        <v>0.05</v>
      </c>
      <c r="F155" t="n">
        <v>0.0375</v>
      </c>
      <c r="G155" t="n">
        <v>0.08799999999999999</v>
      </c>
      <c r="H155" t="n">
        <v>0.233</v>
      </c>
      <c r="I155" t="n">
        <v>-0.056</v>
      </c>
      <c r="J155" t="n">
        <v>0.182</v>
      </c>
      <c r="K155" t="n">
        <v>-11.2</v>
      </c>
      <c r="L155" t="n">
        <v>11.03</v>
      </c>
    </row>
    <row r="156" ht="16" customHeight="1" s="88" thickBot="1">
      <c r="B156" t="inlineStr">
        <is>
          <t>Benin</t>
        </is>
      </c>
      <c r="C156" t="n">
        <v>16</v>
      </c>
      <c r="D156" t="n">
        <v>0.039</v>
      </c>
      <c r="E156" s="73" t="n"/>
      <c r="F156" t="n">
        <v>0.04</v>
      </c>
      <c r="G156" t="n">
        <v>0.014</v>
      </c>
      <c r="H156" t="n">
        <v>0.025</v>
      </c>
      <c r="I156" t="n">
        <v>-0.037</v>
      </c>
      <c r="J156" t="n">
        <v>0.461</v>
      </c>
      <c r="K156" t="n">
        <v>-5.5</v>
      </c>
      <c r="L156" t="n">
        <v>588.96</v>
      </c>
    </row>
    <row r="157" ht="16" customHeight="1" s="88" thickBot="1">
      <c r="B157" t="inlineStr">
        <is>
          <t>Guinea</t>
        </is>
      </c>
      <c r="C157" t="n">
        <v>16</v>
      </c>
      <c r="D157" t="n">
        <v>0.07000000000000001</v>
      </c>
      <c r="E157" s="73" t="n"/>
      <c r="F157" t="n">
        <v>0.115</v>
      </c>
      <c r="G157" t="n">
        <v>0.1348</v>
      </c>
      <c r="H157" t="n">
        <v>0.044</v>
      </c>
      <c r="I157" t="n">
        <v>-0.031</v>
      </c>
      <c r="J157" t="n">
        <v>0.4</v>
      </c>
      <c r="K157" t="n">
        <v>-13.3</v>
      </c>
      <c r="L157" t="n">
        <v>9537</v>
      </c>
    </row>
    <row r="158">
      <c r="B158" t="inlineStr">
        <is>
          <t>Georgia</t>
        </is>
      </c>
      <c r="C158" t="n">
        <v>16</v>
      </c>
      <c r="D158" t="n">
        <v>0.299</v>
      </c>
      <c r="E158" s="73" t="n"/>
      <c r="F158" t="n">
        <v>0.1</v>
      </c>
      <c r="G158" t="n">
        <v>0.128</v>
      </c>
      <c r="H158" t="n">
        <v>0.185</v>
      </c>
      <c r="I158" t="n">
        <v>-0.093</v>
      </c>
      <c r="J158" t="n">
        <v>0.624</v>
      </c>
      <c r="K158" t="n">
        <v>-12.3</v>
      </c>
      <c r="L158" t="n">
        <v>2.89</v>
      </c>
    </row>
    <row r="159" ht="16" customHeight="1" s="88" thickBot="1">
      <c r="B159" t="inlineStr">
        <is>
          <t>Gabon</t>
        </is>
      </c>
      <c r="C159" t="n">
        <v>16</v>
      </c>
      <c r="D159" t="n">
        <v>-0.018</v>
      </c>
      <c r="F159" t="n">
        <v>0.0325</v>
      </c>
      <c r="G159" t="n">
        <v>0.008999999999999999</v>
      </c>
      <c r="H159" t="n">
        <v>0.205</v>
      </c>
      <c r="I159" t="n">
        <v>-0.05</v>
      </c>
      <c r="J159" t="n">
        <v>0.725</v>
      </c>
      <c r="K159" t="n">
        <v>-9.5</v>
      </c>
      <c r="L159" t="n">
        <v>551.3200000000001</v>
      </c>
    </row>
    <row r="160">
      <c r="B160" t="inlineStr">
        <is>
          <t>Palestine</t>
        </is>
      </c>
      <c r="C160" t="n">
        <v>16</v>
      </c>
      <c r="D160" t="n">
        <v>-0.06</v>
      </c>
      <c r="E160" s="73" t="n"/>
      <c r="F160" s="73" t="n"/>
      <c r="G160" t="n">
        <v>0.0255</v>
      </c>
      <c r="H160" t="n">
        <v>0.264</v>
      </c>
      <c r="I160" t="n">
        <v>-0.005</v>
      </c>
      <c r="J160" t="n">
        <v>0.164</v>
      </c>
      <c r="K160" t="n">
        <v>-10.7</v>
      </c>
    </row>
    <row r="161">
      <c r="B161" t="inlineStr">
        <is>
          <t>Malta</t>
        </is>
      </c>
      <c r="C161" t="n">
        <v>15</v>
      </c>
      <c r="D161" t="n">
        <v>0.134</v>
      </c>
      <c r="E161" t="n">
        <v>-0.005</v>
      </c>
      <c r="F161" t="n">
        <v>0</v>
      </c>
      <c r="G161" t="n">
        <v>0.004</v>
      </c>
      <c r="H161" t="n">
        <v>0.035</v>
      </c>
      <c r="I161" t="n">
        <v>-0.101</v>
      </c>
      <c r="J161" t="n">
        <v>0.543</v>
      </c>
      <c r="K161" t="n">
        <v>-4</v>
      </c>
      <c r="L161" t="n">
        <v>1.11</v>
      </c>
    </row>
    <row r="162" ht="16" customHeight="1" s="88" thickBot="1">
      <c r="B162" t="inlineStr">
        <is>
          <t>Albania</t>
        </is>
      </c>
      <c r="C162" t="n">
        <v>15</v>
      </c>
      <c r="D162" t="n">
        <v>0.0553</v>
      </c>
      <c r="E162" t="n">
        <v>0.023</v>
      </c>
      <c r="F162" t="n">
        <v>0.005</v>
      </c>
      <c r="G162" t="n">
        <v>0.024</v>
      </c>
      <c r="H162" t="n">
        <v>0.121</v>
      </c>
      <c r="I162" t="n">
        <v>-0.06900000000000001</v>
      </c>
      <c r="J162" t="n">
        <v>0.659</v>
      </c>
      <c r="K162" t="n">
        <v>-8.9</v>
      </c>
      <c r="L162" t="n">
        <v>109.97</v>
      </c>
    </row>
    <row r="163">
      <c r="B163" t="inlineStr">
        <is>
          <t>Madagascar</t>
        </is>
      </c>
      <c r="C163" t="n">
        <v>14</v>
      </c>
      <c r="D163" t="n">
        <v>-0.04</v>
      </c>
      <c r="E163" s="73" t="n"/>
      <c r="F163" t="n">
        <v>0.095</v>
      </c>
      <c r="G163" t="n">
        <v>0.0625</v>
      </c>
      <c r="H163" t="n">
        <v>0.019</v>
      </c>
      <c r="I163" t="n">
        <v>-0.063</v>
      </c>
      <c r="J163" t="n">
        <v>0.448</v>
      </c>
      <c r="K163" t="n">
        <v>-3.5</v>
      </c>
      <c r="L163" t="n">
        <v>3680.5</v>
      </c>
    </row>
    <row r="164">
      <c r="B164" t="inlineStr">
        <is>
          <t>Jamaica</t>
        </is>
      </c>
      <c r="C164" t="n">
        <v>14</v>
      </c>
      <c r="D164" t="n">
        <v>-0.067</v>
      </c>
      <c r="E164" t="n">
        <v>0.006</v>
      </c>
      <c r="F164" t="n">
        <v>0.005</v>
      </c>
      <c r="G164" t="n">
        <v>0.053</v>
      </c>
      <c r="H164" t="n">
        <v>0.089</v>
      </c>
      <c r="I164" t="n">
        <v>-0.039</v>
      </c>
      <c r="J164" t="n">
        <v>1.101</v>
      </c>
      <c r="K164" t="n">
        <v>0.2</v>
      </c>
      <c r="L164" t="n">
        <v>133.91</v>
      </c>
    </row>
    <row r="165">
      <c r="B165" t="inlineStr">
        <is>
          <t>Mozambique</t>
        </is>
      </c>
      <c r="C165" t="n">
        <v>14</v>
      </c>
      <c r="D165" t="n">
        <v>0.0197</v>
      </c>
      <c r="E165" t="n">
        <v>0.02</v>
      </c>
      <c r="F165" t="n">
        <v>0.1325</v>
      </c>
      <c r="G165" t="n">
        <v>0.0561</v>
      </c>
      <c r="H165" t="n">
        <v>0.2504</v>
      </c>
      <c r="I165" t="n">
        <v>-0.117</v>
      </c>
      <c r="J165" t="n">
        <v>1.22</v>
      </c>
      <c r="K165" t="n">
        <v>-30.8</v>
      </c>
      <c r="L165" t="n">
        <v>63</v>
      </c>
    </row>
    <row r="166">
      <c r="B166" t="inlineStr">
        <is>
          <t>Niger</t>
        </is>
      </c>
      <c r="C166" t="n">
        <v>14</v>
      </c>
      <c r="D166" t="n">
        <v>0.03</v>
      </c>
      <c r="F166" t="n">
        <v>0.04</v>
      </c>
      <c r="G166" t="n">
        <v>0.039</v>
      </c>
      <c r="H166" t="n">
        <v>0.007</v>
      </c>
      <c r="I166" t="n">
        <v>-0.057</v>
      </c>
      <c r="J166" t="n">
        <v>0.398</v>
      </c>
      <c r="K166" t="n">
        <v>-12</v>
      </c>
      <c r="L166" t="n">
        <v>588.96</v>
      </c>
    </row>
    <row r="167" ht="16" customHeight="1" s="88" thickBot="1">
      <c r="B167" t="inlineStr">
        <is>
          <t>Mongolia</t>
        </is>
      </c>
      <c r="C167" t="n">
        <v>13</v>
      </c>
      <c r="D167" t="n">
        <v>0.063</v>
      </c>
      <c r="E167" t="n">
        <v>0.061</v>
      </c>
      <c r="F167" t="n">
        <v>0.06</v>
      </c>
      <c r="G167" t="n">
        <v>0.089</v>
      </c>
      <c r="H167" t="n">
        <v>0.08400000000000001</v>
      </c>
      <c r="I167" t="n">
        <v>-0.115</v>
      </c>
      <c r="J167" t="n">
        <v>0.66</v>
      </c>
      <c r="K167" t="n">
        <v>-12.3</v>
      </c>
      <c r="L167" t="n">
        <v>2728</v>
      </c>
    </row>
    <row r="168">
      <c r="B168" t="inlineStr">
        <is>
          <t>Nicaragua</t>
        </is>
      </c>
      <c r="C168" t="n">
        <v>13</v>
      </c>
      <c r="D168" t="n">
        <v>0.034</v>
      </c>
      <c r="E168" s="73" t="n"/>
      <c r="F168" s="80" t="n">
        <v>0.0959</v>
      </c>
      <c r="G168" t="n">
        <v>0.0412</v>
      </c>
      <c r="H168" t="n">
        <v>0.049</v>
      </c>
      <c r="I168" t="n">
        <v>-0.01</v>
      </c>
      <c r="J168" t="n">
        <v>0.648</v>
      </c>
      <c r="K168" t="n">
        <v>7.6</v>
      </c>
      <c r="L168" t="n">
        <v>33.47</v>
      </c>
    </row>
    <row r="169" ht="16" customHeight="1" s="88" thickBot="1">
      <c r="B169" t="inlineStr">
        <is>
          <t>Armenia</t>
        </is>
      </c>
      <c r="C169" t="n">
        <v>13</v>
      </c>
      <c r="D169" t="n">
        <v>0.131</v>
      </c>
      <c r="F169" t="n">
        <v>0.0725</v>
      </c>
      <c r="G169" t="n">
        <v>0.08799999999999999</v>
      </c>
      <c r="H169" t="n">
        <v>0.17</v>
      </c>
      <c r="I169" t="n">
        <v>-0.054</v>
      </c>
      <c r="J169" t="n">
        <v>0.6279</v>
      </c>
      <c r="K169" t="n">
        <v>-4</v>
      </c>
      <c r="L169" t="n">
        <v>495.16</v>
      </c>
    </row>
    <row r="170" ht="16" customHeight="1" s="88" thickBot="1">
      <c r="B170" t="inlineStr">
        <is>
          <t>Haiti</t>
        </is>
      </c>
      <c r="C170" t="n">
        <v>13</v>
      </c>
      <c r="D170" t="n">
        <v>-0.033</v>
      </c>
      <c r="E170" s="73" t="n"/>
      <c r="F170" t="n">
        <v>0.17</v>
      </c>
      <c r="G170" t="n">
        <v>0.122</v>
      </c>
      <c r="H170" t="n">
        <v>0.145</v>
      </c>
      <c r="I170" t="n">
        <v>-0.059</v>
      </c>
      <c r="J170" t="n">
        <v>0.544</v>
      </c>
      <c r="K170" t="n">
        <v>5.5</v>
      </c>
      <c r="L170" t="n">
        <v>88.70999999999999</v>
      </c>
    </row>
    <row r="171">
      <c r="B171" t="inlineStr">
        <is>
          <t>Brunei</t>
        </is>
      </c>
      <c r="C171" t="n">
        <v>12</v>
      </c>
      <c r="D171" t="n">
        <v>-0.014</v>
      </c>
      <c r="E171" s="73" t="n"/>
      <c r="F171" t="n">
        <v>0.055</v>
      </c>
      <c r="G171" t="n">
        <v>0.017</v>
      </c>
      <c r="H171" t="n">
        <v>0.08400000000000001</v>
      </c>
      <c r="I171" t="n">
        <v>-0.027</v>
      </c>
      <c r="J171" t="n">
        <v>0.032</v>
      </c>
      <c r="K171" t="n">
        <v>1</v>
      </c>
      <c r="L171" t="n">
        <v>1.35</v>
      </c>
    </row>
    <row r="172">
      <c r="B172" t="inlineStr">
        <is>
          <t>Malawi</t>
        </is>
      </c>
      <c r="C172" t="n">
        <v>12</v>
      </c>
      <c r="D172" t="n">
        <v>0.008999999999999999</v>
      </c>
      <c r="F172" t="n">
        <v>0.12</v>
      </c>
      <c r="G172" t="n">
        <v>0.08400000000000001</v>
      </c>
      <c r="H172" t="n">
        <v>0.06</v>
      </c>
      <c r="I172" t="n">
        <v>-0.057</v>
      </c>
      <c r="J172" t="n">
        <v>0.507</v>
      </c>
      <c r="K172" t="n">
        <v>-12.1</v>
      </c>
      <c r="L172" t="n">
        <v>734.11</v>
      </c>
    </row>
    <row r="173">
      <c r="B173" t="inlineStr">
        <is>
          <t>Moldova</t>
        </is>
      </c>
      <c r="C173" t="n">
        <v>12</v>
      </c>
      <c r="D173" t="n">
        <v>0.215</v>
      </c>
      <c r="E173" t="n">
        <v>0.025</v>
      </c>
      <c r="F173" t="n">
        <v>0.0465</v>
      </c>
      <c r="G173" t="n">
        <v>0.046</v>
      </c>
      <c r="H173" t="n">
        <v>0.036</v>
      </c>
      <c r="I173" t="n">
        <v>-0.08</v>
      </c>
      <c r="J173" t="n">
        <v>0.329</v>
      </c>
      <c r="K173" t="n">
        <v>-6.7</v>
      </c>
      <c r="L173" t="n">
        <v>17.97</v>
      </c>
    </row>
    <row r="174">
      <c r="B174" t="inlineStr">
        <is>
          <t>Macedonia</t>
        </is>
      </c>
      <c r="C174" t="n">
        <v>12</v>
      </c>
      <c r="D174" t="n">
        <v>0.131</v>
      </c>
      <c r="E174" t="n">
        <v>0.039</v>
      </c>
      <c r="F174" t="n">
        <v>0.0125</v>
      </c>
      <c r="G174" t="n">
        <v>0.036</v>
      </c>
      <c r="H174" t="n">
        <v>0.159</v>
      </c>
      <c r="I174" t="n">
        <v>-0.081</v>
      </c>
      <c r="J174" t="n">
        <v>0.512</v>
      </c>
      <c r="K174" t="n">
        <v>-3.5</v>
      </c>
      <c r="L174" t="n">
        <v>51.93</v>
      </c>
    </row>
    <row r="175">
      <c r="B175" t="inlineStr">
        <is>
          <t>Mauritius</t>
        </is>
      </c>
      <c r="C175" t="n">
        <v>11</v>
      </c>
      <c r="D175" t="n">
        <v>-0.08699999999999999</v>
      </c>
      <c r="E175" t="n">
        <v>-0.026</v>
      </c>
      <c r="F175" t="n">
        <v>0.0185</v>
      </c>
      <c r="G175" t="n">
        <v>0.06</v>
      </c>
      <c r="H175" t="n">
        <v>0.098</v>
      </c>
      <c r="I175" t="n">
        <v>-0.136</v>
      </c>
      <c r="J175" t="n">
        <v>0.734</v>
      </c>
      <c r="K175" t="n">
        <v>-10.1</v>
      </c>
      <c r="L175" t="n">
        <v>42.9</v>
      </c>
    </row>
    <row r="176" ht="16" customHeight="1" s="88" thickBot="1">
      <c r="B176" t="inlineStr">
        <is>
          <t>Namibia</t>
        </is>
      </c>
      <c r="C176" t="n">
        <v>11</v>
      </c>
      <c r="D176" t="n">
        <v>0.016</v>
      </c>
      <c r="E176" t="n">
        <v>0.0225</v>
      </c>
      <c r="F176" t="n">
        <v>0.0375</v>
      </c>
      <c r="G176" t="n">
        <v>0.034</v>
      </c>
      <c r="H176" t="n">
        <v>0.334</v>
      </c>
      <c r="I176" t="n">
        <v>-0.095</v>
      </c>
      <c r="J176" t="n">
        <v>0.696</v>
      </c>
      <c r="K176" t="n">
        <v>1.9</v>
      </c>
      <c r="L176" t="n">
        <v>14.72</v>
      </c>
    </row>
    <row r="177" ht="16" customHeight="1" s="88" thickBot="1">
      <c r="B177" t="inlineStr">
        <is>
          <t>Republic of the Congo</t>
        </is>
      </c>
      <c r="C177" t="n">
        <v>11</v>
      </c>
      <c r="D177" t="n">
        <v>-0.079</v>
      </c>
      <c r="E177" s="73" t="n"/>
      <c r="F177" t="n">
        <v>0.0325</v>
      </c>
      <c r="G177" t="n">
        <v>0.011</v>
      </c>
      <c r="H177" t="n">
        <v>0.103</v>
      </c>
      <c r="I177" t="n">
        <v>-0.02</v>
      </c>
      <c r="J177" t="n">
        <v>1.0168</v>
      </c>
      <c r="K177" t="n">
        <v>8.199999999999999</v>
      </c>
      <c r="L177" t="n">
        <v>551.3200000000001</v>
      </c>
    </row>
    <row r="178" ht="16" customHeight="1" s="88" thickBot="1">
      <c r="B178" t="inlineStr">
        <is>
          <t>Bahamas</t>
        </is>
      </c>
      <c r="C178" t="n">
        <v>11</v>
      </c>
      <c r="D178" t="n">
        <v>-0.148</v>
      </c>
      <c r="E178" s="73" t="n"/>
      <c r="F178" t="n">
        <v>0.04</v>
      </c>
      <c r="G178" t="n">
        <v>0.027</v>
      </c>
      <c r="H178" t="n">
        <v>0.256</v>
      </c>
      <c r="I178" t="n">
        <v>-0.064</v>
      </c>
      <c r="J178" t="n">
        <v>0.838</v>
      </c>
      <c r="K178" t="n">
        <v>-17.6</v>
      </c>
      <c r="L178" t="n">
        <v>1</v>
      </c>
    </row>
    <row r="179" ht="16" customHeight="1" s="88" thickBot="1">
      <c r="B179" t="inlineStr">
        <is>
          <t>Chad</t>
        </is>
      </c>
      <c r="C179" t="n">
        <v>10</v>
      </c>
      <c r="D179" t="n">
        <v>-0.008999999999999999</v>
      </c>
      <c r="E179" s="73" t="n"/>
      <c r="F179" t="n">
        <v>0.0325</v>
      </c>
      <c r="G179" t="n">
        <v>-0.007</v>
      </c>
      <c r="H179" t="n">
        <v>0.023</v>
      </c>
      <c r="I179" t="n">
        <v>-0.008</v>
      </c>
      <c r="J179" t="n">
        <v>0.43</v>
      </c>
      <c r="K179" t="n">
        <v>-13.3</v>
      </c>
      <c r="L179" t="n">
        <v>551.3200000000001</v>
      </c>
    </row>
    <row r="180">
      <c r="B180" t="inlineStr">
        <is>
          <t>Equatorial Guinea</t>
        </is>
      </c>
      <c r="C180" t="n">
        <v>10</v>
      </c>
      <c r="D180" t="n">
        <v>-0.058</v>
      </c>
      <c r="E180" s="73" t="n"/>
      <c r="F180" t="n">
        <v>0.0325</v>
      </c>
      <c r="G180" t="n">
        <v>0.03</v>
      </c>
      <c r="H180" t="n">
        <v>0.092</v>
      </c>
      <c r="I180" t="n">
        <v>-0.028</v>
      </c>
      <c r="J180" t="n">
        <v>0.511</v>
      </c>
      <c r="K180" t="n">
        <v>-8.4</v>
      </c>
      <c r="L180" t="n">
        <v>551.3200000000001</v>
      </c>
    </row>
    <row r="181" ht="16" customHeight="1" s="88" thickBot="1">
      <c r="B181" t="inlineStr">
        <is>
          <t>Rwanda</t>
        </is>
      </c>
      <c r="C181" t="n">
        <v>10</v>
      </c>
      <c r="D181" t="n">
        <v>0.206</v>
      </c>
      <c r="E181" t="n">
        <v>0.045</v>
      </c>
      <c r="F181" t="n">
        <v>0.045</v>
      </c>
      <c r="G181" t="n">
        <v>-0.018</v>
      </c>
      <c r="H181" t="n">
        <v>0.17</v>
      </c>
      <c r="I181" t="n">
        <v>-0.083</v>
      </c>
      <c r="J181" t="n">
        <v>0.61</v>
      </c>
      <c r="K181" t="n">
        <v>-8.699999999999999</v>
      </c>
      <c r="L181" t="n">
        <v>934.59</v>
      </c>
    </row>
    <row r="182" ht="16" customHeight="1" s="88" thickBot="1">
      <c r="B182" t="inlineStr">
        <is>
          <t>New Caledonia</t>
        </is>
      </c>
      <c r="C182" t="n">
        <v>10</v>
      </c>
      <c r="D182" s="81" t="n">
        <v>-0.012</v>
      </c>
      <c r="E182" s="73" t="n"/>
      <c r="F182" t="n">
        <v>0.0025</v>
      </c>
      <c r="G182" t="n">
        <v>0.005</v>
      </c>
      <c r="H182" t="n">
        <v>0.165</v>
      </c>
      <c r="I182" s="73" t="n"/>
      <c r="J182" s="73" t="n"/>
      <c r="K182" s="73" t="n"/>
      <c r="L182" t="n">
        <v>107</v>
      </c>
    </row>
    <row r="183" ht="16" customHeight="1" s="88" thickBot="1">
      <c r="B183" t="inlineStr">
        <is>
          <t>Mauritania</t>
        </is>
      </c>
      <c r="C183" t="n">
        <v>8</v>
      </c>
      <c r="D183" t="n">
        <v>-0.036</v>
      </c>
      <c r="E183" s="73" t="n"/>
      <c r="F183" t="n">
        <v>0.05</v>
      </c>
      <c r="G183" t="n">
        <v>0.035</v>
      </c>
      <c r="H183" t="n">
        <v>0.107</v>
      </c>
      <c r="I183" t="n">
        <v>0.022</v>
      </c>
      <c r="J183" t="n">
        <v>0.531</v>
      </c>
      <c r="K183" t="n">
        <v>-7</v>
      </c>
      <c r="L183" t="n">
        <v>357.3</v>
      </c>
    </row>
    <row r="184" ht="16" customHeight="1" s="88" thickBot="1">
      <c r="B184" t="inlineStr">
        <is>
          <t>Kyrgyzstan</t>
        </is>
      </c>
      <c r="C184" t="n">
        <v>8</v>
      </c>
      <c r="D184" t="n">
        <v>-0.094</v>
      </c>
      <c r="E184" s="73" t="n"/>
      <c r="F184" t="n">
        <v>0.075</v>
      </c>
      <c r="G184" t="n">
        <v>0.14</v>
      </c>
      <c r="H184" t="n">
        <v>0.031</v>
      </c>
      <c r="I184" t="n">
        <v>0.008</v>
      </c>
      <c r="J184" t="n">
        <v>0.681</v>
      </c>
      <c r="K184" t="n">
        <v>4.3</v>
      </c>
      <c r="L184" t="n">
        <v>69.98999999999999</v>
      </c>
    </row>
    <row r="185" ht="16" customHeight="1" s="88" thickBot="1">
      <c r="B185" t="inlineStr">
        <is>
          <t>Kosovo</t>
        </is>
      </c>
      <c r="C185" t="n">
        <v>8</v>
      </c>
      <c r="D185" t="n">
        <v>0.1628</v>
      </c>
      <c r="E185" s="73" t="n"/>
      <c r="F185" s="73" t="n"/>
      <c r="G185" t="n">
        <v>0.047</v>
      </c>
      <c r="H185" t="n">
        <v>0.27</v>
      </c>
      <c r="I185" t="n">
        <v>-0.003</v>
      </c>
      <c r="J185" s="83" t="n">
        <v>0.218</v>
      </c>
      <c r="K185" t="n">
        <v>-7.2</v>
      </c>
      <c r="L185" t="n">
        <v>462.8</v>
      </c>
    </row>
    <row r="186" ht="16" customHeight="1" s="88" thickBot="1">
      <c r="B186" t="inlineStr">
        <is>
          <t>Togo</t>
        </is>
      </c>
      <c r="C186" t="n">
        <v>8</v>
      </c>
      <c r="D186" t="n">
        <v>0.029</v>
      </c>
      <c r="E186" s="73" t="n"/>
      <c r="F186" t="n">
        <v>0.04</v>
      </c>
      <c r="G186" t="n">
        <v>0.068</v>
      </c>
      <c r="H186" t="n">
        <v>0.041</v>
      </c>
      <c r="I186" t="n">
        <v>-0.047</v>
      </c>
      <c r="J186" t="n">
        <v>0.295</v>
      </c>
      <c r="K186" t="n">
        <v>-3.2</v>
      </c>
      <c r="L186" t="n">
        <v>588.96</v>
      </c>
    </row>
    <row r="187" ht="16" customHeight="1" s="88" thickBot="1">
      <c r="B187" t="inlineStr">
        <is>
          <t>Tajikistan</t>
        </is>
      </c>
      <c r="C187" t="n">
        <v>8</v>
      </c>
      <c r="D187" t="n">
        <v>0.08699999999999999</v>
      </c>
      <c r="E187" s="73" t="n"/>
      <c r="F187" t="n">
        <v>0.13</v>
      </c>
      <c r="G187" t="n">
        <v>0.091</v>
      </c>
      <c r="H187" t="n">
        <v>0.075</v>
      </c>
      <c r="I187" t="n">
        <v>-0.005</v>
      </c>
      <c r="J187" t="n">
        <v>0.4777</v>
      </c>
      <c r="K187" t="n">
        <v>0</v>
      </c>
      <c r="L187" t="n">
        <v>9.68</v>
      </c>
    </row>
    <row r="188" ht="16" customHeight="1" s="88" thickBot="1">
      <c r="B188" t="inlineStr">
        <is>
          <t>Monaco</t>
        </is>
      </c>
      <c r="C188" t="n">
        <v>7</v>
      </c>
      <c r="D188" t="n">
        <v>0.075</v>
      </c>
      <c r="E188" s="73" t="n"/>
      <c r="F188" s="73" t="n"/>
      <c r="G188" s="73" t="n"/>
      <c r="H188" s="73" t="n"/>
      <c r="I188" s="73" t="n"/>
      <c r="J188" s="73" t="n"/>
      <c r="K188" s="73" t="n"/>
      <c r="L188" t="n">
        <v>1.11</v>
      </c>
    </row>
    <row r="189" ht="16" customHeight="1" s="88" thickBot="1">
      <c r="B189" t="inlineStr">
        <is>
          <t>Liechtenstein</t>
        </is>
      </c>
      <c r="C189" t="n">
        <v>7</v>
      </c>
      <c r="D189" t="n">
        <v>-0.007</v>
      </c>
      <c r="E189" s="73" t="n"/>
      <c r="F189" s="73" t="n"/>
      <c r="G189" t="n">
        <v>0.007</v>
      </c>
      <c r="H189" s="79" t="n">
        <v>0.019</v>
      </c>
      <c r="I189" s="73" t="n"/>
      <c r="J189" s="73" t="n"/>
      <c r="K189" s="73" t="n"/>
      <c r="L189" t="n">
        <v>0.92</v>
      </c>
    </row>
    <row r="190" ht="16" customHeight="1" s="88" thickBot="1">
      <c r="B190" t="inlineStr">
        <is>
          <t>Eritrea</t>
        </is>
      </c>
      <c r="C190" t="n">
        <v>7</v>
      </c>
      <c r="D190" t="n">
        <v>-0.006</v>
      </c>
      <c r="E190" s="73" t="n"/>
      <c r="F190" s="73" t="n"/>
      <c r="G190" t="n">
        <v>0.047</v>
      </c>
      <c r="H190" t="n">
        <v>0.074</v>
      </c>
      <c r="I190" t="n">
        <v>-0.052</v>
      </c>
      <c r="J190" t="n">
        <v>0.64</v>
      </c>
      <c r="K190" t="n">
        <v>10.1</v>
      </c>
      <c r="L190" t="n">
        <v>15</v>
      </c>
    </row>
    <row r="191" ht="16" customHeight="1" s="88" thickBot="1">
      <c r="B191" t="inlineStr">
        <is>
          <t>Cayman Islands</t>
        </is>
      </c>
      <c r="C191" t="n">
        <v>6</v>
      </c>
      <c r="D191" t="n">
        <v>-0.067</v>
      </c>
      <c r="E191" s="73" t="n"/>
      <c r="F191" s="73" t="n"/>
      <c r="G191" t="n">
        <v>-0.01</v>
      </c>
      <c r="H191" t="n">
        <v>0.052</v>
      </c>
      <c r="I191" t="n">
        <v>-0.022</v>
      </c>
      <c r="J191" t="n">
        <v>0.053</v>
      </c>
      <c r="K191" t="n">
        <v>-21.2</v>
      </c>
      <c r="L191" t="n">
        <v>0.82</v>
      </c>
    </row>
    <row r="192" ht="16" customHeight="1" s="88" thickBot="1">
      <c r="B192" t="inlineStr">
        <is>
          <t>Guyana</t>
        </is>
      </c>
      <c r="C192" t="n">
        <v>5</v>
      </c>
      <c r="D192" t="n">
        <v>0.487</v>
      </c>
      <c r="E192" s="73" t="n"/>
      <c r="F192" t="n">
        <v>0.05</v>
      </c>
      <c r="G192" t="n">
        <v>0.0693</v>
      </c>
      <c r="H192" t="n">
        <v>0.158</v>
      </c>
      <c r="I192" s="75" t="n">
        <v>-0.053</v>
      </c>
      <c r="J192" s="77" t="n">
        <v>0.37</v>
      </c>
      <c r="K192" t="n">
        <v>-32.79</v>
      </c>
      <c r="L192" t="n">
        <v>209.34</v>
      </c>
    </row>
    <row r="193" ht="16" customHeight="1" s="88" thickBot="1">
      <c r="B193" t="inlineStr">
        <is>
          <t>Montenegro</t>
        </is>
      </c>
      <c r="C193" t="n">
        <v>5</v>
      </c>
      <c r="D193" t="n">
        <v>0.19</v>
      </c>
      <c r="E193" s="73" t="n"/>
      <c r="F193" s="73" t="n"/>
      <c r="G193" t="n">
        <v>0.031</v>
      </c>
      <c r="H193" t="n">
        <v>0.2327</v>
      </c>
      <c r="I193" t="n">
        <v>-0.101</v>
      </c>
      <c r="J193" t="n">
        <v>1.0328</v>
      </c>
      <c r="K193" t="n">
        <v>-25.9</v>
      </c>
      <c r="L193" t="n">
        <v>1.11</v>
      </c>
    </row>
    <row r="194" ht="16" customHeight="1" s="88" thickBot="1">
      <c r="B194" t="inlineStr">
        <is>
          <t>Somalia</t>
        </is>
      </c>
      <c r="C194" t="n">
        <v>5</v>
      </c>
      <c r="D194" t="n">
        <v>-0.015</v>
      </c>
      <c r="E194" s="73" t="n"/>
      <c r="F194" s="73" t="n"/>
      <c r="G194" t="n">
        <v>0.0424</v>
      </c>
      <c r="H194" s="73" t="n"/>
      <c r="I194" s="73" t="n"/>
      <c r="J194" s="73" t="n"/>
      <c r="K194" s="73" t="n"/>
      <c r="L194" t="n">
        <v>578.5</v>
      </c>
    </row>
    <row r="195" ht="16" customHeight="1" s="88" thickBot="1">
      <c r="B195" t="inlineStr">
        <is>
          <t>Sierra Leone</t>
        </is>
      </c>
      <c r="C195" t="n">
        <v>4</v>
      </c>
      <c r="D195" t="n">
        <v>-0.027</v>
      </c>
      <c r="E195" s="73" t="n"/>
      <c r="F195" t="n">
        <v>0.14</v>
      </c>
      <c r="G195" t="n">
        <v>0.105</v>
      </c>
      <c r="H195" t="n">
        <v>0.046</v>
      </c>
      <c r="I195" t="n">
        <v>-0.057</v>
      </c>
      <c r="J195" t="n">
        <v>0.719</v>
      </c>
      <c r="K195" t="n">
        <v>-15.6</v>
      </c>
      <c r="L195" t="n">
        <v>9800</v>
      </c>
    </row>
    <row r="196" ht="16" customHeight="1" s="88" thickBot="1">
      <c r="B196" t="inlineStr">
        <is>
          <t>Suriname</t>
        </is>
      </c>
      <c r="C196" t="n">
        <v>4</v>
      </c>
      <c r="D196" t="n">
        <v>-0.134</v>
      </c>
      <c r="E196" s="73" t="n"/>
      <c r="F196" t="n">
        <v>0.25</v>
      </c>
      <c r="G196" t="n">
        <v>0.589</v>
      </c>
      <c r="H196" t="n">
        <v>0.112</v>
      </c>
      <c r="I196" t="n">
        <v>-0.129</v>
      </c>
      <c r="J196" t="n">
        <v>1.114</v>
      </c>
      <c r="K196" t="n">
        <v>11.4</v>
      </c>
      <c r="L196" t="n">
        <v>7.46</v>
      </c>
    </row>
    <row r="197" ht="16" customHeight="1" s="88" thickBot="1">
      <c r="B197" t="inlineStr">
        <is>
          <t>Swaziland</t>
        </is>
      </c>
      <c r="C197" t="n">
        <v>4</v>
      </c>
      <c r="D197" t="n">
        <v>-0.024</v>
      </c>
      <c r="E197" s="73" t="n"/>
      <c r="F197" t="n">
        <v>0.0375</v>
      </c>
      <c r="G197" t="n">
        <v>0.039</v>
      </c>
      <c r="H197" t="n">
        <v>0.234</v>
      </c>
      <c r="I197" t="n">
        <v>-0.046</v>
      </c>
      <c r="J197" t="n">
        <v>0.1549</v>
      </c>
      <c r="K197" t="n">
        <v>7</v>
      </c>
      <c r="L197" t="n">
        <v>14.36</v>
      </c>
    </row>
    <row r="198" ht="16" customHeight="1" s="88" thickBot="1">
      <c r="B198" t="inlineStr">
        <is>
          <t>Maldives</t>
        </is>
      </c>
      <c r="C198" t="n">
        <v>4</v>
      </c>
      <c r="D198" t="n">
        <v>-0.08500000000000001</v>
      </c>
      <c r="E198" s="73" t="n"/>
      <c r="F198" t="n">
        <v>0.07000000000000001</v>
      </c>
      <c r="G198" t="n">
        <v>0.008999999999999999</v>
      </c>
      <c r="H198" t="n">
        <v>0.064</v>
      </c>
      <c r="I198" t="n">
        <v>-0.275</v>
      </c>
      <c r="J198" t="n">
        <v>0.526</v>
      </c>
      <c r="K198" t="n">
        <v>-29.2</v>
      </c>
      <c r="L198" t="n">
        <v>15.46</v>
      </c>
    </row>
    <row r="199" ht="16" customHeight="1" s="88" thickBot="1">
      <c r="B199" t="inlineStr">
        <is>
          <t>Fiji</t>
        </is>
      </c>
      <c r="C199" t="n">
        <v>4</v>
      </c>
      <c r="D199" t="n">
        <v>-0.19</v>
      </c>
      <c r="E199" s="73" t="n"/>
      <c r="F199" t="n">
        <v>0.0025</v>
      </c>
      <c r="G199" t="n">
        <v>0.008</v>
      </c>
      <c r="H199" t="n">
        <v>0.048</v>
      </c>
      <c r="I199" t="n">
        <v>-0.06</v>
      </c>
      <c r="J199" t="n">
        <v>0.652</v>
      </c>
      <c r="K199" t="n">
        <v>-13.8</v>
      </c>
      <c r="L199" t="n">
        <v>2.17</v>
      </c>
    </row>
    <row r="200" ht="16" customHeight="1" s="88" thickBot="1">
      <c r="B200" t="inlineStr">
        <is>
          <t>Djibouti</t>
        </is>
      </c>
      <c r="C200" t="n">
        <v>3</v>
      </c>
      <c r="D200" t="n">
        <v>0.014</v>
      </c>
      <c r="E200" s="73" t="n"/>
      <c r="F200" t="n">
        <v>0.112</v>
      </c>
      <c r="G200" t="n">
        <v>0.005</v>
      </c>
      <c r="H200" t="n">
        <v>0.116</v>
      </c>
      <c r="I200" t="n">
        <v>-0.04</v>
      </c>
      <c r="J200" t="n">
        <v>0.422</v>
      </c>
      <c r="K200" t="n">
        <v>2.9</v>
      </c>
      <c r="L200" t="n">
        <v>177.5</v>
      </c>
    </row>
    <row r="201" ht="16" customHeight="1" s="88" thickBot="1">
      <c r="B201" t="inlineStr">
        <is>
          <t>Burundi</t>
        </is>
      </c>
      <c r="C201" t="n">
        <v>3</v>
      </c>
      <c r="D201" t="n">
        <v>-0.003</v>
      </c>
      <c r="E201" s="73" t="n"/>
      <c r="F201" t="n">
        <v>0.0679</v>
      </c>
      <c r="G201" t="n">
        <v>0.1047</v>
      </c>
      <c r="H201" t="n">
        <v>0.008</v>
      </c>
      <c r="I201" t="n">
        <v>-0.08799999999999999</v>
      </c>
      <c r="J201" t="n">
        <v>0.152</v>
      </c>
      <c r="K201" t="n">
        <v>-19.1</v>
      </c>
      <c r="L201" t="n">
        <v>1877.75</v>
      </c>
    </row>
    <row r="202" ht="16" customHeight="1" s="88" thickBot="1">
      <c r="B202" t="inlineStr">
        <is>
          <t>Liberia</t>
        </is>
      </c>
      <c r="C202" t="n">
        <v>3</v>
      </c>
      <c r="D202" t="n">
        <v>-0.03</v>
      </c>
      <c r="E202" s="73" t="n"/>
      <c r="F202" t="n">
        <v>0.2</v>
      </c>
      <c r="G202" t="n">
        <v>0.081</v>
      </c>
      <c r="H202" t="n">
        <v>0.027</v>
      </c>
      <c r="I202" t="n">
        <v>-0.03</v>
      </c>
      <c r="J202" t="n">
        <v>0.521</v>
      </c>
      <c r="K202" t="n">
        <v>-17.8</v>
      </c>
      <c r="L202" t="n">
        <v>186.3</v>
      </c>
    </row>
    <row r="203" ht="16" customHeight="1" s="88" thickBot="1">
      <c r="B203" t="inlineStr">
        <is>
          <t>Lesotho</t>
        </is>
      </c>
      <c r="C203" t="n">
        <v>2</v>
      </c>
      <c r="D203" t="n">
        <v>-0.138</v>
      </c>
      <c r="E203" s="73" t="n"/>
      <c r="F203" t="n">
        <v>0.035</v>
      </c>
      <c r="G203" t="n">
        <v>0.055</v>
      </c>
      <c r="H203" t="n">
        <v>0.247</v>
      </c>
      <c r="I203" t="n">
        <v>-0.028</v>
      </c>
      <c r="J203" t="n">
        <v>0.696</v>
      </c>
      <c r="K203" t="n">
        <v>-2.1</v>
      </c>
      <c r="L203" t="n">
        <v>14.36</v>
      </c>
    </row>
    <row r="204" ht="16" customHeight="1" s="88" thickBot="1">
      <c r="B204" t="inlineStr">
        <is>
          <t>Cape Verde</t>
        </is>
      </c>
      <c r="C204" t="n">
        <v>2</v>
      </c>
      <c r="D204" t="n">
        <v>-0.11</v>
      </c>
      <c r="E204" s="82" t="n">
        <v>0.018</v>
      </c>
      <c r="F204" t="n">
        <v>0.0025</v>
      </c>
      <c r="G204" t="n">
        <v>0.024</v>
      </c>
      <c r="H204" t="n">
        <v>0.123</v>
      </c>
      <c r="I204" t="n">
        <v>-0.089</v>
      </c>
      <c r="J204" t="n">
        <v>1.558</v>
      </c>
      <c r="K204" t="n">
        <v>-15.6</v>
      </c>
      <c r="L204" t="n">
        <v>99.94</v>
      </c>
    </row>
    <row r="205" ht="16" customHeight="1" s="88" thickBot="1">
      <c r="B205" t="inlineStr">
        <is>
          <t>Central African Republic</t>
        </is>
      </c>
      <c r="C205" t="n">
        <v>2</v>
      </c>
      <c r="D205" t="n">
        <v>0</v>
      </c>
      <c r="E205" s="73" t="n"/>
      <c r="F205" t="n">
        <v>0.0325</v>
      </c>
      <c r="G205" t="n">
        <v>0.0478</v>
      </c>
      <c r="H205" t="n">
        <v>0.043</v>
      </c>
      <c r="I205" t="n">
        <v>-0.03</v>
      </c>
      <c r="J205" t="n">
        <v>0.449</v>
      </c>
      <c r="K205" t="n">
        <v>-5.7</v>
      </c>
      <c r="L205" t="n">
        <v>551.3200000000001</v>
      </c>
    </row>
    <row r="206" ht="16" customHeight="1" s="88" thickBot="1">
      <c r="B206" t="inlineStr">
        <is>
          <t>Bhutan</t>
        </is>
      </c>
      <c r="C206" t="n">
        <v>2</v>
      </c>
      <c r="D206" t="n">
        <v>0.055</v>
      </c>
      <c r="E206" s="73" t="n"/>
      <c r="F206" t="n">
        <v>0.06859999999999999</v>
      </c>
      <c r="G206" t="n">
        <v>0.0515</v>
      </c>
      <c r="H206" t="n">
        <v>0.05</v>
      </c>
      <c r="I206" t="n">
        <v>-0.062</v>
      </c>
      <c r="J206" t="n">
        <v>1.2074</v>
      </c>
      <c r="K206" t="n">
        <v>-11.4</v>
      </c>
      <c r="L206" t="n">
        <v>71.01000000000001</v>
      </c>
    </row>
    <row r="207" ht="16" customHeight="1" s="88" thickBot="1">
      <c r="B207" t="inlineStr">
        <is>
          <t>East Timor</t>
        </is>
      </c>
      <c r="C207" t="n">
        <v>2</v>
      </c>
      <c r="D207" t="n">
        <v>-0.068</v>
      </c>
      <c r="E207" s="73" t="n"/>
      <c r="F207" s="73" t="n"/>
      <c r="G207" t="n">
        <v>0.039</v>
      </c>
      <c r="H207" t="n">
        <v>0.0506</v>
      </c>
      <c r="I207" t="n">
        <v>-0.048</v>
      </c>
      <c r="J207" s="73" t="n"/>
      <c r="K207" t="n">
        <v>-18</v>
      </c>
    </row>
    <row r="208" ht="16" customHeight="1" s="88" thickBot="1">
      <c r="B208" t="inlineStr">
        <is>
          <t>Gambia</t>
        </is>
      </c>
      <c r="C208" t="n">
        <v>2</v>
      </c>
      <c r="D208" t="n">
        <v>-0.002</v>
      </c>
      <c r="E208" s="73" t="n"/>
      <c r="F208" t="n">
        <v>0.1</v>
      </c>
      <c r="G208" t="n">
        <v>0.06950000000000001</v>
      </c>
      <c r="H208" t="n">
        <v>0.096</v>
      </c>
      <c r="I208" t="n">
        <v>-0.037</v>
      </c>
      <c r="J208" t="n">
        <v>0.831</v>
      </c>
      <c r="K208" t="n">
        <v>-8.6</v>
      </c>
      <c r="L208" t="n">
        <v>51.35</v>
      </c>
    </row>
    <row r="209" ht="16" customHeight="1" s="88" thickBot="1">
      <c r="B209" t="inlineStr">
        <is>
          <t>Guinea Bissau</t>
        </is>
      </c>
      <c r="C209" t="n">
        <v>1</v>
      </c>
      <c r="D209" t="n">
        <v>0.027</v>
      </c>
      <c r="E209" s="73" t="n"/>
      <c r="F209" t="n">
        <v>0.04</v>
      </c>
      <c r="G209" t="n">
        <v>0.048</v>
      </c>
      <c r="H209" t="n">
        <v>0.032</v>
      </c>
      <c r="I209" t="n">
        <v>-0.078</v>
      </c>
      <c r="J209" t="n">
        <v>0.365</v>
      </c>
      <c r="K209" t="n">
        <v>-8.6</v>
      </c>
    </row>
    <row r="210">
      <c r="B210" t="inlineStr">
        <is>
          <t>Comoros</t>
        </is>
      </c>
      <c r="C210" t="n">
        <v>1</v>
      </c>
      <c r="D210" t="n">
        <v>0.002</v>
      </c>
      <c r="E210" s="73" t="n"/>
      <c r="F210" t="n">
        <v>0.0094</v>
      </c>
      <c r="G210" t="n">
        <v>-0.0602</v>
      </c>
      <c r="H210" t="n">
        <v>0.08400000000000001</v>
      </c>
      <c r="I210" t="n">
        <v>-0.042</v>
      </c>
      <c r="J210" t="n">
        <v>0.268</v>
      </c>
      <c r="K210" t="n">
        <v>-3.3</v>
      </c>
      <c r="L210" t="n">
        <v>417.02</v>
      </c>
    </row>
    <row r="211" ht="16" customHeight="1" s="88" thickBot="1">
      <c r="B211" t="inlineStr">
        <is>
          <t>Seychelles</t>
        </is>
      </c>
      <c r="C211" t="n">
        <v>1</v>
      </c>
      <c r="D211" t="n">
        <v>-0.246</v>
      </c>
      <c r="F211" t="n">
        <v>0.02</v>
      </c>
      <c r="G211" t="n">
        <v>0.1051</v>
      </c>
      <c r="H211" t="n">
        <v>0.04</v>
      </c>
      <c r="I211" t="n">
        <v>-0.191</v>
      </c>
      <c r="J211" t="n">
        <v>0.9399999999999999</v>
      </c>
      <c r="K211" t="n">
        <v>-27.4</v>
      </c>
      <c r="L211" t="n">
        <v>13.7</v>
      </c>
    </row>
    <row r="212" ht="16" customHeight="1" s="88" thickBot="1">
      <c r="B212" t="inlineStr">
        <is>
          <t>South Sudan</t>
        </is>
      </c>
      <c r="C212" t="n">
        <v>1</v>
      </c>
      <c r="D212" t="n">
        <v>-0.036</v>
      </c>
      <c r="E212" s="73" t="n"/>
      <c r="F212" s="76" t="n">
        <v>0.15</v>
      </c>
      <c r="G212" t="n">
        <v>0.183</v>
      </c>
      <c r="H212" t="n">
        <v>0.127</v>
      </c>
      <c r="I212" s="73" t="n"/>
      <c r="J212" s="73" t="n"/>
      <c r="K212" s="73" t="n"/>
      <c r="L212" t="n">
        <v>175.31</v>
      </c>
    </row>
    <row r="213">
      <c r="B213" t="inlineStr">
        <is>
          <t>Sao Tome and Principe</t>
        </is>
      </c>
      <c r="C213" t="n">
        <v>0</v>
      </c>
      <c r="D213" t="n">
        <v>-0.064</v>
      </c>
      <c r="E213" s="73" t="n"/>
      <c r="F213" t="n">
        <v>0.09</v>
      </c>
      <c r="G213" t="n">
        <v>0.06900000000000001</v>
      </c>
      <c r="H213" t="n">
        <v>0.139</v>
      </c>
      <c r="I213" t="n">
        <v>-0.05</v>
      </c>
      <c r="J213" t="n">
        <v>1.03</v>
      </c>
      <c r="K213" t="n">
        <v>-9.300000000000001</v>
      </c>
      <c r="L213" t="n">
        <v>20.8</v>
      </c>
    </row>
  </sheetData>
  <mergeCells count="11">
    <mergeCell ref="G31:G32"/>
    <mergeCell ref="B31:B32"/>
    <mergeCell ref="C31:C32"/>
    <mergeCell ref="D31:D32"/>
    <mergeCell ref="E31:E32"/>
    <mergeCell ref="F31:F32"/>
    <mergeCell ref="H31:H32"/>
    <mergeCell ref="I31:I32"/>
    <mergeCell ref="J31:J32"/>
    <mergeCell ref="K31:K32"/>
    <mergeCell ref="L31:L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 activePane="bottomLeft" state="frozen"/>
      <selection pane="bottomLeft" activeCell="C101" sqref="C101"/>
    </sheetView>
  </sheetViews>
  <sheetFormatPr baseColWidth="10" defaultColWidth="8.83203125" defaultRowHeight="15"/>
  <cols>
    <col width="9.1640625" customWidth="1" style="39" min="1" max="1"/>
    <col width="12.6640625" bestFit="1" customWidth="1" style="38" min="2" max="2"/>
    <col width="11.6640625" customWidth="1" style="40" min="3" max="3"/>
    <col width="11.6640625" customWidth="1" style="51" min="4" max="4"/>
    <col width="9.1640625" customWidth="1" style="91" min="5" max="48"/>
  </cols>
  <sheetData>
    <row r="1" ht="32" customHeight="1" s="88">
      <c r="A1" s="42" t="inlineStr">
        <is>
          <t>Data</t>
        </is>
      </c>
      <c r="B1" s="48" t="inlineStr">
        <is>
          <t>USA</t>
        </is>
      </c>
      <c r="C1" s="43" t="inlineStr">
        <is>
          <t>Quarter Change</t>
        </is>
      </c>
      <c r="D1" s="49" t="n"/>
      <c r="E1" s="50" t="inlineStr">
        <is>
          <t>Change Country in B2</t>
        </is>
      </c>
      <c r="F1" s="49" t="n"/>
      <c r="G1" s="49" t="n"/>
      <c r="H1" s="49" t="n"/>
      <c r="J1" s="91">
        <f>B1&amp;" GDP % yoy"</f>
        <v/>
      </c>
    </row>
    <row r="2">
      <c r="A2" s="45" t="n">
        <v>17349</v>
      </c>
      <c r="B2" s="46">
        <f>VLOOKUP(A2,'Data yoy'!#REF!,MATCH($B$1,'Data yoy'!#REF!,0),FALSE)</f>
        <v/>
      </c>
      <c r="C2" s="47" t="n"/>
      <c r="D2" s="49" t="n"/>
      <c r="E2" s="49" t="n"/>
      <c r="F2" s="49" t="n"/>
      <c r="G2" s="49" t="n"/>
      <c r="H2" s="49" t="n"/>
      <c r="J2" s="91">
        <f>B1&amp;" "&amp;C1</f>
        <v/>
      </c>
      <c r="V2" s="91" t="inlineStr">
        <is>
          <t>AUT</t>
        </is>
      </c>
    </row>
    <row r="3">
      <c r="A3" s="45" t="n">
        <v>17441</v>
      </c>
      <c r="B3" s="46">
        <f>VLOOKUP(A3,'Data yoy'!#REF!,MATCH($B$1,'Data yoy'!#REF!,0),FALSE)</f>
        <v/>
      </c>
      <c r="C3" s="46">
        <f>Table13456789101112131415161734[[#This Row],[USA]]-B2</f>
        <v/>
      </c>
      <c r="D3" s="49" t="n"/>
      <c r="E3" s="49" t="n"/>
      <c r="F3" s="49" t="n"/>
      <c r="G3" s="49" t="n"/>
      <c r="H3" s="49" t="n"/>
      <c r="J3" s="91">
        <f>J2&amp;" 2000-"</f>
        <v/>
      </c>
      <c r="V3" s="91" t="inlineStr">
        <is>
          <t>BEL</t>
        </is>
      </c>
    </row>
    <row r="4">
      <c r="A4" s="45" t="n">
        <v>17533</v>
      </c>
      <c r="B4" s="46">
        <f>VLOOKUP(A4,'Data yoy'!#REF!,MATCH($B$1,'Data yoy'!#REF!,0),FALSE)</f>
        <v/>
      </c>
      <c r="C4" s="46">
        <f>Table13456789101112131415161734[[#This Row],[USA]]-B3</f>
        <v/>
      </c>
      <c r="D4" s="49" t="n"/>
      <c r="E4" s="49" t="n"/>
      <c r="F4" s="49" t="n"/>
      <c r="G4" s="49" t="n"/>
      <c r="H4" s="49" t="n"/>
      <c r="V4" s="91" t="inlineStr">
        <is>
          <t>CAN</t>
        </is>
      </c>
    </row>
    <row r="5">
      <c r="A5" s="45" t="n">
        <v>17624</v>
      </c>
      <c r="B5" s="46">
        <f>VLOOKUP(A5,'Data yoy'!#REF!,MATCH($B$1,'Data yoy'!#REF!,0),FALSE)</f>
        <v/>
      </c>
      <c r="C5" s="46">
        <f>Table13456789101112131415161734[[#This Row],[USA]]-B4</f>
        <v/>
      </c>
      <c r="D5" s="49" t="n"/>
      <c r="E5" s="49" t="n"/>
      <c r="F5" s="49" t="n"/>
      <c r="G5" s="49" t="n"/>
      <c r="H5" s="49" t="n"/>
      <c r="V5" s="91" t="inlineStr">
        <is>
          <t>CHL</t>
        </is>
      </c>
    </row>
    <row r="6">
      <c r="A6" s="45" t="n">
        <v>17715</v>
      </c>
      <c r="B6" s="46">
        <f>VLOOKUP(A6,'Data yoy'!#REF!,MATCH($B$1,'Data yoy'!#REF!,0),FALSE)</f>
        <v/>
      </c>
      <c r="C6" s="46">
        <f>Table13456789101112131415161734[[#This Row],[USA]]-B5</f>
        <v/>
      </c>
      <c r="D6" s="49" t="n"/>
      <c r="E6" s="49" t="n"/>
      <c r="F6" s="49" t="n"/>
      <c r="G6" s="49" t="n"/>
      <c r="H6" s="49" t="n"/>
      <c r="V6" s="91" t="inlineStr">
        <is>
          <t>CZE</t>
        </is>
      </c>
    </row>
    <row r="7">
      <c r="A7" s="45" t="n">
        <v>17807</v>
      </c>
      <c r="B7" s="46">
        <f>VLOOKUP(A7,'Data yoy'!#REF!,MATCH($B$1,'Data yoy'!#REF!,0),FALSE)</f>
        <v/>
      </c>
      <c r="C7" s="46">
        <f>Table13456789101112131415161734[[#This Row],[USA]]-B6</f>
        <v/>
      </c>
      <c r="D7" s="49" t="n"/>
      <c r="E7" s="49" t="n"/>
      <c r="F7" s="49" t="n"/>
      <c r="G7" s="49" t="n"/>
      <c r="H7" s="49" t="n"/>
      <c r="V7" s="91" t="inlineStr">
        <is>
          <t>DEU</t>
        </is>
      </c>
    </row>
    <row r="8">
      <c r="A8" s="45" t="n">
        <v>17899</v>
      </c>
      <c r="B8" s="46">
        <f>VLOOKUP(A8,'Data yoy'!#REF!,MATCH($B$1,'Data yoy'!#REF!,0),FALSE)</f>
        <v/>
      </c>
      <c r="C8" s="46">
        <f>Table13456789101112131415161734[[#This Row],[USA]]-B7</f>
        <v/>
      </c>
      <c r="D8" s="49" t="n"/>
      <c r="E8" s="49" t="n"/>
      <c r="F8" s="49" t="n"/>
      <c r="G8" s="49" t="n"/>
      <c r="H8" s="49" t="n"/>
      <c r="V8" s="91" t="inlineStr">
        <is>
          <t>DNK</t>
        </is>
      </c>
    </row>
    <row r="9">
      <c r="A9" s="45" t="n">
        <v>17989</v>
      </c>
      <c r="B9" s="46">
        <f>VLOOKUP(A9,'Data yoy'!#REF!,MATCH($B$1,'Data yoy'!#REF!,0),FALSE)</f>
        <v/>
      </c>
      <c r="C9" s="46">
        <f>Table13456789101112131415161734[[#This Row],[USA]]-B8</f>
        <v/>
      </c>
      <c r="D9" s="49" t="n"/>
      <c r="E9" s="49" t="n"/>
      <c r="F9" s="49" t="n"/>
      <c r="G9" s="49" t="n"/>
      <c r="H9" s="49" t="n"/>
      <c r="V9" s="91" t="inlineStr">
        <is>
          <t>ESP</t>
        </is>
      </c>
    </row>
    <row r="10">
      <c r="A10" s="45" t="n">
        <v>18080</v>
      </c>
      <c r="B10" s="46">
        <f>VLOOKUP(A10,'Data yoy'!#REF!,MATCH($B$1,'Data yoy'!#REF!,0),FALSE)</f>
        <v/>
      </c>
      <c r="C10" s="46">
        <f>Table13456789101112131415161734[[#This Row],[USA]]-B9</f>
        <v/>
      </c>
      <c r="D10" s="49" t="n"/>
      <c r="E10" s="49" t="n"/>
      <c r="F10" s="49" t="n"/>
      <c r="G10" s="49" t="n"/>
      <c r="H10" s="49" t="n"/>
      <c r="V10" s="91" t="inlineStr">
        <is>
          <t>EST</t>
        </is>
      </c>
    </row>
    <row r="11">
      <c r="A11" s="45" t="n">
        <v>18172</v>
      </c>
      <c r="B11" s="46">
        <f>VLOOKUP(A11,'Data yoy'!#REF!,MATCH($B$1,'Data yoy'!#REF!,0),FALSE)</f>
        <v/>
      </c>
      <c r="C11" s="46">
        <f>Table13456789101112131415161734[[#This Row],[USA]]-B10</f>
        <v/>
      </c>
      <c r="D11" s="49" t="n"/>
      <c r="E11" s="49" t="n"/>
      <c r="F11" s="49" t="n"/>
      <c r="G11" s="49" t="n"/>
      <c r="H11" s="49" t="n"/>
      <c r="V11" s="91" t="inlineStr">
        <is>
          <t>FIN</t>
        </is>
      </c>
    </row>
    <row r="12">
      <c r="A12" s="45" t="n">
        <v>18264</v>
      </c>
      <c r="B12" s="46">
        <f>VLOOKUP(A12,'Data yoy'!#REF!,MATCH($B$1,'Data yoy'!#REF!,0),FALSE)</f>
        <v/>
      </c>
      <c r="C12" s="46">
        <f>Table13456789101112131415161734[[#This Row],[USA]]-B11</f>
        <v/>
      </c>
      <c r="D12" s="27" t="n"/>
      <c r="V12" s="91" t="inlineStr">
        <is>
          <t>FRA</t>
        </is>
      </c>
    </row>
    <row r="13">
      <c r="A13" s="45" t="n">
        <v>18354</v>
      </c>
      <c r="B13" s="46">
        <f>VLOOKUP(A13,'Data yoy'!#REF!,MATCH($B$1,'Data yoy'!#REF!,0),FALSE)</f>
        <v/>
      </c>
      <c r="C13" s="46">
        <f>Table13456789101112131415161734[[#This Row],[USA]]-B12</f>
        <v/>
      </c>
      <c r="D13" s="27" t="n"/>
      <c r="V13" s="91" t="inlineStr">
        <is>
          <t>GBR</t>
        </is>
      </c>
    </row>
    <row r="14">
      <c r="A14" s="45" t="n">
        <v>18445</v>
      </c>
      <c r="B14" s="46">
        <f>VLOOKUP(A14,'Data yoy'!#REF!,MATCH($B$1,'Data yoy'!#REF!,0),FALSE)</f>
        <v/>
      </c>
      <c r="C14" s="46">
        <f>Table13456789101112131415161734[[#This Row],[USA]]-B13</f>
        <v/>
      </c>
      <c r="D14" s="27" t="n"/>
      <c r="V14" s="91" t="inlineStr">
        <is>
          <t>GRC</t>
        </is>
      </c>
    </row>
    <row r="15">
      <c r="A15" s="45" t="n">
        <v>18537</v>
      </c>
      <c r="B15" s="46">
        <f>VLOOKUP(A15,'Data yoy'!#REF!,MATCH($B$1,'Data yoy'!#REF!,0),FALSE)</f>
        <v/>
      </c>
      <c r="C15" s="46">
        <f>Table13456789101112131415161734[[#This Row],[USA]]-B14</f>
        <v/>
      </c>
      <c r="D15" s="27" t="n"/>
      <c r="V15" s="91" t="inlineStr">
        <is>
          <t>HUN</t>
        </is>
      </c>
    </row>
    <row r="16">
      <c r="A16" s="45" t="n">
        <v>18629</v>
      </c>
      <c r="B16" s="46">
        <f>VLOOKUP(A16,'Data yoy'!#REF!,MATCH($B$1,'Data yoy'!#REF!,0),FALSE)</f>
        <v/>
      </c>
      <c r="C16" s="46">
        <f>Table13456789101112131415161734[[#This Row],[USA]]-B15</f>
        <v/>
      </c>
      <c r="D16" s="27" t="n"/>
      <c r="V16" s="91" t="inlineStr">
        <is>
          <t>IRL</t>
        </is>
      </c>
    </row>
    <row r="17">
      <c r="A17" s="45" t="n">
        <v>18719</v>
      </c>
      <c r="B17" s="46">
        <f>VLOOKUP(A17,'Data yoy'!#REF!,MATCH($B$1,'Data yoy'!#REF!,0),FALSE)</f>
        <v/>
      </c>
      <c r="C17" s="46">
        <f>Table13456789101112131415161734[[#This Row],[USA]]-B16</f>
        <v/>
      </c>
      <c r="D17" s="27" t="n"/>
      <c r="V17" s="91" t="inlineStr">
        <is>
          <t>ISL</t>
        </is>
      </c>
    </row>
    <row r="18">
      <c r="A18" s="45" t="n">
        <v>18810</v>
      </c>
      <c r="B18" s="46">
        <f>VLOOKUP(A18,'Data yoy'!#REF!,MATCH($B$1,'Data yoy'!#REF!,0),FALSE)</f>
        <v/>
      </c>
      <c r="C18" s="46">
        <f>Table13456789101112131415161734[[#This Row],[USA]]-B17</f>
        <v/>
      </c>
      <c r="D18" s="27" t="n"/>
      <c r="V18" s="91" t="inlineStr">
        <is>
          <t>ISR</t>
        </is>
      </c>
    </row>
    <row r="19">
      <c r="A19" s="45" t="n">
        <v>18902</v>
      </c>
      <c r="B19" s="46">
        <f>VLOOKUP(A19,'Data yoy'!#REF!,MATCH($B$1,'Data yoy'!#REF!,0),FALSE)</f>
        <v/>
      </c>
      <c r="C19" s="46">
        <f>Table13456789101112131415161734[[#This Row],[USA]]-B18</f>
        <v/>
      </c>
      <c r="D19" s="27" t="n"/>
      <c r="V19" s="91" t="inlineStr">
        <is>
          <t>ITA</t>
        </is>
      </c>
    </row>
    <row r="20">
      <c r="A20" s="45" t="n">
        <v>18994</v>
      </c>
      <c r="B20" s="46">
        <f>VLOOKUP(A20,'Data yoy'!#REF!,MATCH($B$1,'Data yoy'!#REF!,0),FALSE)</f>
        <v/>
      </c>
      <c r="C20" s="46">
        <f>Table13456789101112131415161734[[#This Row],[USA]]-B19</f>
        <v/>
      </c>
      <c r="D20" s="27" t="n"/>
      <c r="V20" s="91" t="inlineStr">
        <is>
          <t>JPN</t>
        </is>
      </c>
    </row>
    <row r="21">
      <c r="A21" s="45" t="n">
        <v>19085</v>
      </c>
      <c r="B21" s="46">
        <f>VLOOKUP(A21,'Data yoy'!#REF!,MATCH($B$1,'Data yoy'!#REF!,0),FALSE)</f>
        <v/>
      </c>
      <c r="C21" s="46">
        <f>Table13456789101112131415161734[[#This Row],[USA]]-B20</f>
        <v/>
      </c>
      <c r="D21" s="27" t="n"/>
      <c r="V21" s="91" t="inlineStr">
        <is>
          <t>KOR</t>
        </is>
      </c>
    </row>
    <row r="22">
      <c r="A22" s="45" t="n">
        <v>19176</v>
      </c>
      <c r="B22" s="46">
        <f>VLOOKUP(A22,'Data yoy'!#REF!,MATCH($B$1,'Data yoy'!#REF!,0),FALSE)</f>
        <v/>
      </c>
      <c r="C22" s="46">
        <f>Table13456789101112131415161734[[#This Row],[USA]]-B21</f>
        <v/>
      </c>
      <c r="D22" s="27" t="n"/>
      <c r="V22" s="91" t="inlineStr">
        <is>
          <t>LUX</t>
        </is>
      </c>
    </row>
    <row r="23">
      <c r="A23" s="45" t="n">
        <v>19268</v>
      </c>
      <c r="B23" s="46">
        <f>VLOOKUP(A23,'Data yoy'!#REF!,MATCH($B$1,'Data yoy'!#REF!,0),FALSE)</f>
        <v/>
      </c>
      <c r="C23" s="46">
        <f>Table13456789101112131415161734[[#This Row],[USA]]-B22</f>
        <v/>
      </c>
      <c r="D23" s="27" t="n"/>
      <c r="V23" s="91" t="inlineStr">
        <is>
          <t>LVA</t>
        </is>
      </c>
    </row>
    <row r="24">
      <c r="A24" s="45" t="n">
        <v>19360</v>
      </c>
      <c r="B24" s="46">
        <f>VLOOKUP(A24,'Data yoy'!#REF!,MATCH($B$1,'Data yoy'!#REF!,0),FALSE)</f>
        <v/>
      </c>
      <c r="C24" s="46">
        <f>Table13456789101112131415161734[[#This Row],[USA]]-B23</f>
        <v/>
      </c>
      <c r="D24" s="27" t="n"/>
      <c r="V24" s="91" t="inlineStr">
        <is>
          <t>MEX</t>
        </is>
      </c>
    </row>
    <row r="25">
      <c r="A25" s="45" t="n">
        <v>19450</v>
      </c>
      <c r="B25" s="46">
        <f>VLOOKUP(A25,'Data yoy'!#REF!,MATCH($B$1,'Data yoy'!#REF!,0),FALSE)</f>
        <v/>
      </c>
      <c r="C25" s="46">
        <f>Table13456789101112131415161734[[#This Row],[USA]]-B24</f>
        <v/>
      </c>
      <c r="D25" s="27" t="n"/>
      <c r="V25" s="91" t="inlineStr">
        <is>
          <t>NLD</t>
        </is>
      </c>
    </row>
    <row r="26">
      <c r="A26" s="45" t="n">
        <v>19541</v>
      </c>
      <c r="B26" s="46">
        <f>VLOOKUP(A26,'Data yoy'!#REF!,MATCH($B$1,'Data yoy'!#REF!,0),FALSE)</f>
        <v/>
      </c>
      <c r="C26" s="46">
        <f>Table13456789101112131415161734[[#This Row],[USA]]-B25</f>
        <v/>
      </c>
      <c r="D26" s="27" t="n"/>
      <c r="V26" s="91" t="inlineStr">
        <is>
          <t>NOR</t>
        </is>
      </c>
    </row>
    <row r="27">
      <c r="A27" s="45" t="n">
        <v>19633</v>
      </c>
      <c r="B27" s="46">
        <f>VLOOKUP(A27,'Data yoy'!#REF!,MATCH($B$1,'Data yoy'!#REF!,0),FALSE)</f>
        <v/>
      </c>
      <c r="C27" s="46">
        <f>Table13456789101112131415161734[[#This Row],[USA]]-B26</f>
        <v/>
      </c>
      <c r="D27" s="27" t="n"/>
      <c r="V27" s="91" t="inlineStr">
        <is>
          <t>OECD</t>
        </is>
      </c>
    </row>
    <row r="28">
      <c r="A28" s="45" t="n">
        <v>19725</v>
      </c>
      <c r="B28" s="46">
        <f>VLOOKUP(A28,'Data yoy'!#REF!,MATCH($B$1,'Data yoy'!#REF!,0),FALSE)</f>
        <v/>
      </c>
      <c r="C28" s="46">
        <f>Table13456789101112131415161734[[#This Row],[USA]]-B27</f>
        <v/>
      </c>
      <c r="D28" s="27" t="n"/>
      <c r="V28" s="91" t="inlineStr">
        <is>
          <t>POL</t>
        </is>
      </c>
    </row>
    <row r="29">
      <c r="A29" s="45" t="n">
        <v>19815</v>
      </c>
      <c r="B29" s="46">
        <f>VLOOKUP(A29,'Data yoy'!#REF!,MATCH($B$1,'Data yoy'!#REF!,0),FALSE)</f>
        <v/>
      </c>
      <c r="C29" s="46">
        <f>Table13456789101112131415161734[[#This Row],[USA]]-B28</f>
        <v/>
      </c>
      <c r="D29" s="27" t="n"/>
      <c r="V29" s="91" t="inlineStr">
        <is>
          <t>PRT</t>
        </is>
      </c>
    </row>
    <row r="30">
      <c r="A30" s="45" t="n">
        <v>19906</v>
      </c>
      <c r="B30" s="46">
        <f>VLOOKUP(A30,'Data yoy'!#REF!,MATCH($B$1,'Data yoy'!#REF!,0),FALSE)</f>
        <v/>
      </c>
      <c r="C30" s="46">
        <f>Table13456789101112131415161734[[#This Row],[USA]]-B29</f>
        <v/>
      </c>
      <c r="D30" s="27" t="n"/>
      <c r="V30" s="91" t="inlineStr">
        <is>
          <t>SVK</t>
        </is>
      </c>
    </row>
    <row r="31">
      <c r="A31" s="45" t="n">
        <v>19998</v>
      </c>
      <c r="B31" s="46">
        <f>VLOOKUP(A31,'Data yoy'!#REF!,MATCH($B$1,'Data yoy'!#REF!,0),FALSE)</f>
        <v/>
      </c>
      <c r="C31" s="46">
        <f>Table13456789101112131415161734[[#This Row],[USA]]-B30</f>
        <v/>
      </c>
      <c r="D31" s="27" t="n"/>
      <c r="V31" s="91" t="inlineStr">
        <is>
          <t>SVN</t>
        </is>
      </c>
    </row>
    <row r="32">
      <c r="A32" s="45" t="n">
        <v>20090</v>
      </c>
      <c r="B32" s="46">
        <f>VLOOKUP(A32,'Data yoy'!#REF!,MATCH($B$1,'Data yoy'!#REF!,0),FALSE)</f>
        <v/>
      </c>
      <c r="C32" s="46">
        <f>Table13456789101112131415161734[[#This Row],[USA]]-B31</f>
        <v/>
      </c>
      <c r="D32" s="27" t="n"/>
      <c r="V32" s="91" t="inlineStr">
        <is>
          <t>SWE</t>
        </is>
      </c>
    </row>
    <row r="33">
      <c r="A33" s="45" t="n">
        <v>20180</v>
      </c>
      <c r="B33" s="46">
        <f>VLOOKUP(A33,'Data yoy'!#REF!,MATCH($B$1,'Data yoy'!#REF!,0),FALSE)</f>
        <v/>
      </c>
      <c r="C33" s="46">
        <f>Table13456789101112131415161734[[#This Row],[USA]]-B32</f>
        <v/>
      </c>
      <c r="D33" s="27" t="n"/>
      <c r="V33" s="91" t="inlineStr">
        <is>
          <t>TUR</t>
        </is>
      </c>
    </row>
    <row r="34">
      <c r="A34" s="45" t="n">
        <v>20271</v>
      </c>
      <c r="B34" s="46">
        <f>VLOOKUP(A34,'Data yoy'!#REF!,MATCH($B$1,'Data yoy'!#REF!,0),FALSE)</f>
        <v/>
      </c>
      <c r="C34" s="46">
        <f>Table13456789101112131415161734[[#This Row],[USA]]-B33</f>
        <v/>
      </c>
      <c r="D34" s="27" t="n"/>
      <c r="V34" s="91" t="inlineStr">
        <is>
          <t>USA</t>
        </is>
      </c>
    </row>
    <row r="35">
      <c r="A35" s="45" t="n">
        <v>20363</v>
      </c>
      <c r="B35" s="46">
        <f>VLOOKUP(A35,'Data yoy'!#REF!,MATCH($B$1,'Data yoy'!#REF!,0),FALSE)</f>
        <v/>
      </c>
      <c r="C35" s="46">
        <f>Table13456789101112131415161734[[#This Row],[USA]]-B34</f>
        <v/>
      </c>
      <c r="D35" s="27" t="n"/>
      <c r="V35" s="91" t="inlineStr">
        <is>
          <t>EA19</t>
        </is>
      </c>
    </row>
    <row r="36">
      <c r="A36" s="45" t="n">
        <v>20455</v>
      </c>
      <c r="B36" s="46">
        <f>VLOOKUP(A36,'Data yoy'!#REF!,MATCH($B$1,'Data yoy'!#REF!,0),FALSE)</f>
        <v/>
      </c>
      <c r="C36" s="46">
        <f>Table13456789101112131415161734[[#This Row],[USA]]-B35</f>
        <v/>
      </c>
      <c r="D36" s="27" t="n"/>
      <c r="V36" t="inlineStr">
        <is>
          <t>EU27_2020</t>
        </is>
      </c>
    </row>
    <row r="37">
      <c r="A37" s="45" t="n">
        <v>20546</v>
      </c>
      <c r="B37" s="46">
        <f>VLOOKUP(A37,'Data yoy'!#REF!,MATCH($B$1,'Data yoy'!#REF!,0),FALSE)</f>
        <v/>
      </c>
      <c r="C37" s="46">
        <f>Table13456789101112131415161734[[#This Row],[USA]]-B36</f>
        <v/>
      </c>
      <c r="D37" s="27" t="n"/>
      <c r="V37" s="91" t="inlineStr">
        <is>
          <t>G-7</t>
        </is>
      </c>
    </row>
    <row r="38">
      <c r="A38" s="45" t="n">
        <v>20637</v>
      </c>
      <c r="B38" s="46">
        <f>VLOOKUP(A38,'Data yoy'!#REF!,MATCH($B$1,'Data yoy'!#REF!,0),FALSE)</f>
        <v/>
      </c>
      <c r="C38" s="46">
        <f>Table13456789101112131415161734[[#This Row],[USA]]-B37</f>
        <v/>
      </c>
      <c r="D38" s="27" t="n"/>
      <c r="V38" s="91" t="inlineStr">
        <is>
          <t>CHE</t>
        </is>
      </c>
    </row>
    <row r="39">
      <c r="A39" s="45" t="n">
        <v>20729</v>
      </c>
      <c r="B39" s="46">
        <f>VLOOKUP(A39,'Data yoy'!#REF!,MATCH($B$1,'Data yoy'!#REF!,0),FALSE)</f>
        <v/>
      </c>
      <c r="C39" s="46">
        <f>Table13456789101112131415161734[[#This Row],[USA]]-B38</f>
        <v/>
      </c>
      <c r="D39" s="27" t="n"/>
      <c r="V39" s="91" t="inlineStr">
        <is>
          <t>IND</t>
        </is>
      </c>
    </row>
    <row r="40">
      <c r="A40" s="45" t="n">
        <v>20821</v>
      </c>
      <c r="B40" s="46">
        <f>VLOOKUP(A40,'Data yoy'!#REF!,MATCH($B$1,'Data yoy'!#REF!,0),FALSE)</f>
        <v/>
      </c>
      <c r="C40" s="46">
        <f>Table13456789101112131415161734[[#This Row],[USA]]-B39</f>
        <v/>
      </c>
      <c r="D40" s="27" t="n"/>
      <c r="V40" s="91" t="inlineStr">
        <is>
          <t>ZAF</t>
        </is>
      </c>
    </row>
    <row r="41">
      <c r="A41" s="45" t="n">
        <v>20911</v>
      </c>
      <c r="B41" s="46">
        <f>VLOOKUP(A41,'Data yoy'!#REF!,MATCH($B$1,'Data yoy'!#REF!,0),FALSE)</f>
        <v/>
      </c>
      <c r="C41" s="46">
        <f>Table13456789101112131415161734[[#This Row],[USA]]-B40</f>
        <v/>
      </c>
      <c r="D41" s="27" t="n"/>
      <c r="V41" s="91" t="inlineStr">
        <is>
          <t>RUS</t>
        </is>
      </c>
    </row>
    <row r="42">
      <c r="A42" s="45" t="n">
        <v>21002</v>
      </c>
      <c r="B42" s="46">
        <f>VLOOKUP(A42,'Data yoy'!#REF!,MATCH($B$1,'Data yoy'!#REF!,0),FALSE)</f>
        <v/>
      </c>
      <c r="C42" s="46">
        <f>Table13456789101112131415161734[[#This Row],[USA]]-B41</f>
        <v/>
      </c>
      <c r="D42" s="27" t="n"/>
    </row>
    <row r="43">
      <c r="A43" s="45" t="n">
        <v>21094</v>
      </c>
      <c r="B43" s="46">
        <f>VLOOKUP(A43,'Data yoy'!#REF!,MATCH($B$1,'Data yoy'!#REF!,0),FALSE)</f>
        <v/>
      </c>
      <c r="C43" s="46">
        <f>Table13456789101112131415161734[[#This Row],[USA]]-B42</f>
        <v/>
      </c>
      <c r="D43" s="27" t="n"/>
    </row>
    <row r="44">
      <c r="A44" s="45" t="n">
        <v>21186</v>
      </c>
      <c r="B44" s="46">
        <f>VLOOKUP(A44,'Data yoy'!#REF!,MATCH($B$1,'Data yoy'!#REF!,0),FALSE)</f>
        <v/>
      </c>
      <c r="C44" s="46">
        <f>Table13456789101112131415161734[[#This Row],[USA]]-B43</f>
        <v/>
      </c>
      <c r="D44" s="27" t="n"/>
    </row>
    <row r="45">
      <c r="A45" s="45" t="n">
        <v>21276</v>
      </c>
      <c r="B45" s="46">
        <f>VLOOKUP(A45,'Data yoy'!#REF!,MATCH($B$1,'Data yoy'!#REF!,0),FALSE)</f>
        <v/>
      </c>
      <c r="C45" s="46">
        <f>Table13456789101112131415161734[[#This Row],[USA]]-B44</f>
        <v/>
      </c>
      <c r="D45" s="27" t="n"/>
    </row>
    <row r="46">
      <c r="A46" s="45" t="n">
        <v>21367</v>
      </c>
      <c r="B46" s="46">
        <f>VLOOKUP(A46,'Data yoy'!#REF!,MATCH($B$1,'Data yoy'!#REF!,0),FALSE)</f>
        <v/>
      </c>
      <c r="C46" s="46">
        <f>Table13456789101112131415161734[[#This Row],[USA]]-B45</f>
        <v/>
      </c>
      <c r="D46" s="27" t="n"/>
    </row>
    <row r="47">
      <c r="A47" s="45" t="n">
        <v>21459</v>
      </c>
      <c r="B47" s="46">
        <f>VLOOKUP(A47,'Data yoy'!#REF!,MATCH($B$1,'Data yoy'!#REF!,0),FALSE)</f>
        <v/>
      </c>
      <c r="C47" s="46">
        <f>Table13456789101112131415161734[[#This Row],[USA]]-B46</f>
        <v/>
      </c>
      <c r="D47" s="27" t="n"/>
    </row>
    <row r="48">
      <c r="A48" s="45" t="n">
        <v>21551</v>
      </c>
      <c r="B48" s="46">
        <f>VLOOKUP(A48,'Data yoy'!#REF!,MATCH($B$1,'Data yoy'!#REF!,0),FALSE)</f>
        <v/>
      </c>
      <c r="C48" s="46">
        <f>Table13456789101112131415161734[[#This Row],[USA]]-B47</f>
        <v/>
      </c>
      <c r="D48" s="27" t="n"/>
    </row>
    <row r="49">
      <c r="A49" s="45" t="n">
        <v>21641</v>
      </c>
      <c r="B49" s="46">
        <f>VLOOKUP(A49,'Data yoy'!#REF!,MATCH($B$1,'Data yoy'!#REF!,0),FALSE)</f>
        <v/>
      </c>
      <c r="C49" s="46">
        <f>Table13456789101112131415161734[[#This Row],[USA]]-B48</f>
        <v/>
      </c>
      <c r="D49" s="27" t="n"/>
    </row>
    <row r="50">
      <c r="A50" s="45" t="n">
        <v>21732</v>
      </c>
      <c r="B50" s="46">
        <f>VLOOKUP(A50,'Data yoy'!#REF!,MATCH($B$1,'Data yoy'!#REF!,0),FALSE)</f>
        <v/>
      </c>
      <c r="C50" s="46">
        <f>Table13456789101112131415161734[[#This Row],[USA]]-B49</f>
        <v/>
      </c>
      <c r="D50" s="27" t="n"/>
    </row>
    <row r="51">
      <c r="A51" s="45" t="n">
        <v>21824</v>
      </c>
      <c r="B51" s="46">
        <f>VLOOKUP(A51,'Data yoy'!#REF!,MATCH($B$1,'Data yoy'!#REF!,0),FALSE)</f>
        <v/>
      </c>
      <c r="C51" s="46">
        <f>Table13456789101112131415161734[[#This Row],[USA]]-B50</f>
        <v/>
      </c>
      <c r="D51" s="27" t="n"/>
    </row>
    <row r="52">
      <c r="A52" s="45" t="n">
        <v>21916</v>
      </c>
      <c r="B52" s="46">
        <f>VLOOKUP(A52,'Data yoy'!#REF!,MATCH($B$1,'Data yoy'!#REF!,0),FALSE)</f>
        <v/>
      </c>
      <c r="C52" s="46">
        <f>Table13456789101112131415161734[[#This Row],[USA]]-B51</f>
        <v/>
      </c>
      <c r="D52" s="27" t="n"/>
    </row>
    <row r="53">
      <c r="A53" s="45" t="n">
        <v>22007</v>
      </c>
      <c r="B53" s="46">
        <f>VLOOKUP(A53,'Data yoy'!#REF!,MATCH($B$1,'Data yoy'!#REF!,0),FALSE)</f>
        <v/>
      </c>
      <c r="C53" s="46">
        <f>Table13456789101112131415161734[[#This Row],[USA]]-B52</f>
        <v/>
      </c>
      <c r="D53" s="27" t="n"/>
    </row>
    <row r="54">
      <c r="A54" s="45" t="n">
        <v>22098</v>
      </c>
      <c r="B54" s="46">
        <f>VLOOKUP(A54,'Data yoy'!#REF!,MATCH($B$1,'Data yoy'!#REF!,0),FALSE)</f>
        <v/>
      </c>
      <c r="C54" s="46">
        <f>Table13456789101112131415161734[[#This Row],[USA]]-B53</f>
        <v/>
      </c>
      <c r="D54" s="27" t="n"/>
    </row>
    <row r="55">
      <c r="A55" s="45" t="n">
        <v>22190</v>
      </c>
      <c r="B55" s="46">
        <f>VLOOKUP(A55,'Data yoy'!#REF!,MATCH($B$1,'Data yoy'!#REF!,0),FALSE)</f>
        <v/>
      </c>
      <c r="C55" s="46">
        <f>Table13456789101112131415161734[[#This Row],[USA]]-B54</f>
        <v/>
      </c>
      <c r="D55" s="27" t="n"/>
    </row>
    <row r="56">
      <c r="A56" s="45" t="n">
        <v>22282</v>
      </c>
      <c r="B56" s="46">
        <f>VLOOKUP(A56,'Data yoy'!#REF!,MATCH($B$1,'Data yoy'!#REF!,0),FALSE)</f>
        <v/>
      </c>
      <c r="C56" s="46">
        <f>Table13456789101112131415161734[[#This Row],[USA]]-B55</f>
        <v/>
      </c>
      <c r="D56" s="27" t="n"/>
    </row>
    <row r="57">
      <c r="A57" s="45" t="n">
        <v>22372</v>
      </c>
      <c r="B57" s="46">
        <f>VLOOKUP(A57,'Data yoy'!#REF!,MATCH($B$1,'Data yoy'!#REF!,0),FALSE)</f>
        <v/>
      </c>
      <c r="C57" s="46">
        <f>Table13456789101112131415161734[[#This Row],[USA]]-B56</f>
        <v/>
      </c>
      <c r="D57" s="27" t="n"/>
    </row>
    <row r="58">
      <c r="A58" s="45" t="n">
        <v>22463</v>
      </c>
      <c r="B58" s="46">
        <f>VLOOKUP(A58,'Data yoy'!#REF!,MATCH($B$1,'Data yoy'!#REF!,0),FALSE)</f>
        <v/>
      </c>
      <c r="C58" s="46">
        <f>Table13456789101112131415161734[[#This Row],[USA]]-B57</f>
        <v/>
      </c>
      <c r="D58" s="27" t="n"/>
    </row>
    <row r="59">
      <c r="A59" s="45" t="n">
        <v>22555</v>
      </c>
      <c r="B59" s="46">
        <f>VLOOKUP(A59,'Data yoy'!#REF!,MATCH($B$1,'Data yoy'!#REF!,0),FALSE)</f>
        <v/>
      </c>
      <c r="C59" s="46">
        <f>Table13456789101112131415161734[[#This Row],[USA]]-B58</f>
        <v/>
      </c>
      <c r="D59" s="27" t="n"/>
    </row>
    <row r="60">
      <c r="A60" s="45" t="n">
        <v>22647</v>
      </c>
      <c r="B60" s="46">
        <f>VLOOKUP(A60,'Data yoy'!#REF!,MATCH($B$1,'Data yoy'!#REF!,0),FALSE)</f>
        <v/>
      </c>
      <c r="C60" s="46">
        <f>Table13456789101112131415161734[[#This Row],[USA]]-B59</f>
        <v/>
      </c>
      <c r="D60" s="27" t="n"/>
    </row>
    <row r="61">
      <c r="A61" s="45" t="n">
        <v>22737</v>
      </c>
      <c r="B61" s="46">
        <f>VLOOKUP(A61,'Data yoy'!#REF!,MATCH($B$1,'Data yoy'!#REF!,0),FALSE)</f>
        <v/>
      </c>
      <c r="C61" s="46">
        <f>Table13456789101112131415161734[[#This Row],[USA]]-B60</f>
        <v/>
      </c>
      <c r="D61" s="27" t="n"/>
    </row>
    <row r="62">
      <c r="A62" s="45" t="n">
        <v>22828</v>
      </c>
      <c r="B62" s="46">
        <f>VLOOKUP(A62,'Data yoy'!#REF!,MATCH($B$1,'Data yoy'!#REF!,0),FALSE)</f>
        <v/>
      </c>
      <c r="C62" s="46">
        <f>Table13456789101112131415161734[[#This Row],[USA]]-B61</f>
        <v/>
      </c>
      <c r="D62" s="27" t="n"/>
    </row>
    <row r="63">
      <c r="A63" s="45" t="n">
        <v>22920</v>
      </c>
      <c r="B63" s="46">
        <f>VLOOKUP(A63,'Data yoy'!#REF!,MATCH($B$1,'Data yoy'!#REF!,0),FALSE)</f>
        <v/>
      </c>
      <c r="C63" s="46">
        <f>Table13456789101112131415161734[[#This Row],[USA]]-B62</f>
        <v/>
      </c>
      <c r="D63" s="27" t="n"/>
    </row>
    <row r="64">
      <c r="A64" s="45" t="n">
        <v>23012</v>
      </c>
      <c r="B64" s="46">
        <f>VLOOKUP(A64,'Data yoy'!#REF!,MATCH($B$1,'Data yoy'!#REF!,0),FALSE)</f>
        <v/>
      </c>
      <c r="C64" s="46">
        <f>Table13456789101112131415161734[[#This Row],[USA]]-B63</f>
        <v/>
      </c>
      <c r="D64" s="27" t="n"/>
    </row>
    <row r="65">
      <c r="A65" s="45" t="n">
        <v>23102</v>
      </c>
      <c r="B65" s="46">
        <f>VLOOKUP(A65,'Data yoy'!#REF!,MATCH($B$1,'Data yoy'!#REF!,0),FALSE)</f>
        <v/>
      </c>
      <c r="C65" s="46">
        <f>Table13456789101112131415161734[[#This Row],[USA]]-B64</f>
        <v/>
      </c>
      <c r="D65" s="27" t="n"/>
    </row>
    <row r="66">
      <c r="A66" s="45" t="n">
        <v>23193</v>
      </c>
      <c r="B66" s="46">
        <f>VLOOKUP(A66,'Data yoy'!#REF!,MATCH($B$1,'Data yoy'!#REF!,0),FALSE)</f>
        <v/>
      </c>
      <c r="C66" s="46">
        <f>Table13456789101112131415161734[[#This Row],[USA]]-B65</f>
        <v/>
      </c>
      <c r="D66" s="27" t="n"/>
    </row>
    <row r="67">
      <c r="A67" s="45" t="n">
        <v>23285</v>
      </c>
      <c r="B67" s="46">
        <f>VLOOKUP(A67,'Data yoy'!#REF!,MATCH($B$1,'Data yoy'!#REF!,0),FALSE)</f>
        <v/>
      </c>
      <c r="C67" s="46">
        <f>Table13456789101112131415161734[[#This Row],[USA]]-B66</f>
        <v/>
      </c>
      <c r="D67" s="27" t="n"/>
    </row>
    <row r="68">
      <c r="A68" s="45" t="n">
        <v>23377</v>
      </c>
      <c r="B68" s="46">
        <f>VLOOKUP(A68,'Data yoy'!#REF!,MATCH($B$1,'Data yoy'!#REF!,0),FALSE)</f>
        <v/>
      </c>
      <c r="C68" s="46">
        <f>Table13456789101112131415161734[[#This Row],[USA]]-B67</f>
        <v/>
      </c>
      <c r="D68" s="27" t="n"/>
    </row>
    <row r="69">
      <c r="A69" s="45" t="n">
        <v>23468</v>
      </c>
      <c r="B69" s="46">
        <f>VLOOKUP(A69,'Data yoy'!#REF!,MATCH($B$1,'Data yoy'!#REF!,0),FALSE)</f>
        <v/>
      </c>
      <c r="C69" s="46">
        <f>Table13456789101112131415161734[[#This Row],[USA]]-B68</f>
        <v/>
      </c>
      <c r="D69" s="27" t="n"/>
    </row>
    <row r="70">
      <c r="A70" s="45" t="n">
        <v>23559</v>
      </c>
      <c r="B70" s="46">
        <f>VLOOKUP(A70,'Data yoy'!#REF!,MATCH($B$1,'Data yoy'!#REF!,0),FALSE)</f>
        <v/>
      </c>
      <c r="C70" s="46">
        <f>Table13456789101112131415161734[[#This Row],[USA]]-B69</f>
        <v/>
      </c>
      <c r="D70" s="27" t="n"/>
    </row>
    <row r="71">
      <c r="A71" s="45" t="n">
        <v>23651</v>
      </c>
      <c r="B71" s="46">
        <f>VLOOKUP(A71,'Data yoy'!#REF!,MATCH($B$1,'Data yoy'!#REF!,0),FALSE)</f>
        <v/>
      </c>
      <c r="C71" s="46">
        <f>Table13456789101112131415161734[[#This Row],[USA]]-B70</f>
        <v/>
      </c>
      <c r="D71" s="27" t="n"/>
    </row>
    <row r="72">
      <c r="A72" s="45" t="n">
        <v>23743</v>
      </c>
      <c r="B72" s="46">
        <f>VLOOKUP(A72,'Data yoy'!#REF!,MATCH($B$1,'Data yoy'!#REF!,0),FALSE)</f>
        <v/>
      </c>
      <c r="C72" s="46">
        <f>Table13456789101112131415161734[[#This Row],[USA]]-B71</f>
        <v/>
      </c>
      <c r="D72" s="27" t="n"/>
    </row>
    <row r="73">
      <c r="A73" s="45" t="n">
        <v>23833</v>
      </c>
      <c r="B73" s="46">
        <f>VLOOKUP(A73,'Data yoy'!#REF!,MATCH($B$1,'Data yoy'!#REF!,0),FALSE)</f>
        <v/>
      </c>
      <c r="C73" s="46">
        <f>Table13456789101112131415161734[[#This Row],[USA]]-B72</f>
        <v/>
      </c>
      <c r="D73" s="27" t="n"/>
    </row>
    <row r="74">
      <c r="A74" s="45" t="n">
        <v>23924</v>
      </c>
      <c r="B74" s="46">
        <f>VLOOKUP(A74,'Data yoy'!#REF!,MATCH($B$1,'Data yoy'!#REF!,0),FALSE)</f>
        <v/>
      </c>
      <c r="C74" s="46">
        <f>Table13456789101112131415161734[[#This Row],[USA]]-B73</f>
        <v/>
      </c>
      <c r="D74" s="27" t="n"/>
    </row>
    <row r="75">
      <c r="A75" s="45" t="n">
        <v>24016</v>
      </c>
      <c r="B75" s="46">
        <f>VLOOKUP(A75,'Data yoy'!#REF!,MATCH($B$1,'Data yoy'!#REF!,0),FALSE)</f>
        <v/>
      </c>
      <c r="C75" s="46">
        <f>Table13456789101112131415161734[[#This Row],[USA]]-B74</f>
        <v/>
      </c>
      <c r="D75" s="27" t="n"/>
    </row>
    <row r="76">
      <c r="A76" s="45" t="n">
        <v>24108</v>
      </c>
      <c r="B76" s="46">
        <f>VLOOKUP(A76,'Data yoy'!#REF!,MATCH($B$1,'Data yoy'!#REF!,0),FALSE)</f>
        <v/>
      </c>
      <c r="C76" s="46">
        <f>Table13456789101112131415161734[[#This Row],[USA]]-B75</f>
        <v/>
      </c>
      <c r="D76" s="27" t="n"/>
    </row>
    <row r="77">
      <c r="A77" s="45" t="n">
        <v>24198</v>
      </c>
      <c r="B77" s="46">
        <f>VLOOKUP(A77,'Data yoy'!#REF!,MATCH($B$1,'Data yoy'!#REF!,0),FALSE)</f>
        <v/>
      </c>
      <c r="C77" s="46">
        <f>Table13456789101112131415161734[[#This Row],[USA]]-B76</f>
        <v/>
      </c>
      <c r="D77" s="27" t="n"/>
    </row>
    <row r="78">
      <c r="A78" s="45" t="n">
        <v>24289</v>
      </c>
      <c r="B78" s="46">
        <f>VLOOKUP(A78,'Data yoy'!#REF!,MATCH($B$1,'Data yoy'!#REF!,0),FALSE)</f>
        <v/>
      </c>
      <c r="C78" s="46">
        <f>Table13456789101112131415161734[[#This Row],[USA]]-B77</f>
        <v/>
      </c>
      <c r="D78" s="27" t="n"/>
    </row>
    <row r="79">
      <c r="A79" s="45" t="n">
        <v>24381</v>
      </c>
      <c r="B79" s="46">
        <f>VLOOKUP(A79,'Data yoy'!#REF!,MATCH($B$1,'Data yoy'!#REF!,0),FALSE)</f>
        <v/>
      </c>
      <c r="C79" s="46">
        <f>Table13456789101112131415161734[[#This Row],[USA]]-B78</f>
        <v/>
      </c>
      <c r="D79" s="27" t="n"/>
    </row>
    <row r="80">
      <c r="A80" s="45" t="n">
        <v>24473</v>
      </c>
      <c r="B80" s="46">
        <f>VLOOKUP(A80,'Data yoy'!#REF!,MATCH($B$1,'Data yoy'!#REF!,0),FALSE)</f>
        <v/>
      </c>
      <c r="C80" s="46">
        <f>Table13456789101112131415161734[[#This Row],[USA]]-B79</f>
        <v/>
      </c>
      <c r="D80" s="27" t="n"/>
    </row>
    <row r="81">
      <c r="A81" s="45" t="n">
        <v>24563</v>
      </c>
      <c r="B81" s="46">
        <f>VLOOKUP(A81,'Data yoy'!#REF!,MATCH($B$1,'Data yoy'!#REF!,0),FALSE)</f>
        <v/>
      </c>
      <c r="C81" s="46">
        <f>Table13456789101112131415161734[[#This Row],[USA]]-B80</f>
        <v/>
      </c>
      <c r="D81" s="27" t="n"/>
    </row>
    <row r="82">
      <c r="A82" s="45" t="n">
        <v>24654</v>
      </c>
      <c r="B82" s="46">
        <f>VLOOKUP(A82,'Data yoy'!#REF!,MATCH($B$1,'Data yoy'!#REF!,0),FALSE)</f>
        <v/>
      </c>
      <c r="C82" s="46">
        <f>Table13456789101112131415161734[[#This Row],[USA]]-B81</f>
        <v/>
      </c>
      <c r="D82" s="27" t="n"/>
    </row>
    <row r="83">
      <c r="A83" s="45" t="n">
        <v>24746</v>
      </c>
      <c r="B83" s="46">
        <f>VLOOKUP(A83,'Data yoy'!#REF!,MATCH($B$1,'Data yoy'!#REF!,0),FALSE)</f>
        <v/>
      </c>
      <c r="C83" s="46">
        <f>Table13456789101112131415161734[[#This Row],[USA]]-B82</f>
        <v/>
      </c>
      <c r="D83" s="27" t="n"/>
    </row>
    <row r="84">
      <c r="A84" s="45" t="n">
        <v>24838</v>
      </c>
      <c r="B84" s="46">
        <f>VLOOKUP(A84,'Data yoy'!#REF!,MATCH($B$1,'Data yoy'!#REF!,0),FALSE)</f>
        <v/>
      </c>
      <c r="C84" s="46">
        <f>Table13456789101112131415161734[[#This Row],[USA]]-B83</f>
        <v/>
      </c>
      <c r="D84" s="27" t="n"/>
    </row>
    <row r="85">
      <c r="A85" s="45" t="n">
        <v>24929</v>
      </c>
      <c r="B85" s="46">
        <f>VLOOKUP(A85,'Data yoy'!#REF!,MATCH($B$1,'Data yoy'!#REF!,0),FALSE)</f>
        <v/>
      </c>
      <c r="C85" s="46">
        <f>Table13456789101112131415161734[[#This Row],[USA]]-B84</f>
        <v/>
      </c>
      <c r="D85" s="27" t="n"/>
    </row>
    <row r="86">
      <c r="A86" s="45" t="n">
        <v>25020</v>
      </c>
      <c r="B86" s="46">
        <f>VLOOKUP(A86,'Data yoy'!#REF!,MATCH($B$1,'Data yoy'!#REF!,0),FALSE)</f>
        <v/>
      </c>
      <c r="C86" s="46">
        <f>Table13456789101112131415161734[[#This Row],[USA]]-B85</f>
        <v/>
      </c>
      <c r="D86" s="27" t="n"/>
    </row>
    <row r="87">
      <c r="A87" s="45" t="n">
        <v>25112</v>
      </c>
      <c r="B87" s="46">
        <f>VLOOKUP(A87,'Data yoy'!#REF!,MATCH($B$1,'Data yoy'!#REF!,0),FALSE)</f>
        <v/>
      </c>
      <c r="C87" s="46">
        <f>Table13456789101112131415161734[[#This Row],[USA]]-B86</f>
        <v/>
      </c>
      <c r="D87" s="27" t="n"/>
    </row>
    <row r="88">
      <c r="A88" s="45" t="n">
        <v>25204</v>
      </c>
      <c r="B88" s="46">
        <f>VLOOKUP(A88,'Data yoy'!#REF!,MATCH($B$1,'Data yoy'!#REF!,0),FALSE)</f>
        <v/>
      </c>
      <c r="C88" s="46">
        <f>Table13456789101112131415161734[[#This Row],[USA]]-B87</f>
        <v/>
      </c>
      <c r="D88" s="27" t="n"/>
    </row>
    <row r="89">
      <c r="A89" s="45" t="n">
        <v>25294</v>
      </c>
      <c r="B89" s="46">
        <f>VLOOKUP(A89,'Data yoy'!#REF!,MATCH($B$1,'Data yoy'!#REF!,0),FALSE)</f>
        <v/>
      </c>
      <c r="C89" s="46">
        <f>Table13456789101112131415161734[[#This Row],[USA]]-B88</f>
        <v/>
      </c>
      <c r="D89" s="27" t="n"/>
    </row>
    <row r="90">
      <c r="A90" s="45" t="n">
        <v>25385</v>
      </c>
      <c r="B90" s="46">
        <f>VLOOKUP(A90,'Data yoy'!#REF!,MATCH($B$1,'Data yoy'!#REF!,0),FALSE)</f>
        <v/>
      </c>
      <c r="C90" s="46">
        <f>Table13456789101112131415161734[[#This Row],[USA]]-B89</f>
        <v/>
      </c>
      <c r="D90" s="27" t="n"/>
    </row>
    <row r="91">
      <c r="A91" s="45" t="n">
        <v>25477</v>
      </c>
      <c r="B91" s="46">
        <f>VLOOKUP(A91,'Data yoy'!#REF!,MATCH($B$1,'Data yoy'!#REF!,0),FALSE)</f>
        <v/>
      </c>
      <c r="C91" s="46">
        <f>Table13456789101112131415161734[[#This Row],[USA]]-B90</f>
        <v/>
      </c>
      <c r="D91" s="27" t="n"/>
    </row>
    <row r="92">
      <c r="A92" s="45" t="n">
        <v>25569</v>
      </c>
      <c r="B92" s="46">
        <f>VLOOKUP(A92,'Data yoy'!#REF!,MATCH($B$1,'Data yoy'!#REF!,0),FALSE)</f>
        <v/>
      </c>
      <c r="C92" s="46">
        <f>Table13456789101112131415161734[[#This Row],[USA]]-B91</f>
        <v/>
      </c>
      <c r="D92" s="27" t="n"/>
    </row>
    <row r="93">
      <c r="A93" s="45" t="n">
        <v>25659</v>
      </c>
      <c r="B93" s="46">
        <f>VLOOKUP(A93,'Data yoy'!#REF!,MATCH($B$1,'Data yoy'!#REF!,0),FALSE)</f>
        <v/>
      </c>
      <c r="C93" s="46">
        <f>Table13456789101112131415161734[[#This Row],[USA]]-B92</f>
        <v/>
      </c>
      <c r="D93" s="27" t="n"/>
    </row>
    <row r="94">
      <c r="A94" s="45" t="n">
        <v>25750</v>
      </c>
      <c r="B94" s="46">
        <f>VLOOKUP(A94,'Data yoy'!#REF!,MATCH($B$1,'Data yoy'!#REF!,0),FALSE)</f>
        <v/>
      </c>
      <c r="C94" s="46">
        <f>Table13456789101112131415161734[[#This Row],[USA]]-B93</f>
        <v/>
      </c>
      <c r="D94" s="27" t="n"/>
    </row>
    <row r="95">
      <c r="A95" s="45" t="n">
        <v>25842</v>
      </c>
      <c r="B95" s="46">
        <f>VLOOKUP(A95,'Data yoy'!#REF!,MATCH($B$1,'Data yoy'!#REF!,0),FALSE)</f>
        <v/>
      </c>
      <c r="C95" s="46">
        <f>Table13456789101112131415161734[[#This Row],[USA]]-B94</f>
        <v/>
      </c>
      <c r="D95" s="27" t="n"/>
    </row>
    <row r="96">
      <c r="A96" s="45" t="n">
        <v>25934</v>
      </c>
      <c r="B96" s="46">
        <f>VLOOKUP(A96,'Data yoy'!#REF!,MATCH($B$1,'Data yoy'!#REF!,0),FALSE)</f>
        <v/>
      </c>
      <c r="C96" s="46">
        <f>Table13456789101112131415161734[[#This Row],[USA]]-B95</f>
        <v/>
      </c>
      <c r="D96" s="27" t="n"/>
    </row>
    <row r="97">
      <c r="A97" s="45" t="n">
        <v>26024</v>
      </c>
      <c r="B97" s="46">
        <f>VLOOKUP(A97,'Data yoy'!#REF!,MATCH($B$1,'Data yoy'!#REF!,0),FALSE)</f>
        <v/>
      </c>
      <c r="C97" s="46">
        <f>Table13456789101112131415161734[[#This Row],[USA]]-B96</f>
        <v/>
      </c>
      <c r="D97" s="27" t="n"/>
    </row>
    <row r="98">
      <c r="A98" s="45" t="n">
        <v>26115</v>
      </c>
      <c r="B98" s="46">
        <f>VLOOKUP(A98,'Data yoy'!#REF!,MATCH($B$1,'Data yoy'!#REF!,0),FALSE)</f>
        <v/>
      </c>
      <c r="C98" s="46">
        <f>Table13456789101112131415161734[[#This Row],[USA]]-B97</f>
        <v/>
      </c>
      <c r="D98" s="27" t="n"/>
    </row>
    <row r="99">
      <c r="A99" s="45" t="n">
        <v>26207</v>
      </c>
      <c r="B99" s="46">
        <f>VLOOKUP(A99,'Data yoy'!#REF!,MATCH($B$1,'Data yoy'!#REF!,0),FALSE)</f>
        <v/>
      </c>
      <c r="C99" s="46">
        <f>Table13456789101112131415161734[[#This Row],[USA]]-B98</f>
        <v/>
      </c>
      <c r="D99" s="27" t="n"/>
    </row>
    <row r="100">
      <c r="A100" s="45" t="n">
        <v>26299</v>
      </c>
      <c r="B100" s="46">
        <f>VLOOKUP(A100,'Data yoy'!#REF!,MATCH($B$1,'Data yoy'!#REF!,0),FALSE)</f>
        <v/>
      </c>
      <c r="C100" s="46">
        <f>Table13456789101112131415161734[[#This Row],[USA]]-B99</f>
        <v/>
      </c>
      <c r="D100" s="27" t="n"/>
    </row>
    <row r="101">
      <c r="A101" s="45" t="n">
        <v>26390</v>
      </c>
      <c r="B101" s="46">
        <f>VLOOKUP(A101,'Data yoy'!#REF!,MATCH($B$1,'Data yoy'!#REF!,0),FALSE)</f>
        <v/>
      </c>
      <c r="C101" s="46">
        <f>Table13456789101112131415161734[[#This Row],[USA]]-B100</f>
        <v/>
      </c>
      <c r="D101" s="27" t="n"/>
    </row>
    <row r="102">
      <c r="A102" s="45" t="n">
        <v>26481</v>
      </c>
      <c r="B102" s="46">
        <f>VLOOKUP(A102,'Data yoy'!#REF!,MATCH($B$1,'Data yoy'!#REF!,0),FALSE)</f>
        <v/>
      </c>
      <c r="C102" s="46">
        <f>Table13456789101112131415161734[[#This Row],[USA]]-B101</f>
        <v/>
      </c>
      <c r="D102" s="27" t="n"/>
    </row>
    <row r="103">
      <c r="A103" s="45" t="n">
        <v>26573</v>
      </c>
      <c r="B103" s="46">
        <f>VLOOKUP(A103,'Data yoy'!#REF!,MATCH($B$1,'Data yoy'!#REF!,0),FALSE)</f>
        <v/>
      </c>
      <c r="C103" s="46">
        <f>Table13456789101112131415161734[[#This Row],[USA]]-B102</f>
        <v/>
      </c>
      <c r="D103" s="27" t="n"/>
    </row>
    <row r="104">
      <c r="A104" s="45" t="n">
        <v>26665</v>
      </c>
      <c r="B104" s="46">
        <f>VLOOKUP(A104,'Data yoy'!#REF!,MATCH($B$1,'Data yoy'!#REF!,0),FALSE)</f>
        <v/>
      </c>
      <c r="C104" s="46">
        <f>Table13456789101112131415161734[[#This Row],[USA]]-B103</f>
        <v/>
      </c>
      <c r="D104" s="27" t="n"/>
    </row>
    <row r="105">
      <c r="A105" s="45" t="n">
        <v>26755</v>
      </c>
      <c r="B105" s="46">
        <f>VLOOKUP(A105,'Data yoy'!#REF!,MATCH($B$1,'Data yoy'!#REF!,0),FALSE)</f>
        <v/>
      </c>
      <c r="C105" s="46">
        <f>Table13456789101112131415161734[[#This Row],[USA]]-B104</f>
        <v/>
      </c>
      <c r="D105" s="27" t="n"/>
    </row>
    <row r="106">
      <c r="A106" s="45" t="n">
        <v>26846</v>
      </c>
      <c r="B106" s="46">
        <f>VLOOKUP(A106,'Data yoy'!#REF!,MATCH($B$1,'Data yoy'!#REF!,0),FALSE)</f>
        <v/>
      </c>
      <c r="C106" s="46">
        <f>Table13456789101112131415161734[[#This Row],[USA]]-B105</f>
        <v/>
      </c>
      <c r="D106" s="27" t="n"/>
    </row>
    <row r="107">
      <c r="A107" s="45" t="n">
        <v>26938</v>
      </c>
      <c r="B107" s="46">
        <f>VLOOKUP(A107,'Data yoy'!#REF!,MATCH($B$1,'Data yoy'!#REF!,0),FALSE)</f>
        <v/>
      </c>
      <c r="C107" s="46">
        <f>Table13456789101112131415161734[[#This Row],[USA]]-B106</f>
        <v/>
      </c>
      <c r="D107" s="27" t="n"/>
    </row>
    <row r="108">
      <c r="A108" s="45" t="n">
        <v>27030</v>
      </c>
      <c r="B108" s="46">
        <f>VLOOKUP(A108,'Data yoy'!#REF!,MATCH($B$1,'Data yoy'!#REF!,0),FALSE)</f>
        <v/>
      </c>
      <c r="C108" s="46">
        <f>Table13456789101112131415161734[[#This Row],[USA]]-B107</f>
        <v/>
      </c>
      <c r="D108" s="27" t="n"/>
    </row>
    <row r="109">
      <c r="A109" s="45" t="n">
        <v>27120</v>
      </c>
      <c r="B109" s="46">
        <f>VLOOKUP(A109,'Data yoy'!#REF!,MATCH($B$1,'Data yoy'!#REF!,0),FALSE)</f>
        <v/>
      </c>
      <c r="C109" s="46">
        <f>Table13456789101112131415161734[[#This Row],[USA]]-B108</f>
        <v/>
      </c>
      <c r="D109" s="27" t="n"/>
    </row>
    <row r="110">
      <c r="A110" s="45" t="n">
        <v>27211</v>
      </c>
      <c r="B110" s="46">
        <f>VLOOKUP(A110,'Data yoy'!#REF!,MATCH($B$1,'Data yoy'!#REF!,0),FALSE)</f>
        <v/>
      </c>
      <c r="C110" s="46">
        <f>Table13456789101112131415161734[[#This Row],[USA]]-B109</f>
        <v/>
      </c>
      <c r="D110" s="27" t="n"/>
    </row>
    <row r="111">
      <c r="A111" s="45" t="n">
        <v>27303</v>
      </c>
      <c r="B111" s="46">
        <f>VLOOKUP(A111,'Data yoy'!#REF!,MATCH($B$1,'Data yoy'!#REF!,0),FALSE)</f>
        <v/>
      </c>
      <c r="C111" s="46">
        <f>Table13456789101112131415161734[[#This Row],[USA]]-B110</f>
        <v/>
      </c>
      <c r="D111" s="27" t="n"/>
    </row>
    <row r="112">
      <c r="A112" s="45" t="n">
        <v>27395</v>
      </c>
      <c r="B112" s="46">
        <f>VLOOKUP(A112,'Data yoy'!#REF!,MATCH($B$1,'Data yoy'!#REF!,0),FALSE)</f>
        <v/>
      </c>
      <c r="C112" s="46">
        <f>Table13456789101112131415161734[[#This Row],[USA]]-B111</f>
        <v/>
      </c>
      <c r="D112" s="27" t="n"/>
    </row>
    <row r="113">
      <c r="A113" s="45" t="n">
        <v>27485</v>
      </c>
      <c r="B113" s="46">
        <f>VLOOKUP(A113,'Data yoy'!#REF!,MATCH($B$1,'Data yoy'!#REF!,0),FALSE)</f>
        <v/>
      </c>
      <c r="C113" s="46">
        <f>Table13456789101112131415161734[[#This Row],[USA]]-B112</f>
        <v/>
      </c>
      <c r="D113" s="27" t="n"/>
    </row>
    <row r="114">
      <c r="A114" s="45" t="n">
        <v>27576</v>
      </c>
      <c r="B114" s="46">
        <f>VLOOKUP(A114,'Data yoy'!#REF!,MATCH($B$1,'Data yoy'!#REF!,0),FALSE)</f>
        <v/>
      </c>
      <c r="C114" s="46">
        <f>Table13456789101112131415161734[[#This Row],[USA]]-B113</f>
        <v/>
      </c>
      <c r="D114" s="27" t="n"/>
    </row>
    <row r="115">
      <c r="A115" s="45" t="n">
        <v>27668</v>
      </c>
      <c r="B115" s="46">
        <f>VLOOKUP(A115,'Data yoy'!#REF!,MATCH($B$1,'Data yoy'!#REF!,0),FALSE)</f>
        <v/>
      </c>
      <c r="C115" s="46">
        <f>Table13456789101112131415161734[[#This Row],[USA]]-B114</f>
        <v/>
      </c>
      <c r="D115" s="27" t="n"/>
    </row>
    <row r="116">
      <c r="A116" s="45" t="n">
        <v>27760</v>
      </c>
      <c r="B116" s="46">
        <f>VLOOKUP(A116,'Data yoy'!#REF!,MATCH($B$1,'Data yoy'!#REF!,0),FALSE)</f>
        <v/>
      </c>
      <c r="C116" s="46">
        <f>Table13456789101112131415161734[[#This Row],[USA]]-B115</f>
        <v/>
      </c>
      <c r="D116" s="27" t="n"/>
    </row>
    <row r="117">
      <c r="A117" s="45" t="n">
        <v>27851</v>
      </c>
      <c r="B117" s="46">
        <f>VLOOKUP(A117,'Data yoy'!#REF!,MATCH($B$1,'Data yoy'!#REF!,0),FALSE)</f>
        <v/>
      </c>
      <c r="C117" s="46">
        <f>Table13456789101112131415161734[[#This Row],[USA]]-B116</f>
        <v/>
      </c>
      <c r="D117" s="27" t="n"/>
    </row>
    <row r="118">
      <c r="A118" s="45" t="n">
        <v>27942</v>
      </c>
      <c r="B118" s="46">
        <f>VLOOKUP(A118,'Data yoy'!#REF!,MATCH($B$1,'Data yoy'!#REF!,0),FALSE)</f>
        <v/>
      </c>
      <c r="C118" s="46">
        <f>Table13456789101112131415161734[[#This Row],[USA]]-B117</f>
        <v/>
      </c>
      <c r="D118" s="27" t="n"/>
    </row>
    <row r="119">
      <c r="A119" s="45" t="n">
        <v>28034</v>
      </c>
      <c r="B119" s="46">
        <f>VLOOKUP(A119,'Data yoy'!#REF!,MATCH($B$1,'Data yoy'!#REF!,0),FALSE)</f>
        <v/>
      </c>
      <c r="C119" s="46">
        <f>Table13456789101112131415161734[[#This Row],[USA]]-B118</f>
        <v/>
      </c>
      <c r="D119" s="27" t="n"/>
    </row>
    <row r="120">
      <c r="A120" s="45" t="n">
        <v>28126</v>
      </c>
      <c r="B120" s="46">
        <f>VLOOKUP(A120,'Data yoy'!#REF!,MATCH($B$1,'Data yoy'!#REF!,0),FALSE)</f>
        <v/>
      </c>
      <c r="C120" s="46">
        <f>Table13456789101112131415161734[[#This Row],[USA]]-B119</f>
        <v/>
      </c>
      <c r="D120" s="27" t="n"/>
    </row>
    <row r="121">
      <c r="A121" s="45" t="n">
        <v>28216</v>
      </c>
      <c r="B121" s="46">
        <f>VLOOKUP(A121,'Data yoy'!#REF!,MATCH($B$1,'Data yoy'!#REF!,0),FALSE)</f>
        <v/>
      </c>
      <c r="C121" s="46">
        <f>Table13456789101112131415161734[[#This Row],[USA]]-B120</f>
        <v/>
      </c>
      <c r="D121" s="27" t="n"/>
    </row>
    <row r="122">
      <c r="A122" s="45" t="n">
        <v>28307</v>
      </c>
      <c r="B122" s="46">
        <f>VLOOKUP(A122,'Data yoy'!#REF!,MATCH($B$1,'Data yoy'!#REF!,0),FALSE)</f>
        <v/>
      </c>
      <c r="C122" s="46">
        <f>Table13456789101112131415161734[[#This Row],[USA]]-B121</f>
        <v/>
      </c>
      <c r="D122" s="27" t="n"/>
    </row>
    <row r="123">
      <c r="A123" s="45" t="n">
        <v>28399</v>
      </c>
      <c r="B123" s="46">
        <f>VLOOKUP(A123,'Data yoy'!#REF!,MATCH($B$1,'Data yoy'!#REF!,0),FALSE)</f>
        <v/>
      </c>
      <c r="C123" s="46">
        <f>Table13456789101112131415161734[[#This Row],[USA]]-B122</f>
        <v/>
      </c>
      <c r="D123" s="27" t="n"/>
    </row>
    <row r="124">
      <c r="A124" s="45" t="n">
        <v>28491</v>
      </c>
      <c r="B124" s="46">
        <f>VLOOKUP(A124,'Data yoy'!#REF!,MATCH($B$1,'Data yoy'!#REF!,0),FALSE)</f>
        <v/>
      </c>
      <c r="C124" s="46">
        <f>Table13456789101112131415161734[[#This Row],[USA]]-B123</f>
        <v/>
      </c>
      <c r="D124" s="27" t="n"/>
    </row>
    <row r="125">
      <c r="A125" s="45" t="n">
        <v>28581</v>
      </c>
      <c r="B125" s="46">
        <f>VLOOKUP(A125,'Data yoy'!#REF!,MATCH($B$1,'Data yoy'!#REF!,0),FALSE)</f>
        <v/>
      </c>
      <c r="C125" s="46">
        <f>Table13456789101112131415161734[[#This Row],[USA]]-B124</f>
        <v/>
      </c>
      <c r="D125" s="27" t="n"/>
    </row>
    <row r="126">
      <c r="A126" s="45" t="n">
        <v>28672</v>
      </c>
      <c r="B126" s="46">
        <f>VLOOKUP(A126,'Data yoy'!#REF!,MATCH($B$1,'Data yoy'!#REF!,0),FALSE)</f>
        <v/>
      </c>
      <c r="C126" s="46">
        <f>Table13456789101112131415161734[[#This Row],[USA]]-B125</f>
        <v/>
      </c>
      <c r="D126" s="27" t="n"/>
    </row>
    <row r="127">
      <c r="A127" s="45" t="n">
        <v>28764</v>
      </c>
      <c r="B127" s="46">
        <f>VLOOKUP(A127,'Data yoy'!#REF!,MATCH($B$1,'Data yoy'!#REF!,0),FALSE)</f>
        <v/>
      </c>
      <c r="C127" s="46">
        <f>Table13456789101112131415161734[[#This Row],[USA]]-B126</f>
        <v/>
      </c>
      <c r="D127" s="27" t="n"/>
    </row>
    <row r="128">
      <c r="A128" s="45" t="n">
        <v>28856</v>
      </c>
      <c r="B128" s="46">
        <f>VLOOKUP(A128,'Data yoy'!#REF!,MATCH($B$1,'Data yoy'!#REF!,0),FALSE)</f>
        <v/>
      </c>
      <c r="C128" s="46">
        <f>Table13456789101112131415161734[[#This Row],[USA]]-B127</f>
        <v/>
      </c>
      <c r="D128" s="27" t="n"/>
    </row>
    <row r="129">
      <c r="A129" s="45" t="n">
        <v>28946</v>
      </c>
      <c r="B129" s="46">
        <f>VLOOKUP(A129,'Data yoy'!#REF!,MATCH($B$1,'Data yoy'!#REF!,0),FALSE)</f>
        <v/>
      </c>
      <c r="C129" s="46">
        <f>Table13456789101112131415161734[[#This Row],[USA]]-B128</f>
        <v/>
      </c>
      <c r="D129" s="27" t="n"/>
    </row>
    <row r="130">
      <c r="A130" s="45" t="n">
        <v>29037</v>
      </c>
      <c r="B130" s="46">
        <f>VLOOKUP(A130,'Data yoy'!#REF!,MATCH($B$1,'Data yoy'!#REF!,0),FALSE)</f>
        <v/>
      </c>
      <c r="C130" s="46">
        <f>Table13456789101112131415161734[[#This Row],[USA]]-B129</f>
        <v/>
      </c>
      <c r="D130" s="27" t="n"/>
    </row>
    <row r="131">
      <c r="A131" s="45" t="n">
        <v>29129</v>
      </c>
      <c r="B131" s="46">
        <f>VLOOKUP(A131,'Data yoy'!#REF!,MATCH($B$1,'Data yoy'!#REF!,0),FALSE)</f>
        <v/>
      </c>
      <c r="C131" s="46">
        <f>Table13456789101112131415161734[[#This Row],[USA]]-B130</f>
        <v/>
      </c>
      <c r="D131" s="27" t="n"/>
    </row>
    <row r="132">
      <c r="A132" s="45" t="n">
        <v>29221</v>
      </c>
      <c r="B132" s="46">
        <f>VLOOKUP(A132,'Data yoy'!#REF!,MATCH($B$1,'Data yoy'!#REF!,0),FALSE)</f>
        <v/>
      </c>
      <c r="C132" s="46">
        <f>Table13456789101112131415161734[[#This Row],[USA]]-B131</f>
        <v/>
      </c>
      <c r="D132" s="27" t="n"/>
    </row>
    <row r="133">
      <c r="A133" s="45" t="n">
        <v>29312</v>
      </c>
      <c r="B133" s="46">
        <f>VLOOKUP(A133,'Data yoy'!#REF!,MATCH($B$1,'Data yoy'!#REF!,0),FALSE)</f>
        <v/>
      </c>
      <c r="C133" s="46">
        <f>Table13456789101112131415161734[[#This Row],[USA]]-B132</f>
        <v/>
      </c>
      <c r="D133" s="27" t="n"/>
    </row>
    <row r="134">
      <c r="A134" s="45" t="n">
        <v>29403</v>
      </c>
      <c r="B134" s="46">
        <f>VLOOKUP(A134,'Data yoy'!#REF!,MATCH($B$1,'Data yoy'!#REF!,0),FALSE)</f>
        <v/>
      </c>
      <c r="C134" s="46">
        <f>Table13456789101112131415161734[[#This Row],[USA]]-B133</f>
        <v/>
      </c>
      <c r="D134" s="27" t="n"/>
    </row>
    <row r="135">
      <c r="A135" s="45" t="n">
        <v>29495</v>
      </c>
      <c r="B135" s="46">
        <f>VLOOKUP(A135,'Data yoy'!#REF!,MATCH($B$1,'Data yoy'!#REF!,0),FALSE)</f>
        <v/>
      </c>
      <c r="C135" s="46">
        <f>Table13456789101112131415161734[[#This Row],[USA]]-B134</f>
        <v/>
      </c>
      <c r="D135" s="27" t="n"/>
    </row>
    <row r="136">
      <c r="A136" s="45" t="n">
        <v>29587</v>
      </c>
      <c r="B136" s="46">
        <f>VLOOKUP(A136,'Data yoy'!#REF!,MATCH($B$1,'Data yoy'!#REF!,0),FALSE)</f>
        <v/>
      </c>
      <c r="C136" s="46">
        <f>Table13456789101112131415161734[[#This Row],[USA]]-B135</f>
        <v/>
      </c>
      <c r="D136" s="27" t="n"/>
    </row>
    <row r="137">
      <c r="A137" s="45" t="n">
        <v>29677</v>
      </c>
      <c r="B137" s="46">
        <f>VLOOKUP(A137,'Data yoy'!#REF!,MATCH($B$1,'Data yoy'!#REF!,0),FALSE)</f>
        <v/>
      </c>
      <c r="C137" s="46">
        <f>Table13456789101112131415161734[[#This Row],[USA]]-B136</f>
        <v/>
      </c>
      <c r="D137" s="27" t="n"/>
    </row>
    <row r="138">
      <c r="A138" s="45" t="n">
        <v>29768</v>
      </c>
      <c r="B138" s="46">
        <f>VLOOKUP(A138,'Data yoy'!#REF!,MATCH($B$1,'Data yoy'!#REF!,0),FALSE)</f>
        <v/>
      </c>
      <c r="C138" s="46">
        <f>Table13456789101112131415161734[[#This Row],[USA]]-B137</f>
        <v/>
      </c>
      <c r="D138" s="27" t="n"/>
    </row>
    <row r="139">
      <c r="A139" s="45" t="n">
        <v>29860</v>
      </c>
      <c r="B139" s="46">
        <f>VLOOKUP(A139,'Data yoy'!#REF!,MATCH($B$1,'Data yoy'!#REF!,0),FALSE)</f>
        <v/>
      </c>
      <c r="C139" s="46">
        <f>Table13456789101112131415161734[[#This Row],[USA]]-B138</f>
        <v/>
      </c>
      <c r="D139" s="27" t="n"/>
    </row>
    <row r="140">
      <c r="A140" s="45" t="n">
        <v>29952</v>
      </c>
      <c r="B140" s="46">
        <f>VLOOKUP(A140,'Data yoy'!#REF!,MATCH($B$1,'Data yoy'!#REF!,0),FALSE)</f>
        <v/>
      </c>
      <c r="C140" s="46">
        <f>Table13456789101112131415161734[[#This Row],[USA]]-B139</f>
        <v/>
      </c>
      <c r="D140" s="27" t="n"/>
    </row>
    <row r="141">
      <c r="A141" s="45" t="n">
        <v>30042</v>
      </c>
      <c r="B141" s="46">
        <f>VLOOKUP(A141,'Data yoy'!#REF!,MATCH($B$1,'Data yoy'!#REF!,0),FALSE)</f>
        <v/>
      </c>
      <c r="C141" s="46">
        <f>Table13456789101112131415161734[[#This Row],[USA]]-B140</f>
        <v/>
      </c>
      <c r="D141" s="27" t="n"/>
    </row>
    <row r="142">
      <c r="A142" s="45" t="n">
        <v>30133</v>
      </c>
      <c r="B142" s="46">
        <f>VLOOKUP(A142,'Data yoy'!#REF!,MATCH($B$1,'Data yoy'!#REF!,0),FALSE)</f>
        <v/>
      </c>
      <c r="C142" s="46">
        <f>Table13456789101112131415161734[[#This Row],[USA]]-B141</f>
        <v/>
      </c>
      <c r="D142" s="27" t="n"/>
    </row>
    <row r="143">
      <c r="A143" s="45" t="n">
        <v>30225</v>
      </c>
      <c r="B143" s="46">
        <f>VLOOKUP(A143,'Data yoy'!#REF!,MATCH($B$1,'Data yoy'!#REF!,0),FALSE)</f>
        <v/>
      </c>
      <c r="C143" s="46">
        <f>Table13456789101112131415161734[[#This Row],[USA]]-B142</f>
        <v/>
      </c>
      <c r="D143" s="27" t="n"/>
    </row>
    <row r="144">
      <c r="A144" s="45" t="n">
        <v>30317</v>
      </c>
      <c r="B144" s="46">
        <f>VLOOKUP(A144,'Data yoy'!#REF!,MATCH($B$1,'Data yoy'!#REF!,0),FALSE)</f>
        <v/>
      </c>
      <c r="C144" s="46">
        <f>Table13456789101112131415161734[[#This Row],[USA]]-B143</f>
        <v/>
      </c>
      <c r="D144" s="27" t="n"/>
    </row>
    <row r="145">
      <c r="A145" s="45" t="n">
        <v>30407</v>
      </c>
      <c r="B145" s="46">
        <f>VLOOKUP(A145,'Data yoy'!#REF!,MATCH($B$1,'Data yoy'!#REF!,0),FALSE)</f>
        <v/>
      </c>
      <c r="C145" s="46">
        <f>Table13456789101112131415161734[[#This Row],[USA]]-B144</f>
        <v/>
      </c>
      <c r="D145" s="27" t="n"/>
    </row>
    <row r="146">
      <c r="A146" s="45" t="n">
        <v>30498</v>
      </c>
      <c r="B146" s="46">
        <f>VLOOKUP(A146,'Data yoy'!#REF!,MATCH($B$1,'Data yoy'!#REF!,0),FALSE)</f>
        <v/>
      </c>
      <c r="C146" s="46">
        <f>Table13456789101112131415161734[[#This Row],[USA]]-B145</f>
        <v/>
      </c>
      <c r="D146" s="27" t="n"/>
    </row>
    <row r="147">
      <c r="A147" s="45" t="n">
        <v>30590</v>
      </c>
      <c r="B147" s="46">
        <f>VLOOKUP(A147,'Data yoy'!#REF!,MATCH($B$1,'Data yoy'!#REF!,0),FALSE)</f>
        <v/>
      </c>
      <c r="C147" s="46">
        <f>Table13456789101112131415161734[[#This Row],[USA]]-B146</f>
        <v/>
      </c>
      <c r="D147" s="27" t="n"/>
    </row>
    <row r="148">
      <c r="A148" s="45" t="n">
        <v>30682</v>
      </c>
      <c r="B148" s="46">
        <f>VLOOKUP(A148,'Data yoy'!#REF!,MATCH($B$1,'Data yoy'!#REF!,0),FALSE)</f>
        <v/>
      </c>
      <c r="C148" s="46">
        <f>Table13456789101112131415161734[[#This Row],[USA]]-B147</f>
        <v/>
      </c>
      <c r="D148" s="27" t="n"/>
    </row>
    <row r="149">
      <c r="A149" s="45" t="n">
        <v>30773</v>
      </c>
      <c r="B149" s="46">
        <f>VLOOKUP(A149,'Data yoy'!#REF!,MATCH($B$1,'Data yoy'!#REF!,0),FALSE)</f>
        <v/>
      </c>
      <c r="C149" s="46">
        <f>Table13456789101112131415161734[[#This Row],[USA]]-B148</f>
        <v/>
      </c>
      <c r="D149" s="27" t="n"/>
    </row>
    <row r="150">
      <c r="A150" s="45" t="n">
        <v>30864</v>
      </c>
      <c r="B150" s="46">
        <f>VLOOKUP(A150,'Data yoy'!#REF!,MATCH($B$1,'Data yoy'!#REF!,0),FALSE)</f>
        <v/>
      </c>
      <c r="C150" s="46">
        <f>Table13456789101112131415161734[[#This Row],[USA]]-B149</f>
        <v/>
      </c>
      <c r="D150" s="27" t="n"/>
    </row>
    <row r="151">
      <c r="A151" s="45" t="n">
        <v>30956</v>
      </c>
      <c r="B151" s="46">
        <f>VLOOKUP(A151,'Data yoy'!#REF!,MATCH($B$1,'Data yoy'!#REF!,0),FALSE)</f>
        <v/>
      </c>
      <c r="C151" s="46">
        <f>Table13456789101112131415161734[[#This Row],[USA]]-B150</f>
        <v/>
      </c>
      <c r="D151" s="27" t="n"/>
    </row>
    <row r="152">
      <c r="A152" s="45" t="n">
        <v>31048</v>
      </c>
      <c r="B152" s="46">
        <f>VLOOKUP(A152,'Data yoy'!#REF!,MATCH($B$1,'Data yoy'!#REF!,0),FALSE)</f>
        <v/>
      </c>
      <c r="C152" s="46">
        <f>Table13456789101112131415161734[[#This Row],[USA]]-B151</f>
        <v/>
      </c>
      <c r="D152" s="27" t="n"/>
    </row>
    <row r="153">
      <c r="A153" s="45" t="n">
        <v>31138</v>
      </c>
      <c r="B153" s="46">
        <f>VLOOKUP(A153,'Data yoy'!#REF!,MATCH($B$1,'Data yoy'!#REF!,0),FALSE)</f>
        <v/>
      </c>
      <c r="C153" s="46">
        <f>Table13456789101112131415161734[[#This Row],[USA]]-B152</f>
        <v/>
      </c>
      <c r="D153" s="27" t="n"/>
    </row>
    <row r="154">
      <c r="A154" s="45" t="n">
        <v>31229</v>
      </c>
      <c r="B154" s="46">
        <f>VLOOKUP(A154,'Data yoy'!#REF!,MATCH($B$1,'Data yoy'!#REF!,0),FALSE)</f>
        <v/>
      </c>
      <c r="C154" s="46">
        <f>Table13456789101112131415161734[[#This Row],[USA]]-B153</f>
        <v/>
      </c>
      <c r="D154" s="27" t="n"/>
    </row>
    <row r="155">
      <c r="A155" s="45" t="n">
        <v>31321</v>
      </c>
      <c r="B155" s="46">
        <f>VLOOKUP(A155,'Data yoy'!#REF!,MATCH($B$1,'Data yoy'!#REF!,0),FALSE)</f>
        <v/>
      </c>
      <c r="C155" s="46">
        <f>Table13456789101112131415161734[[#This Row],[USA]]-B154</f>
        <v/>
      </c>
      <c r="D155" s="27" t="n"/>
    </row>
    <row r="156">
      <c r="A156" s="45" t="n">
        <v>31413</v>
      </c>
      <c r="B156" s="46">
        <f>VLOOKUP(A156,'Data yoy'!#REF!,MATCH($B$1,'Data yoy'!#REF!,0),FALSE)</f>
        <v/>
      </c>
      <c r="C156" s="46">
        <f>Table13456789101112131415161734[[#This Row],[USA]]-B155</f>
        <v/>
      </c>
      <c r="D156" s="27" t="n"/>
    </row>
    <row r="157">
      <c r="A157" s="45" t="n">
        <v>31503</v>
      </c>
      <c r="B157" s="46">
        <f>VLOOKUP(A157,'Data yoy'!#REF!,MATCH($B$1,'Data yoy'!#REF!,0),FALSE)</f>
        <v/>
      </c>
      <c r="C157" s="46">
        <f>Table13456789101112131415161734[[#This Row],[USA]]-B156</f>
        <v/>
      </c>
      <c r="D157" s="27" t="n"/>
    </row>
    <row r="158">
      <c r="A158" s="45" t="n">
        <v>31594</v>
      </c>
      <c r="B158" s="46">
        <f>VLOOKUP(A158,'Data yoy'!#REF!,MATCH($B$1,'Data yoy'!#REF!,0),FALSE)</f>
        <v/>
      </c>
      <c r="C158" s="46">
        <f>Table13456789101112131415161734[[#This Row],[USA]]-B157</f>
        <v/>
      </c>
      <c r="D158" s="27" t="n"/>
    </row>
    <row r="159">
      <c r="A159" s="45" t="n">
        <v>31686</v>
      </c>
      <c r="B159" s="46">
        <f>VLOOKUP(A159,'Data yoy'!#REF!,MATCH($B$1,'Data yoy'!#REF!,0),FALSE)</f>
        <v/>
      </c>
      <c r="C159" s="46">
        <f>Table13456789101112131415161734[[#This Row],[USA]]-B158</f>
        <v/>
      </c>
      <c r="D159" s="27" t="n"/>
    </row>
    <row r="160">
      <c r="A160" s="45" t="n">
        <v>31778</v>
      </c>
      <c r="B160" s="46">
        <f>VLOOKUP(A160,'Data yoy'!#REF!,MATCH($B$1,'Data yoy'!#REF!,0),FALSE)</f>
        <v/>
      </c>
      <c r="C160" s="46">
        <f>Table13456789101112131415161734[[#This Row],[USA]]-B159</f>
        <v/>
      </c>
      <c r="D160" s="27" t="n"/>
    </row>
    <row r="161">
      <c r="A161" s="45" t="n">
        <v>31868</v>
      </c>
      <c r="B161" s="46">
        <f>VLOOKUP(A161,'Data yoy'!#REF!,MATCH($B$1,'Data yoy'!#REF!,0),FALSE)</f>
        <v/>
      </c>
      <c r="C161" s="46">
        <f>Table13456789101112131415161734[[#This Row],[USA]]-B160</f>
        <v/>
      </c>
      <c r="D161" s="27" t="n"/>
    </row>
    <row r="162">
      <c r="A162" s="45" t="n">
        <v>31959</v>
      </c>
      <c r="B162" s="46">
        <f>VLOOKUP(A162,'Data yoy'!#REF!,MATCH($B$1,'Data yoy'!#REF!,0),FALSE)</f>
        <v/>
      </c>
      <c r="C162" s="46">
        <f>Table13456789101112131415161734[[#This Row],[USA]]-B161</f>
        <v/>
      </c>
      <c r="D162" s="27" t="n"/>
    </row>
    <row r="163">
      <c r="A163" s="45" t="n">
        <v>32051</v>
      </c>
      <c r="B163" s="46">
        <f>VLOOKUP(A163,'Data yoy'!#REF!,MATCH($B$1,'Data yoy'!#REF!,0),FALSE)</f>
        <v/>
      </c>
      <c r="C163" s="46">
        <f>Table13456789101112131415161734[[#This Row],[USA]]-B162</f>
        <v/>
      </c>
      <c r="D163" s="27" t="n"/>
    </row>
    <row r="164">
      <c r="A164" s="45" t="n">
        <v>32143</v>
      </c>
      <c r="B164" s="46">
        <f>VLOOKUP(A164,'Data yoy'!#REF!,MATCH($B$1,'Data yoy'!#REF!,0),FALSE)</f>
        <v/>
      </c>
      <c r="C164" s="46">
        <f>Table13456789101112131415161734[[#This Row],[USA]]-B163</f>
        <v/>
      </c>
      <c r="D164" s="27" t="n"/>
    </row>
    <row r="165">
      <c r="A165" s="45" t="n">
        <v>32234</v>
      </c>
      <c r="B165" s="46">
        <f>VLOOKUP(A165,'Data yoy'!#REF!,MATCH($B$1,'Data yoy'!#REF!,0),FALSE)</f>
        <v/>
      </c>
      <c r="C165" s="46">
        <f>Table13456789101112131415161734[[#This Row],[USA]]-B164</f>
        <v/>
      </c>
      <c r="D165" s="27" t="n"/>
    </row>
    <row r="166">
      <c r="A166" s="45" t="n">
        <v>32325</v>
      </c>
      <c r="B166" s="46">
        <f>VLOOKUP(A166,'Data yoy'!#REF!,MATCH($B$1,'Data yoy'!#REF!,0),FALSE)</f>
        <v/>
      </c>
      <c r="C166" s="46">
        <f>Table13456789101112131415161734[[#This Row],[USA]]-B165</f>
        <v/>
      </c>
      <c r="D166" s="27" t="n"/>
    </row>
    <row r="167">
      <c r="A167" s="45" t="n">
        <v>32417</v>
      </c>
      <c r="B167" s="46">
        <f>VLOOKUP(A167,'Data yoy'!#REF!,MATCH($B$1,'Data yoy'!#REF!,0),FALSE)</f>
        <v/>
      </c>
      <c r="C167" s="46">
        <f>Table13456789101112131415161734[[#This Row],[USA]]-B166</f>
        <v/>
      </c>
      <c r="D167" s="27" t="n"/>
    </row>
    <row r="168">
      <c r="A168" s="45" t="n">
        <v>32509</v>
      </c>
      <c r="B168" s="46">
        <f>VLOOKUP(A168,'Data yoy'!#REF!,MATCH($B$1,'Data yoy'!#REF!,0),FALSE)</f>
        <v/>
      </c>
      <c r="C168" s="46">
        <f>Table13456789101112131415161734[[#This Row],[USA]]-B167</f>
        <v/>
      </c>
      <c r="D168" s="27" t="n"/>
    </row>
    <row r="169">
      <c r="A169" s="45" t="n">
        <v>32599</v>
      </c>
      <c r="B169" s="46">
        <f>VLOOKUP(A169,'Data yoy'!#REF!,MATCH($B$1,'Data yoy'!#REF!,0),FALSE)</f>
        <v/>
      </c>
      <c r="C169" s="46">
        <f>Table13456789101112131415161734[[#This Row],[USA]]-B168</f>
        <v/>
      </c>
      <c r="D169" s="27" t="n"/>
    </row>
    <row r="170">
      <c r="A170" s="45" t="n">
        <v>32690</v>
      </c>
      <c r="B170" s="46">
        <f>VLOOKUP(A170,'Data yoy'!#REF!,MATCH($B$1,'Data yoy'!#REF!,0),FALSE)</f>
        <v/>
      </c>
      <c r="C170" s="46">
        <f>Table13456789101112131415161734[[#This Row],[USA]]-B169</f>
        <v/>
      </c>
      <c r="D170" s="27" t="n"/>
    </row>
    <row r="171">
      <c r="A171" s="45" t="n">
        <v>32782</v>
      </c>
      <c r="B171" s="46">
        <f>VLOOKUP(A171,'Data yoy'!#REF!,MATCH($B$1,'Data yoy'!#REF!,0),FALSE)</f>
        <v/>
      </c>
      <c r="C171" s="46">
        <f>Table13456789101112131415161734[[#This Row],[USA]]-B170</f>
        <v/>
      </c>
      <c r="D171" s="27" t="n"/>
    </row>
    <row r="172">
      <c r="A172" s="45" t="n">
        <v>32874</v>
      </c>
      <c r="B172" s="46">
        <f>VLOOKUP(A172,'Data yoy'!#REF!,MATCH($B$1,'Data yoy'!#REF!,0),FALSE)</f>
        <v/>
      </c>
      <c r="C172" s="46">
        <f>Table13456789101112131415161734[[#This Row],[USA]]-B171</f>
        <v/>
      </c>
      <c r="D172" s="27" t="n"/>
    </row>
    <row r="173">
      <c r="A173" s="45" t="n">
        <v>32964</v>
      </c>
      <c r="B173" s="46">
        <f>VLOOKUP(A173,'Data yoy'!#REF!,MATCH($B$1,'Data yoy'!#REF!,0),FALSE)</f>
        <v/>
      </c>
      <c r="C173" s="46">
        <f>Table13456789101112131415161734[[#This Row],[USA]]-B172</f>
        <v/>
      </c>
      <c r="D173" s="27" t="n"/>
    </row>
    <row r="174">
      <c r="A174" s="45" t="n">
        <v>33055</v>
      </c>
      <c r="B174" s="46">
        <f>VLOOKUP(A174,'Data yoy'!#REF!,MATCH($B$1,'Data yoy'!#REF!,0),FALSE)</f>
        <v/>
      </c>
      <c r="C174" s="46">
        <f>Table13456789101112131415161734[[#This Row],[USA]]-B173</f>
        <v/>
      </c>
      <c r="D174" s="27" t="n"/>
    </row>
    <row r="175">
      <c r="A175" s="45" t="n">
        <v>33147</v>
      </c>
      <c r="B175" s="46">
        <f>VLOOKUP(A175,'Data yoy'!#REF!,MATCH($B$1,'Data yoy'!#REF!,0),FALSE)</f>
        <v/>
      </c>
      <c r="C175" s="46">
        <f>Table13456789101112131415161734[[#This Row],[USA]]-B174</f>
        <v/>
      </c>
      <c r="D175" s="27" t="n"/>
    </row>
    <row r="176">
      <c r="A176" s="45" t="n">
        <v>33239</v>
      </c>
      <c r="B176" s="46">
        <f>VLOOKUP(A176,'Data yoy'!#REF!,MATCH($B$1,'Data yoy'!#REF!,0),FALSE)</f>
        <v/>
      </c>
      <c r="C176" s="46">
        <f>Table13456789101112131415161734[[#This Row],[USA]]-B175</f>
        <v/>
      </c>
      <c r="D176" s="27" t="n"/>
    </row>
    <row r="177">
      <c r="A177" s="45" t="n">
        <v>33329</v>
      </c>
      <c r="B177" s="46">
        <f>VLOOKUP(A177,'Data yoy'!#REF!,MATCH($B$1,'Data yoy'!#REF!,0),FALSE)</f>
        <v/>
      </c>
      <c r="C177" s="46">
        <f>Table13456789101112131415161734[[#This Row],[USA]]-B176</f>
        <v/>
      </c>
      <c r="D177" s="27" t="n"/>
    </row>
    <row r="178">
      <c r="A178" s="45" t="n">
        <v>33420</v>
      </c>
      <c r="B178" s="46">
        <f>VLOOKUP(A178,'Data yoy'!#REF!,MATCH($B$1,'Data yoy'!#REF!,0),FALSE)</f>
        <v/>
      </c>
      <c r="C178" s="46">
        <f>Table13456789101112131415161734[[#This Row],[USA]]-B177</f>
        <v/>
      </c>
      <c r="D178" s="27" t="n"/>
    </row>
    <row r="179">
      <c r="A179" s="45" t="n">
        <v>33512</v>
      </c>
      <c r="B179" s="46">
        <f>VLOOKUP(A179,'Data yoy'!#REF!,MATCH($B$1,'Data yoy'!#REF!,0),FALSE)</f>
        <v/>
      </c>
      <c r="C179" s="46">
        <f>Table13456789101112131415161734[[#This Row],[USA]]-B178</f>
        <v/>
      </c>
      <c r="D179" s="27" t="n"/>
    </row>
    <row r="180">
      <c r="A180" s="45" t="n">
        <v>33604</v>
      </c>
      <c r="B180" s="46">
        <f>VLOOKUP(A180,'Data yoy'!#REF!,MATCH($B$1,'Data yoy'!#REF!,0),FALSE)</f>
        <v/>
      </c>
      <c r="C180" s="46">
        <f>Table13456789101112131415161734[[#This Row],[USA]]-B179</f>
        <v/>
      </c>
      <c r="D180" s="27" t="n"/>
    </row>
    <row r="181">
      <c r="A181" s="45" t="n">
        <v>33695</v>
      </c>
      <c r="B181" s="46">
        <f>VLOOKUP(A181,'Data yoy'!#REF!,MATCH($B$1,'Data yoy'!#REF!,0),FALSE)</f>
        <v/>
      </c>
      <c r="C181" s="46">
        <f>Table13456789101112131415161734[[#This Row],[USA]]-B180</f>
        <v/>
      </c>
      <c r="D181" s="27" t="n"/>
    </row>
    <row r="182">
      <c r="A182" s="45" t="n">
        <v>33786</v>
      </c>
      <c r="B182" s="46">
        <f>VLOOKUP(A182,'Data yoy'!#REF!,MATCH($B$1,'Data yoy'!#REF!,0),FALSE)</f>
        <v/>
      </c>
      <c r="C182" s="46">
        <f>Table13456789101112131415161734[[#This Row],[USA]]-B181</f>
        <v/>
      </c>
      <c r="D182" s="27" t="n"/>
    </row>
    <row r="183">
      <c r="A183" s="45" t="n">
        <v>33878</v>
      </c>
      <c r="B183" s="46">
        <f>VLOOKUP(A183,'Data yoy'!#REF!,MATCH($B$1,'Data yoy'!#REF!,0),FALSE)</f>
        <v/>
      </c>
      <c r="C183" s="46">
        <f>Table13456789101112131415161734[[#This Row],[USA]]-B182</f>
        <v/>
      </c>
      <c r="D183" s="27" t="n"/>
    </row>
    <row r="184">
      <c r="A184" s="45" t="n">
        <v>33970</v>
      </c>
      <c r="B184" s="46">
        <f>VLOOKUP(A184,'Data yoy'!#REF!,MATCH($B$1,'Data yoy'!#REF!,0),FALSE)</f>
        <v/>
      </c>
      <c r="C184" s="46">
        <f>Table13456789101112131415161734[[#This Row],[USA]]-B183</f>
        <v/>
      </c>
      <c r="D184" s="27" t="n"/>
    </row>
    <row r="185">
      <c r="A185" s="45" t="n">
        <v>34060</v>
      </c>
      <c r="B185" s="46">
        <f>VLOOKUP(A185,'Data yoy'!#REF!,MATCH($B$1,'Data yoy'!#REF!,0),FALSE)</f>
        <v/>
      </c>
      <c r="C185" s="46">
        <f>Table13456789101112131415161734[[#This Row],[USA]]-B184</f>
        <v/>
      </c>
      <c r="D185" s="27" t="n"/>
    </row>
    <row r="186">
      <c r="A186" s="45" t="n">
        <v>34151</v>
      </c>
      <c r="B186" s="46">
        <f>VLOOKUP(A186,'Data yoy'!#REF!,MATCH($B$1,'Data yoy'!#REF!,0),FALSE)</f>
        <v/>
      </c>
      <c r="C186" s="46">
        <f>Table13456789101112131415161734[[#This Row],[USA]]-B185</f>
        <v/>
      </c>
      <c r="D186" s="27" t="n"/>
    </row>
    <row r="187">
      <c r="A187" s="45" t="n">
        <v>34243</v>
      </c>
      <c r="B187" s="46">
        <f>VLOOKUP(A187,'Data yoy'!#REF!,MATCH($B$1,'Data yoy'!#REF!,0),FALSE)</f>
        <v/>
      </c>
      <c r="C187" s="46">
        <f>Table13456789101112131415161734[[#This Row],[USA]]-B186</f>
        <v/>
      </c>
      <c r="D187" s="27" t="n"/>
    </row>
    <row r="188">
      <c r="A188" s="45" t="n">
        <v>34335</v>
      </c>
      <c r="B188" s="46">
        <f>VLOOKUP(A188,'Data yoy'!#REF!,MATCH($B$1,'Data yoy'!#REF!,0),FALSE)</f>
        <v/>
      </c>
      <c r="C188" s="46">
        <f>Table13456789101112131415161734[[#This Row],[USA]]-B187</f>
        <v/>
      </c>
      <c r="D188" s="27" t="n"/>
    </row>
    <row r="189">
      <c r="A189" s="45" t="n">
        <v>34425</v>
      </c>
      <c r="B189" s="46">
        <f>VLOOKUP(A189,'Data yoy'!#REF!,MATCH($B$1,'Data yoy'!#REF!,0),FALSE)</f>
        <v/>
      </c>
      <c r="C189" s="46">
        <f>Table13456789101112131415161734[[#This Row],[USA]]-B188</f>
        <v/>
      </c>
      <c r="D189" s="27" t="n"/>
    </row>
    <row r="190">
      <c r="A190" s="45" t="n">
        <v>34516</v>
      </c>
      <c r="B190" s="46">
        <f>VLOOKUP(A190,'Data yoy'!#REF!,MATCH($B$1,'Data yoy'!#REF!,0),FALSE)</f>
        <v/>
      </c>
      <c r="C190" s="46">
        <f>Table13456789101112131415161734[[#This Row],[USA]]-B189</f>
        <v/>
      </c>
      <c r="D190" s="27" t="n"/>
    </row>
    <row r="191">
      <c r="A191" s="45" t="n">
        <v>34608</v>
      </c>
      <c r="B191" s="46">
        <f>VLOOKUP(A191,'Data yoy'!#REF!,MATCH($B$1,'Data yoy'!#REF!,0),FALSE)</f>
        <v/>
      </c>
      <c r="C191" s="46">
        <f>Table13456789101112131415161734[[#This Row],[USA]]-B190</f>
        <v/>
      </c>
      <c r="D191" s="27" t="n"/>
    </row>
    <row r="192">
      <c r="A192" s="45" t="n">
        <v>34700</v>
      </c>
      <c r="B192" s="46">
        <f>VLOOKUP(A192,'Data yoy'!#REF!,MATCH($B$1,'Data yoy'!#REF!,0),FALSE)</f>
        <v/>
      </c>
      <c r="C192" s="46">
        <f>Table13456789101112131415161734[[#This Row],[USA]]-B191</f>
        <v/>
      </c>
      <c r="D192" s="27" t="n"/>
    </row>
    <row r="193">
      <c r="A193" s="45" t="n">
        <v>34790</v>
      </c>
      <c r="B193" s="46">
        <f>VLOOKUP(A193,'Data yoy'!#REF!,MATCH($B$1,'Data yoy'!#REF!,0),FALSE)</f>
        <v/>
      </c>
      <c r="C193" s="46">
        <f>Table13456789101112131415161734[[#This Row],[USA]]-B192</f>
        <v/>
      </c>
      <c r="D193" s="27" t="n"/>
    </row>
    <row r="194">
      <c r="A194" s="45" t="n">
        <v>34881</v>
      </c>
      <c r="B194" s="46">
        <f>VLOOKUP(A194,'Data yoy'!#REF!,MATCH($B$1,'Data yoy'!#REF!,0),FALSE)</f>
        <v/>
      </c>
      <c r="C194" s="46">
        <f>Table13456789101112131415161734[[#This Row],[USA]]-B193</f>
        <v/>
      </c>
      <c r="D194" s="27" t="n"/>
    </row>
    <row r="195">
      <c r="A195" s="45" t="n">
        <v>34973</v>
      </c>
      <c r="B195" s="46">
        <f>VLOOKUP(A195,'Data yoy'!#REF!,MATCH($B$1,'Data yoy'!#REF!,0),FALSE)</f>
        <v/>
      </c>
      <c r="C195" s="46">
        <f>Table13456789101112131415161734[[#This Row],[USA]]-B194</f>
        <v/>
      </c>
      <c r="D195" s="27" t="n"/>
    </row>
    <row r="196">
      <c r="A196" s="45" t="n">
        <v>35065</v>
      </c>
      <c r="B196" s="46">
        <f>VLOOKUP(A196,'Data yoy'!#REF!,MATCH($B$1,'Data yoy'!#REF!,0),FALSE)</f>
        <v/>
      </c>
      <c r="C196" s="46">
        <f>Table13456789101112131415161734[[#This Row],[USA]]-B195</f>
        <v/>
      </c>
      <c r="D196" s="27" t="n"/>
    </row>
    <row r="197">
      <c r="A197" s="45" t="n">
        <v>35156</v>
      </c>
      <c r="B197" s="46">
        <f>VLOOKUP(A197,'Data yoy'!#REF!,MATCH($B$1,'Data yoy'!#REF!,0),FALSE)</f>
        <v/>
      </c>
      <c r="C197" s="46">
        <f>Table13456789101112131415161734[[#This Row],[USA]]-B196</f>
        <v/>
      </c>
      <c r="D197" s="27" t="n"/>
    </row>
    <row r="198">
      <c r="A198" s="45" t="n">
        <v>35247</v>
      </c>
      <c r="B198" s="46">
        <f>VLOOKUP(A198,'Data yoy'!#REF!,MATCH($B$1,'Data yoy'!#REF!,0),FALSE)</f>
        <v/>
      </c>
      <c r="C198" s="46">
        <f>Table13456789101112131415161734[[#This Row],[USA]]-B197</f>
        <v/>
      </c>
      <c r="D198" s="27" t="n"/>
    </row>
    <row r="199">
      <c r="A199" s="45" t="n">
        <v>35339</v>
      </c>
      <c r="B199" s="46">
        <f>VLOOKUP(A199,'Data yoy'!#REF!,MATCH($B$1,'Data yoy'!#REF!,0),FALSE)</f>
        <v/>
      </c>
      <c r="C199" s="46">
        <f>Table13456789101112131415161734[[#This Row],[USA]]-B198</f>
        <v/>
      </c>
      <c r="D199" s="27" t="n"/>
    </row>
    <row r="200">
      <c r="A200" s="45" t="n">
        <v>35431</v>
      </c>
      <c r="B200" s="46">
        <f>VLOOKUP(A200,'Data yoy'!#REF!,MATCH($B$1,'Data yoy'!#REF!,0),FALSE)</f>
        <v/>
      </c>
      <c r="C200" s="46">
        <f>Table13456789101112131415161734[[#This Row],[USA]]-B199</f>
        <v/>
      </c>
      <c r="D200" s="27" t="n"/>
    </row>
    <row r="201">
      <c r="A201" s="45" t="n">
        <v>35521</v>
      </c>
      <c r="B201" s="46">
        <f>VLOOKUP(A201,'Data yoy'!#REF!,MATCH($B$1,'Data yoy'!#REF!,0),FALSE)</f>
        <v/>
      </c>
      <c r="C201" s="46">
        <f>Table13456789101112131415161734[[#This Row],[USA]]-B200</f>
        <v/>
      </c>
      <c r="D201" s="27" t="n"/>
    </row>
    <row r="202">
      <c r="A202" s="45" t="n">
        <v>35612</v>
      </c>
      <c r="B202" s="46">
        <f>VLOOKUP(A202,'Data yoy'!#REF!,MATCH($B$1,'Data yoy'!#REF!,0),FALSE)</f>
        <v/>
      </c>
      <c r="C202" s="46">
        <f>Table13456789101112131415161734[[#This Row],[USA]]-B201</f>
        <v/>
      </c>
      <c r="D202" s="27" t="n"/>
    </row>
    <row r="203">
      <c r="A203" s="45" t="n">
        <v>35704</v>
      </c>
      <c r="B203" s="46">
        <f>VLOOKUP(A203,'Data yoy'!#REF!,MATCH($B$1,'Data yoy'!#REF!,0),FALSE)</f>
        <v/>
      </c>
      <c r="C203" s="46">
        <f>Table13456789101112131415161734[[#This Row],[USA]]-B202</f>
        <v/>
      </c>
      <c r="D203" s="27" t="n"/>
    </row>
    <row r="204">
      <c r="A204" s="45" t="n">
        <v>35796</v>
      </c>
      <c r="B204" s="46">
        <f>VLOOKUP(A204,'Data yoy'!#REF!,MATCH($B$1,'Data yoy'!#REF!,0),FALSE)</f>
        <v/>
      </c>
      <c r="C204" s="46">
        <f>Table13456789101112131415161734[[#This Row],[USA]]-B203</f>
        <v/>
      </c>
      <c r="D204" s="27" t="n"/>
    </row>
    <row r="205">
      <c r="A205" s="45" t="n">
        <v>35886</v>
      </c>
      <c r="B205" s="46">
        <f>VLOOKUP(A205,'Data yoy'!#REF!,MATCH($B$1,'Data yoy'!#REF!,0),FALSE)</f>
        <v/>
      </c>
      <c r="C205" s="46">
        <f>Table13456789101112131415161734[[#This Row],[USA]]-B204</f>
        <v/>
      </c>
      <c r="D205" s="27" t="n"/>
    </row>
    <row r="206">
      <c r="A206" s="45" t="n">
        <v>35977</v>
      </c>
      <c r="B206" s="46">
        <f>VLOOKUP(A206,'Data yoy'!#REF!,MATCH($B$1,'Data yoy'!#REF!,0),FALSE)</f>
        <v/>
      </c>
      <c r="C206" s="46">
        <f>Table13456789101112131415161734[[#This Row],[USA]]-B205</f>
        <v/>
      </c>
      <c r="D206" s="27" t="n"/>
    </row>
    <row r="207">
      <c r="A207" s="45" t="n">
        <v>36069</v>
      </c>
      <c r="B207" s="46">
        <f>VLOOKUP(A207,'Data yoy'!#REF!,MATCH($B$1,'Data yoy'!#REF!,0),FALSE)</f>
        <v/>
      </c>
      <c r="C207" s="46">
        <f>Table13456789101112131415161734[[#This Row],[USA]]-B206</f>
        <v/>
      </c>
      <c r="D207" s="27" t="n"/>
    </row>
    <row r="208">
      <c r="A208" s="45" t="n">
        <v>36161</v>
      </c>
      <c r="B208" s="46">
        <f>VLOOKUP(A208,'Data yoy'!#REF!,MATCH($B$1,'Data yoy'!#REF!,0),FALSE)</f>
        <v/>
      </c>
      <c r="C208" s="46">
        <f>Table13456789101112131415161734[[#This Row],[USA]]-B207</f>
        <v/>
      </c>
      <c r="D208" s="27" t="n"/>
    </row>
    <row r="209">
      <c r="A209" s="45" t="n">
        <v>36251</v>
      </c>
      <c r="B209" s="46">
        <f>VLOOKUP(A209,'Data yoy'!#REF!,MATCH($B$1,'Data yoy'!#REF!,0),FALSE)</f>
        <v/>
      </c>
      <c r="C209" s="46">
        <f>Table13456789101112131415161734[[#This Row],[USA]]-B208</f>
        <v/>
      </c>
      <c r="D209" s="27" t="n"/>
    </row>
    <row r="210">
      <c r="A210" s="45" t="n">
        <v>36342</v>
      </c>
      <c r="B210" s="46">
        <f>VLOOKUP(A210,'Data yoy'!#REF!,MATCH($B$1,'Data yoy'!#REF!,0),FALSE)</f>
        <v/>
      </c>
      <c r="C210" s="46">
        <f>Table13456789101112131415161734[[#This Row],[USA]]-B209</f>
        <v/>
      </c>
      <c r="D210" s="27" t="n"/>
    </row>
    <row r="211">
      <c r="A211" s="45" t="n">
        <v>36434</v>
      </c>
      <c r="B211" s="46">
        <f>VLOOKUP(A211,'Data yoy'!#REF!,MATCH($B$1,'Data yoy'!#REF!,0),FALSE)</f>
        <v/>
      </c>
      <c r="C211" s="46">
        <f>Table13456789101112131415161734[[#This Row],[USA]]-B210</f>
        <v/>
      </c>
      <c r="D211" s="27" t="n"/>
    </row>
    <row r="212">
      <c r="A212" s="45" t="n">
        <v>36526</v>
      </c>
      <c r="B212" s="46">
        <f>VLOOKUP(A212,'Data yoy'!#REF!,MATCH($B$1,'Data yoy'!#REF!,0),FALSE)</f>
        <v/>
      </c>
      <c r="C212" s="46">
        <f>Table13456789101112131415161734[[#This Row],[USA]]-B211</f>
        <v/>
      </c>
      <c r="D212" s="27" t="n"/>
    </row>
    <row r="213">
      <c r="A213" s="45" t="n">
        <v>36617</v>
      </c>
      <c r="B213" s="46">
        <f>VLOOKUP(A213,'Data yoy'!#REF!,MATCH($B$1,'Data yoy'!#REF!,0),FALSE)</f>
        <v/>
      </c>
      <c r="C213" s="46">
        <f>Table13456789101112131415161734[[#This Row],[USA]]-B212</f>
        <v/>
      </c>
      <c r="D213" s="27" t="n"/>
    </row>
    <row r="214">
      <c r="A214" s="45" t="n">
        <v>36708</v>
      </c>
      <c r="B214" s="46">
        <f>VLOOKUP(A214,'Data yoy'!#REF!,MATCH($B$1,'Data yoy'!#REF!,0),FALSE)</f>
        <v/>
      </c>
      <c r="C214" s="46">
        <f>Table13456789101112131415161734[[#This Row],[USA]]-B213</f>
        <v/>
      </c>
      <c r="D214" s="27" t="n"/>
    </row>
    <row r="215">
      <c r="A215" s="45" t="n">
        <v>36800</v>
      </c>
      <c r="B215" s="46">
        <f>VLOOKUP(A215,'Data yoy'!#REF!,MATCH($B$1,'Data yoy'!#REF!,0),FALSE)</f>
        <v/>
      </c>
      <c r="C215" s="46">
        <f>Table13456789101112131415161734[[#This Row],[USA]]-B214</f>
        <v/>
      </c>
      <c r="D215" s="27" t="n"/>
    </row>
    <row r="216">
      <c r="A216" s="45" t="n">
        <v>36892</v>
      </c>
      <c r="B216" s="46">
        <f>VLOOKUP(A216,'Data yoy'!#REF!,MATCH($B$1,'Data yoy'!#REF!,0),FALSE)</f>
        <v/>
      </c>
      <c r="C216" s="46">
        <f>Table13456789101112131415161734[[#This Row],[USA]]-B215</f>
        <v/>
      </c>
      <c r="D216" s="27" t="n"/>
    </row>
    <row r="217">
      <c r="A217" s="45" t="n">
        <v>36982</v>
      </c>
      <c r="B217" s="46">
        <f>VLOOKUP(A217,'Data yoy'!#REF!,MATCH($B$1,'Data yoy'!#REF!,0),FALSE)</f>
        <v/>
      </c>
      <c r="C217" s="46">
        <f>Table13456789101112131415161734[[#This Row],[USA]]-B216</f>
        <v/>
      </c>
      <c r="D217" s="27" t="n"/>
    </row>
    <row r="218">
      <c r="A218" s="45" t="n">
        <v>37073</v>
      </c>
      <c r="B218" s="46">
        <f>VLOOKUP(A218,'Data yoy'!#REF!,MATCH($B$1,'Data yoy'!#REF!,0),FALSE)</f>
        <v/>
      </c>
      <c r="C218" s="46">
        <f>Table13456789101112131415161734[[#This Row],[USA]]-B217</f>
        <v/>
      </c>
      <c r="D218" s="27" t="n"/>
    </row>
    <row r="219">
      <c r="A219" s="45" t="n">
        <v>37165</v>
      </c>
      <c r="B219" s="46">
        <f>VLOOKUP(A219,'Data yoy'!#REF!,MATCH($B$1,'Data yoy'!#REF!,0),FALSE)</f>
        <v/>
      </c>
      <c r="C219" s="46">
        <f>Table13456789101112131415161734[[#This Row],[USA]]-B218</f>
        <v/>
      </c>
      <c r="D219" s="27" t="n"/>
    </row>
    <row r="220">
      <c r="A220" s="45" t="n">
        <v>37257</v>
      </c>
      <c r="B220" s="46">
        <f>VLOOKUP(A220,'Data yoy'!#REF!,MATCH($B$1,'Data yoy'!#REF!,0),FALSE)</f>
        <v/>
      </c>
      <c r="C220" s="46">
        <f>Table13456789101112131415161734[[#This Row],[USA]]-B219</f>
        <v/>
      </c>
      <c r="D220" s="27" t="n"/>
    </row>
    <row r="221">
      <c r="A221" s="45" t="n">
        <v>37347</v>
      </c>
      <c r="B221" s="46">
        <f>VLOOKUP(A221,'Data yoy'!#REF!,MATCH($B$1,'Data yoy'!#REF!,0),FALSE)</f>
        <v/>
      </c>
      <c r="C221" s="46">
        <f>Table13456789101112131415161734[[#This Row],[USA]]-B220</f>
        <v/>
      </c>
      <c r="D221" s="27" t="n"/>
    </row>
    <row r="222">
      <c r="A222" s="45" t="n">
        <v>37438</v>
      </c>
      <c r="B222" s="46">
        <f>VLOOKUP(A222,'Data yoy'!#REF!,MATCH($B$1,'Data yoy'!#REF!,0),FALSE)</f>
        <v/>
      </c>
      <c r="C222" s="46">
        <f>Table13456789101112131415161734[[#This Row],[USA]]-B221</f>
        <v/>
      </c>
      <c r="D222" s="27" t="n"/>
    </row>
    <row r="223">
      <c r="A223" s="45" t="n">
        <v>37530</v>
      </c>
      <c r="B223" s="46">
        <f>VLOOKUP(A223,'Data yoy'!#REF!,MATCH($B$1,'Data yoy'!#REF!,0),FALSE)</f>
        <v/>
      </c>
      <c r="C223" s="46">
        <f>Table13456789101112131415161734[[#This Row],[USA]]-B222</f>
        <v/>
      </c>
      <c r="D223" s="27" t="n"/>
    </row>
    <row r="224">
      <c r="A224" s="45" t="n">
        <v>37622</v>
      </c>
      <c r="B224" s="46">
        <f>VLOOKUP(A224,'Data yoy'!#REF!,MATCH($B$1,'Data yoy'!#REF!,0),FALSE)</f>
        <v/>
      </c>
      <c r="C224" s="46">
        <f>Table13456789101112131415161734[[#This Row],[USA]]-B223</f>
        <v/>
      </c>
      <c r="D224" s="27" t="n"/>
    </row>
    <row r="225">
      <c r="A225" s="45" t="n">
        <v>37712</v>
      </c>
      <c r="B225" s="46">
        <f>VLOOKUP(A225,'Data yoy'!#REF!,MATCH($B$1,'Data yoy'!#REF!,0),FALSE)</f>
        <v/>
      </c>
      <c r="C225" s="46">
        <f>Table13456789101112131415161734[[#This Row],[USA]]-B224</f>
        <v/>
      </c>
      <c r="D225" s="27" t="n"/>
    </row>
    <row r="226">
      <c r="A226" s="45" t="n">
        <v>37803</v>
      </c>
      <c r="B226" s="46">
        <f>VLOOKUP(A226,'Data yoy'!#REF!,MATCH($B$1,'Data yoy'!#REF!,0),FALSE)</f>
        <v/>
      </c>
      <c r="C226" s="46">
        <f>Table13456789101112131415161734[[#This Row],[USA]]-B225</f>
        <v/>
      </c>
      <c r="D226" s="27" t="n"/>
    </row>
    <row r="227">
      <c r="A227" s="45" t="n">
        <v>37895</v>
      </c>
      <c r="B227" s="46">
        <f>VLOOKUP(A227,'Data yoy'!#REF!,MATCH($B$1,'Data yoy'!#REF!,0),FALSE)</f>
        <v/>
      </c>
      <c r="C227" s="46">
        <f>Table13456789101112131415161734[[#This Row],[USA]]-B226</f>
        <v/>
      </c>
      <c r="D227" s="27" t="n"/>
    </row>
    <row r="228">
      <c r="A228" s="45" t="n">
        <v>37987</v>
      </c>
      <c r="B228" s="46">
        <f>VLOOKUP(A228,'Data yoy'!#REF!,MATCH($B$1,'Data yoy'!#REF!,0),FALSE)</f>
        <v/>
      </c>
      <c r="C228" s="46">
        <f>Table13456789101112131415161734[[#This Row],[USA]]-B227</f>
        <v/>
      </c>
      <c r="D228" s="27" t="n"/>
    </row>
    <row r="229">
      <c r="A229" s="45" t="n">
        <v>38078</v>
      </c>
      <c r="B229" s="46">
        <f>VLOOKUP(A229,'Data yoy'!#REF!,MATCH($B$1,'Data yoy'!#REF!,0),FALSE)</f>
        <v/>
      </c>
      <c r="C229" s="46">
        <f>Table13456789101112131415161734[[#This Row],[USA]]-B228</f>
        <v/>
      </c>
      <c r="D229" s="27" t="n"/>
    </row>
    <row r="230">
      <c r="A230" s="45" t="n">
        <v>38169</v>
      </c>
      <c r="B230" s="46">
        <f>VLOOKUP(A230,'Data yoy'!#REF!,MATCH($B$1,'Data yoy'!#REF!,0),FALSE)</f>
        <v/>
      </c>
      <c r="C230" s="46">
        <f>Table13456789101112131415161734[[#This Row],[USA]]-B229</f>
        <v/>
      </c>
      <c r="D230" s="27" t="n"/>
    </row>
    <row r="231">
      <c r="A231" s="45" t="n">
        <v>38261</v>
      </c>
      <c r="B231" s="46">
        <f>VLOOKUP(A231,'Data yoy'!#REF!,MATCH($B$1,'Data yoy'!#REF!,0),FALSE)</f>
        <v/>
      </c>
      <c r="C231" s="46">
        <f>Table13456789101112131415161734[[#This Row],[USA]]-B230</f>
        <v/>
      </c>
      <c r="D231" s="27" t="n"/>
    </row>
    <row r="232">
      <c r="A232" s="45" t="n">
        <v>38353</v>
      </c>
      <c r="B232" s="46">
        <f>VLOOKUP(A232,'Data yoy'!#REF!,MATCH($B$1,'Data yoy'!#REF!,0),FALSE)</f>
        <v/>
      </c>
      <c r="C232" s="46">
        <f>Table13456789101112131415161734[[#This Row],[USA]]-B231</f>
        <v/>
      </c>
      <c r="D232" s="27" t="n"/>
    </row>
    <row r="233">
      <c r="A233" s="45" t="n">
        <v>38443</v>
      </c>
      <c r="B233" s="46">
        <f>VLOOKUP(A233,'Data yoy'!#REF!,MATCH($B$1,'Data yoy'!#REF!,0),FALSE)</f>
        <v/>
      </c>
      <c r="C233" s="46">
        <f>Table13456789101112131415161734[[#This Row],[USA]]-B232</f>
        <v/>
      </c>
      <c r="D233" s="27" t="n"/>
    </row>
    <row r="234">
      <c r="A234" s="45" t="n">
        <v>38534</v>
      </c>
      <c r="B234" s="46">
        <f>VLOOKUP(A234,'Data yoy'!#REF!,MATCH($B$1,'Data yoy'!#REF!,0),FALSE)</f>
        <v/>
      </c>
      <c r="C234" s="46">
        <f>Table13456789101112131415161734[[#This Row],[USA]]-B233</f>
        <v/>
      </c>
      <c r="D234" s="27" t="n"/>
    </row>
    <row r="235">
      <c r="A235" s="45" t="n">
        <v>38626</v>
      </c>
      <c r="B235" s="46">
        <f>VLOOKUP(A235,'Data yoy'!#REF!,MATCH($B$1,'Data yoy'!#REF!,0),FALSE)</f>
        <v/>
      </c>
      <c r="C235" s="46">
        <f>Table13456789101112131415161734[[#This Row],[USA]]-B234</f>
        <v/>
      </c>
      <c r="D235" s="27" t="n"/>
    </row>
    <row r="236">
      <c r="A236" s="45" t="n">
        <v>38718</v>
      </c>
      <c r="B236" s="46">
        <f>VLOOKUP(A236,'Data yoy'!#REF!,MATCH($B$1,'Data yoy'!#REF!,0),FALSE)</f>
        <v/>
      </c>
      <c r="C236" s="46">
        <f>Table13456789101112131415161734[[#This Row],[USA]]-B235</f>
        <v/>
      </c>
      <c r="D236" s="27" t="n"/>
    </row>
    <row r="237">
      <c r="A237" s="45" t="n">
        <v>38808</v>
      </c>
      <c r="B237" s="46">
        <f>VLOOKUP(A237,'Data yoy'!#REF!,MATCH($B$1,'Data yoy'!#REF!,0),FALSE)</f>
        <v/>
      </c>
      <c r="C237" s="46">
        <f>Table13456789101112131415161734[[#This Row],[USA]]-B236</f>
        <v/>
      </c>
      <c r="D237" s="27" t="n"/>
    </row>
    <row r="238">
      <c r="A238" s="45" t="n">
        <v>38899</v>
      </c>
      <c r="B238" s="46">
        <f>VLOOKUP(A238,'Data yoy'!#REF!,MATCH($B$1,'Data yoy'!#REF!,0),FALSE)</f>
        <v/>
      </c>
      <c r="C238" s="46">
        <f>Table13456789101112131415161734[[#This Row],[USA]]-B237</f>
        <v/>
      </c>
      <c r="D238" s="27" t="n"/>
    </row>
    <row r="239">
      <c r="A239" s="45" t="n">
        <v>38991</v>
      </c>
      <c r="B239" s="46">
        <f>VLOOKUP(A239,'Data yoy'!#REF!,MATCH($B$1,'Data yoy'!#REF!,0),FALSE)</f>
        <v/>
      </c>
      <c r="C239" s="46">
        <f>Table13456789101112131415161734[[#This Row],[USA]]-B238</f>
        <v/>
      </c>
      <c r="D239" s="27" t="n"/>
    </row>
    <row r="240">
      <c r="A240" s="45" t="n">
        <v>39083</v>
      </c>
      <c r="B240" s="46">
        <f>VLOOKUP(A240,'Data yoy'!#REF!,MATCH($B$1,'Data yoy'!#REF!,0),FALSE)</f>
        <v/>
      </c>
      <c r="C240" s="46">
        <f>Table13456789101112131415161734[[#This Row],[USA]]-B239</f>
        <v/>
      </c>
      <c r="D240" s="27" t="n"/>
    </row>
    <row r="241">
      <c r="A241" s="45" t="n">
        <v>39173</v>
      </c>
      <c r="B241" s="46">
        <f>VLOOKUP(A241,'Data yoy'!#REF!,MATCH($B$1,'Data yoy'!#REF!,0),FALSE)</f>
        <v/>
      </c>
      <c r="C241" s="46">
        <f>Table13456789101112131415161734[[#This Row],[USA]]-B240</f>
        <v/>
      </c>
      <c r="D241" s="27" t="n"/>
    </row>
    <row r="242">
      <c r="A242" s="45" t="n">
        <v>39264</v>
      </c>
      <c r="B242" s="46">
        <f>VLOOKUP(A242,'Data yoy'!#REF!,MATCH($B$1,'Data yoy'!#REF!,0),FALSE)</f>
        <v/>
      </c>
      <c r="C242" s="46">
        <f>Table13456789101112131415161734[[#This Row],[USA]]-B241</f>
        <v/>
      </c>
      <c r="D242" s="27" t="n"/>
    </row>
    <row r="243">
      <c r="A243" s="45" t="n">
        <v>39356</v>
      </c>
      <c r="B243" s="46">
        <f>VLOOKUP(A243,'Data yoy'!#REF!,MATCH($B$1,'Data yoy'!#REF!,0),FALSE)</f>
        <v/>
      </c>
      <c r="C243" s="46">
        <f>Table13456789101112131415161734[[#This Row],[USA]]-B242</f>
        <v/>
      </c>
      <c r="D243" s="27" t="n"/>
    </row>
    <row r="244">
      <c r="A244" s="45" t="n">
        <v>39448</v>
      </c>
      <c r="B244" s="46">
        <f>VLOOKUP(A244,'Data yoy'!#REF!,MATCH($B$1,'Data yoy'!#REF!,0),FALSE)</f>
        <v/>
      </c>
      <c r="C244" s="46">
        <f>Table13456789101112131415161734[[#This Row],[USA]]-B243</f>
        <v/>
      </c>
      <c r="D244" s="27" t="n"/>
    </row>
    <row r="245">
      <c r="A245" s="45" t="n">
        <v>39539</v>
      </c>
      <c r="B245" s="46">
        <f>VLOOKUP(A245,'Data yoy'!#REF!,MATCH($B$1,'Data yoy'!#REF!,0),FALSE)</f>
        <v/>
      </c>
      <c r="C245" s="46">
        <f>Table13456789101112131415161734[[#This Row],[USA]]-B244</f>
        <v/>
      </c>
      <c r="D245" s="27" t="n"/>
    </row>
    <row r="246">
      <c r="A246" s="45" t="n">
        <v>39630</v>
      </c>
      <c r="B246" s="46">
        <f>VLOOKUP(A246,'Data yoy'!#REF!,MATCH($B$1,'Data yoy'!#REF!,0),FALSE)</f>
        <v/>
      </c>
      <c r="C246" s="46">
        <f>Table13456789101112131415161734[[#This Row],[USA]]-B245</f>
        <v/>
      </c>
      <c r="D246" s="27" t="n"/>
    </row>
    <row r="247">
      <c r="A247" s="45" t="n">
        <v>39722</v>
      </c>
      <c r="B247" s="46">
        <f>VLOOKUP(A247,'Data yoy'!#REF!,MATCH($B$1,'Data yoy'!#REF!,0),FALSE)</f>
        <v/>
      </c>
      <c r="C247" s="46">
        <f>Table13456789101112131415161734[[#This Row],[USA]]-B246</f>
        <v/>
      </c>
      <c r="D247" s="27" t="n"/>
    </row>
    <row r="248">
      <c r="A248" s="45" t="n">
        <v>39814</v>
      </c>
      <c r="B248" s="46">
        <f>VLOOKUP(A248,'Data yoy'!#REF!,MATCH($B$1,'Data yoy'!#REF!,0),FALSE)</f>
        <v/>
      </c>
      <c r="C248" s="46">
        <f>Table13456789101112131415161734[[#This Row],[USA]]-B247</f>
        <v/>
      </c>
      <c r="D248" s="27" t="n"/>
    </row>
    <row r="249">
      <c r="A249" s="45" t="n">
        <v>39904</v>
      </c>
      <c r="B249" s="46">
        <f>VLOOKUP(A249,'Data yoy'!#REF!,MATCH($B$1,'Data yoy'!#REF!,0),FALSE)</f>
        <v/>
      </c>
      <c r="C249" s="46">
        <f>Table13456789101112131415161734[[#This Row],[USA]]-B248</f>
        <v/>
      </c>
      <c r="D249" s="27" t="n"/>
    </row>
    <row r="250">
      <c r="A250" s="45" t="n">
        <v>39995</v>
      </c>
      <c r="B250" s="46">
        <f>VLOOKUP(A250,'Data yoy'!#REF!,MATCH($B$1,'Data yoy'!#REF!,0),FALSE)</f>
        <v/>
      </c>
      <c r="C250" s="46">
        <f>Table13456789101112131415161734[[#This Row],[USA]]-B249</f>
        <v/>
      </c>
      <c r="D250" s="27" t="n"/>
    </row>
    <row r="251">
      <c r="A251" s="45" t="n">
        <v>40087</v>
      </c>
      <c r="B251" s="46">
        <f>VLOOKUP(A251,'Data yoy'!#REF!,MATCH($B$1,'Data yoy'!#REF!,0),FALSE)</f>
        <v/>
      </c>
      <c r="C251" s="46">
        <f>Table13456789101112131415161734[[#This Row],[USA]]-B250</f>
        <v/>
      </c>
      <c r="D251" s="27" t="n"/>
    </row>
    <row r="252">
      <c r="A252" s="45" t="n">
        <v>40179</v>
      </c>
      <c r="B252" s="46">
        <f>VLOOKUP(A252,'Data yoy'!#REF!,MATCH($B$1,'Data yoy'!#REF!,0),FALSE)</f>
        <v/>
      </c>
      <c r="C252" s="46">
        <f>Table13456789101112131415161734[[#This Row],[USA]]-B251</f>
        <v/>
      </c>
      <c r="D252" s="27" t="n"/>
    </row>
    <row r="253">
      <c r="A253" s="45" t="n">
        <v>40269</v>
      </c>
      <c r="B253" s="46">
        <f>VLOOKUP(A253,'Data yoy'!#REF!,MATCH($B$1,'Data yoy'!#REF!,0),FALSE)</f>
        <v/>
      </c>
      <c r="C253" s="46">
        <f>Table13456789101112131415161734[[#This Row],[USA]]-B252</f>
        <v/>
      </c>
      <c r="D253" s="27" t="n"/>
    </row>
    <row r="254">
      <c r="A254" s="45" t="n">
        <v>40360</v>
      </c>
      <c r="B254" s="46">
        <f>VLOOKUP(A254,'Data yoy'!#REF!,MATCH($B$1,'Data yoy'!#REF!,0),FALSE)</f>
        <v/>
      </c>
      <c r="C254" s="46">
        <f>Table13456789101112131415161734[[#This Row],[USA]]-B253</f>
        <v/>
      </c>
      <c r="D254" s="27" t="n"/>
    </row>
    <row r="255">
      <c r="A255" s="45" t="n">
        <v>40452</v>
      </c>
      <c r="B255" s="46">
        <f>VLOOKUP(A255,'Data yoy'!#REF!,MATCH($B$1,'Data yoy'!#REF!,0),FALSE)</f>
        <v/>
      </c>
      <c r="C255" s="46">
        <f>Table13456789101112131415161734[[#This Row],[USA]]-B254</f>
        <v/>
      </c>
      <c r="D255" s="27" t="n"/>
    </row>
    <row r="256">
      <c r="A256" s="45" t="n">
        <v>40544</v>
      </c>
      <c r="B256" s="46">
        <f>VLOOKUP(A256,'Data yoy'!#REF!,MATCH($B$1,'Data yoy'!#REF!,0),FALSE)</f>
        <v/>
      </c>
      <c r="C256" s="46">
        <f>Table13456789101112131415161734[[#This Row],[USA]]-B255</f>
        <v/>
      </c>
      <c r="D256" s="27" t="n"/>
    </row>
    <row r="257">
      <c r="A257" s="45" t="n">
        <v>40634</v>
      </c>
      <c r="B257" s="46">
        <f>VLOOKUP(A257,'Data yoy'!#REF!,MATCH($B$1,'Data yoy'!#REF!,0),FALSE)</f>
        <v/>
      </c>
      <c r="C257" s="46">
        <f>Table13456789101112131415161734[[#This Row],[USA]]-B256</f>
        <v/>
      </c>
      <c r="D257" s="27" t="n"/>
    </row>
    <row r="258">
      <c r="A258" s="45" t="n">
        <v>40725</v>
      </c>
      <c r="B258" s="46">
        <f>VLOOKUP(A258,'Data yoy'!#REF!,MATCH($B$1,'Data yoy'!#REF!,0),FALSE)</f>
        <v/>
      </c>
      <c r="C258" s="46">
        <f>Table13456789101112131415161734[[#This Row],[USA]]-B257</f>
        <v/>
      </c>
      <c r="D258" s="27" t="n"/>
    </row>
    <row r="259">
      <c r="A259" s="45" t="n">
        <v>40817</v>
      </c>
      <c r="B259" s="46">
        <f>VLOOKUP(A259,'Data yoy'!#REF!,MATCH($B$1,'Data yoy'!#REF!,0),FALSE)</f>
        <v/>
      </c>
      <c r="C259" s="46">
        <f>Table13456789101112131415161734[[#This Row],[USA]]-B258</f>
        <v/>
      </c>
      <c r="D259" s="27" t="n"/>
    </row>
    <row r="260">
      <c r="A260" s="45" t="n">
        <v>40909</v>
      </c>
      <c r="B260" s="46">
        <f>VLOOKUP(A260,'Data yoy'!#REF!,MATCH($B$1,'Data yoy'!#REF!,0),FALSE)</f>
        <v/>
      </c>
      <c r="C260" s="46">
        <f>Table13456789101112131415161734[[#This Row],[USA]]-B259</f>
        <v/>
      </c>
      <c r="D260" s="27" t="n"/>
    </row>
    <row r="261">
      <c r="A261" s="45" t="n">
        <v>41000</v>
      </c>
      <c r="B261" s="46">
        <f>VLOOKUP(A261,'Data yoy'!#REF!,MATCH($B$1,'Data yoy'!#REF!,0),FALSE)</f>
        <v/>
      </c>
      <c r="C261" s="46">
        <f>Table13456789101112131415161734[[#This Row],[USA]]-B260</f>
        <v/>
      </c>
      <c r="D261" s="27" t="n"/>
    </row>
    <row r="262">
      <c r="A262" s="45" t="n">
        <v>41091</v>
      </c>
      <c r="B262" s="46">
        <f>VLOOKUP(A262,'Data yoy'!#REF!,MATCH($B$1,'Data yoy'!#REF!,0),FALSE)</f>
        <v/>
      </c>
      <c r="C262" s="46">
        <f>Table13456789101112131415161734[[#This Row],[USA]]-B261</f>
        <v/>
      </c>
      <c r="D262" s="27" t="n"/>
    </row>
    <row r="263">
      <c r="A263" s="45" t="n">
        <v>41183</v>
      </c>
      <c r="B263" s="46">
        <f>VLOOKUP(A263,'Data yoy'!#REF!,MATCH($B$1,'Data yoy'!#REF!,0),FALSE)</f>
        <v/>
      </c>
      <c r="C263" s="46">
        <f>Table13456789101112131415161734[[#This Row],[USA]]-B262</f>
        <v/>
      </c>
      <c r="D263" s="27" t="n"/>
    </row>
    <row r="264">
      <c r="A264" s="45" t="n">
        <v>41275</v>
      </c>
      <c r="B264" s="46">
        <f>VLOOKUP(A264,'Data yoy'!#REF!,MATCH($B$1,'Data yoy'!#REF!,0),FALSE)</f>
        <v/>
      </c>
      <c r="C264" s="46">
        <f>Table13456789101112131415161734[[#This Row],[USA]]-B263</f>
        <v/>
      </c>
      <c r="D264" s="27" t="n"/>
    </row>
    <row r="265">
      <c r="A265" s="45" t="n">
        <v>41365</v>
      </c>
      <c r="B265" s="46">
        <f>VLOOKUP(A265,'Data yoy'!#REF!,MATCH($B$1,'Data yoy'!#REF!,0),FALSE)</f>
        <v/>
      </c>
      <c r="C265" s="46">
        <f>Table13456789101112131415161734[[#This Row],[USA]]-B264</f>
        <v/>
      </c>
      <c r="D265" s="27" t="n"/>
    </row>
    <row r="266">
      <c r="A266" s="45" t="n">
        <v>41456</v>
      </c>
      <c r="B266" s="46">
        <f>VLOOKUP(A266,'Data yoy'!#REF!,MATCH($B$1,'Data yoy'!#REF!,0),FALSE)</f>
        <v/>
      </c>
      <c r="C266" s="46">
        <f>Table13456789101112131415161734[[#This Row],[USA]]-B265</f>
        <v/>
      </c>
      <c r="D266" s="27" t="n"/>
    </row>
    <row r="267">
      <c r="A267" s="45" t="n">
        <v>41548</v>
      </c>
      <c r="B267" s="46">
        <f>VLOOKUP(A267,'Data yoy'!#REF!,MATCH($B$1,'Data yoy'!#REF!,0),FALSE)</f>
        <v/>
      </c>
      <c r="C267" s="46">
        <f>Table13456789101112131415161734[[#This Row],[USA]]-B266</f>
        <v/>
      </c>
      <c r="D267" s="27" t="n"/>
    </row>
    <row r="268">
      <c r="A268" s="45" t="n">
        <v>41640</v>
      </c>
      <c r="B268" s="46">
        <f>VLOOKUP(A268,'Data yoy'!#REF!,MATCH($B$1,'Data yoy'!#REF!,0),FALSE)</f>
        <v/>
      </c>
      <c r="C268" s="46">
        <f>Table13456789101112131415161734[[#This Row],[USA]]-B267</f>
        <v/>
      </c>
      <c r="D268" s="27" t="n"/>
    </row>
    <row r="269">
      <c r="A269" s="45" t="n">
        <v>41730</v>
      </c>
      <c r="B269" s="46">
        <f>VLOOKUP(A269,'Data yoy'!#REF!,MATCH($B$1,'Data yoy'!#REF!,0),FALSE)</f>
        <v/>
      </c>
      <c r="C269" s="46">
        <f>Table13456789101112131415161734[[#This Row],[USA]]-B268</f>
        <v/>
      </c>
      <c r="D269" s="27" t="n"/>
    </row>
    <row r="270">
      <c r="A270" s="45" t="n">
        <v>41821</v>
      </c>
      <c r="B270" s="46">
        <f>VLOOKUP(A270,'Data yoy'!#REF!,MATCH($B$1,'Data yoy'!#REF!,0),FALSE)</f>
        <v/>
      </c>
      <c r="C270" s="46">
        <f>Table13456789101112131415161734[[#This Row],[USA]]-B269</f>
        <v/>
      </c>
      <c r="D270" s="27" t="n"/>
    </row>
    <row r="271">
      <c r="A271" s="45" t="n">
        <v>41913</v>
      </c>
      <c r="B271" s="46">
        <f>VLOOKUP(A271,'Data yoy'!#REF!,MATCH($B$1,'Data yoy'!#REF!,0),FALSE)</f>
        <v/>
      </c>
      <c r="C271" s="46">
        <f>Table13456789101112131415161734[[#This Row],[USA]]-B270</f>
        <v/>
      </c>
      <c r="D271" s="27" t="n"/>
    </row>
    <row r="272">
      <c r="A272" s="45" t="n">
        <v>42005</v>
      </c>
      <c r="B272" s="46">
        <f>VLOOKUP(A272,'Data yoy'!#REF!,MATCH($B$1,'Data yoy'!#REF!,0),FALSE)</f>
        <v/>
      </c>
      <c r="C272" s="46">
        <f>Table13456789101112131415161734[[#This Row],[USA]]-B271</f>
        <v/>
      </c>
      <c r="D272" s="27" t="n"/>
    </row>
    <row r="273">
      <c r="A273" s="45" t="n">
        <v>42095</v>
      </c>
      <c r="B273" s="46">
        <f>VLOOKUP(A273,'Data yoy'!#REF!,MATCH($B$1,'Data yoy'!#REF!,0),FALSE)</f>
        <v/>
      </c>
      <c r="C273" s="46">
        <f>Table13456789101112131415161734[[#This Row],[USA]]-B272</f>
        <v/>
      </c>
      <c r="D273" s="27" t="n"/>
    </row>
    <row r="274">
      <c r="A274" s="45" t="n">
        <v>42186</v>
      </c>
      <c r="B274" s="46">
        <f>VLOOKUP(A274,'Data yoy'!#REF!,MATCH($B$1,'Data yoy'!#REF!,0),FALSE)</f>
        <v/>
      </c>
      <c r="C274" s="46">
        <f>Table13456789101112131415161734[[#This Row],[USA]]-B273</f>
        <v/>
      </c>
      <c r="D274" s="27" t="n"/>
    </row>
    <row r="275">
      <c r="A275" s="45" t="n">
        <v>42278</v>
      </c>
      <c r="B275" s="46">
        <f>VLOOKUP(A275,'Data yoy'!#REF!,MATCH($B$1,'Data yoy'!#REF!,0),FALSE)</f>
        <v/>
      </c>
      <c r="C275" s="46">
        <f>Table13456789101112131415161734[[#This Row],[USA]]-B274</f>
        <v/>
      </c>
      <c r="D275" s="27" t="n"/>
    </row>
    <row r="276">
      <c r="A276" s="45" t="n">
        <v>42370</v>
      </c>
      <c r="B276" s="46">
        <f>VLOOKUP(A276,'Data yoy'!#REF!,MATCH($B$1,'Data yoy'!#REF!,0),FALSE)</f>
        <v/>
      </c>
      <c r="C276" s="46">
        <f>Table13456789101112131415161734[[#This Row],[USA]]-B275</f>
        <v/>
      </c>
      <c r="D276" s="27" t="n"/>
    </row>
    <row r="277">
      <c r="A277" s="45" t="n">
        <v>42461</v>
      </c>
      <c r="B277" s="46">
        <f>VLOOKUP(A277,'Data yoy'!#REF!,MATCH($B$1,'Data yoy'!#REF!,0),FALSE)</f>
        <v/>
      </c>
      <c r="C277" s="46">
        <f>Table13456789101112131415161734[[#This Row],[USA]]-B276</f>
        <v/>
      </c>
      <c r="D277" s="27" t="n"/>
    </row>
    <row r="278">
      <c r="A278" s="45" t="n">
        <v>42552</v>
      </c>
      <c r="B278" s="46">
        <f>VLOOKUP(A278,'Data yoy'!#REF!,MATCH($B$1,'Data yoy'!#REF!,0),FALSE)</f>
        <v/>
      </c>
      <c r="C278" s="46">
        <f>Table13456789101112131415161734[[#This Row],[USA]]-B277</f>
        <v/>
      </c>
      <c r="D278" s="27" t="n"/>
    </row>
    <row r="279">
      <c r="A279" s="45" t="n">
        <v>42644</v>
      </c>
      <c r="B279" s="46">
        <f>VLOOKUP(A279,'Data yoy'!#REF!,MATCH($B$1,'Data yoy'!#REF!,0),FALSE)</f>
        <v/>
      </c>
      <c r="C279" s="46">
        <f>Table13456789101112131415161734[[#This Row],[USA]]-B278</f>
        <v/>
      </c>
      <c r="D279" s="27" t="n"/>
    </row>
    <row r="280">
      <c r="A280" s="45" t="n">
        <v>42736</v>
      </c>
      <c r="B280" s="46">
        <f>VLOOKUP(A280,'Data yoy'!#REF!,MATCH($B$1,'Data yoy'!#REF!,0),FALSE)</f>
        <v/>
      </c>
      <c r="C280" s="46">
        <f>Table13456789101112131415161734[[#This Row],[USA]]-B279</f>
        <v/>
      </c>
      <c r="D280" s="27" t="n"/>
    </row>
    <row r="281">
      <c r="A281" s="45" t="n">
        <v>42826</v>
      </c>
      <c r="B281" s="46">
        <f>VLOOKUP(A281,'Data yoy'!#REF!,MATCH($B$1,'Data yoy'!#REF!,0),FALSE)</f>
        <v/>
      </c>
      <c r="C281" s="46">
        <f>Table13456789101112131415161734[[#This Row],[USA]]-B280</f>
        <v/>
      </c>
      <c r="D281" s="27" t="n"/>
    </row>
    <row r="282">
      <c r="A282" s="45" t="n">
        <v>42917</v>
      </c>
      <c r="B282" s="46">
        <f>VLOOKUP(A282,'Data yoy'!#REF!,MATCH($B$1,'Data yoy'!#REF!,0),FALSE)</f>
        <v/>
      </c>
      <c r="C282" s="46">
        <f>Table13456789101112131415161734[[#This Row],[USA]]-B281</f>
        <v/>
      </c>
      <c r="D282" s="27" t="n"/>
    </row>
    <row r="283">
      <c r="A283" s="45" t="n">
        <v>43009</v>
      </c>
      <c r="B283" s="46">
        <f>VLOOKUP(A283,'Data yoy'!#REF!,MATCH($B$1,'Data yoy'!#REF!,0),FALSE)</f>
        <v/>
      </c>
      <c r="C283" s="46">
        <f>Table13456789101112131415161734[[#This Row],[USA]]-B282</f>
        <v/>
      </c>
      <c r="D283" s="27" t="n"/>
    </row>
    <row r="284">
      <c r="A284" s="45" t="n">
        <v>43101</v>
      </c>
      <c r="B284" s="46">
        <f>VLOOKUP(A284,'Data yoy'!#REF!,MATCH($B$1,'Data yoy'!#REF!,0),FALSE)</f>
        <v/>
      </c>
      <c r="C284" s="46">
        <f>Table13456789101112131415161734[[#This Row],[USA]]-B283</f>
        <v/>
      </c>
      <c r="D284" s="27" t="n"/>
    </row>
    <row r="285">
      <c r="A285" s="45" t="n">
        <v>43191</v>
      </c>
      <c r="B285" s="46">
        <f>VLOOKUP(A285,'Data yoy'!#REF!,MATCH($B$1,'Data yoy'!#REF!,0),FALSE)</f>
        <v/>
      </c>
      <c r="C285" s="46">
        <f>Table13456789101112131415161734[[#This Row],[USA]]-B284</f>
        <v/>
      </c>
      <c r="D285" s="27" t="n"/>
    </row>
    <row r="286">
      <c r="A286" s="45" t="n">
        <v>43282</v>
      </c>
      <c r="B286" s="46">
        <f>VLOOKUP(A286,'Data yoy'!#REF!,MATCH($B$1,'Data yoy'!#REF!,0),FALSE)</f>
        <v/>
      </c>
      <c r="C286" s="46">
        <f>Table13456789101112131415161734[[#This Row],[USA]]-B285</f>
        <v/>
      </c>
    </row>
    <row r="287">
      <c r="A287" s="45" t="n">
        <v>43374</v>
      </c>
      <c r="B287" s="46">
        <f>VLOOKUP(A287,'Data yoy'!#REF!,MATCH($B$1,'Data yoy'!#REF!,0),FALSE)</f>
        <v/>
      </c>
      <c r="C287" s="46">
        <f>Table13456789101112131415161734[[#This Row],[USA]]-B286</f>
        <v/>
      </c>
    </row>
    <row r="288">
      <c r="A288" s="45" t="n">
        <v>43466</v>
      </c>
      <c r="B288" s="46">
        <f>VLOOKUP(A288,'Data yoy'!#REF!,MATCH($B$1,'Data yoy'!#REF!,0),FALSE)</f>
        <v/>
      </c>
      <c r="C288" s="46">
        <f>Table13456789101112131415161734[[#This Row],[USA]]-B287</f>
        <v/>
      </c>
    </row>
    <row r="289">
      <c r="A289" s="45" t="n">
        <v>43556</v>
      </c>
      <c r="B289" s="46">
        <f>VLOOKUP(A289,'Data yoy'!#REF!,MATCH($B$1,'Data yoy'!#REF!,0),FALSE)</f>
        <v/>
      </c>
      <c r="C289" s="46">
        <f>Table13456789101112131415161734[[#This Row],[USA]]-B288</f>
        <v/>
      </c>
    </row>
    <row r="290">
      <c r="A290" s="45" t="n">
        <v>43647</v>
      </c>
      <c r="B290" s="46">
        <f>VLOOKUP(A290,'Data yoy'!#REF!,MATCH($B$1,'Data yoy'!#REF!,0),FALSE)</f>
        <v/>
      </c>
      <c r="C290" s="46">
        <f>Table13456789101112131415161734[[#This Row],[USA]]-B289</f>
        <v/>
      </c>
    </row>
    <row r="291" customFormat="1" s="91">
      <c r="A291" s="45" t="n">
        <v>43739</v>
      </c>
      <c r="B291" s="46">
        <f>VLOOKUP(A291,'Data yoy'!#REF!,MATCH($B$1,'Data yoy'!#REF!,0),FALSE)</f>
        <v/>
      </c>
      <c r="C291" s="46">
        <f>Table13456789101112131415161734[[#This Row],[USA]]-B290</f>
        <v/>
      </c>
      <c r="D291" s="51" t="n"/>
    </row>
    <row r="292" customFormat="1" s="91">
      <c r="A292" s="45" t="n">
        <v>43831</v>
      </c>
      <c r="B292" s="46">
        <f>VLOOKUP(A292,'Data yoy'!#REF!,MATCH($B$1,'Data yoy'!#REF!,0),FALSE)</f>
        <v/>
      </c>
      <c r="C292" s="46">
        <f>Table13456789101112131415161734[[#This Row],[USA]]-B291</f>
        <v/>
      </c>
      <c r="D292" s="51" t="n"/>
    </row>
    <row r="293" customFormat="1" s="91">
      <c r="A293" s="45" t="n">
        <v>43922</v>
      </c>
      <c r="B293" s="46">
        <f>VLOOKUP(A293,'Data yoy'!#REF!,MATCH($B$1,'Data yoy'!#REF!,0),FALSE)</f>
        <v/>
      </c>
      <c r="C293" s="46">
        <f>Table13456789101112131415161734[[#This Row],[USA]]-B292</f>
        <v/>
      </c>
      <c r="D293" s="51" t="n"/>
    </row>
    <row r="294" customFormat="1" s="91">
      <c r="A294" s="45" t="n">
        <v>44013</v>
      </c>
      <c r="B294" s="46">
        <f>VLOOKUP(A294,'Data yoy'!#REF!,MATCH($B$1,'Data yoy'!#REF!,0),FALSE)</f>
        <v/>
      </c>
      <c r="C294" s="46">
        <f>Table13456789101112131415161734[[#This Row],[USA]]-B293</f>
        <v/>
      </c>
      <c r="D294" s="51" t="n"/>
    </row>
    <row r="295" customFormat="1" s="91">
      <c r="A295" s="45" t="n">
        <v>44105</v>
      </c>
      <c r="B295" s="46">
        <f>VLOOKUP(A295,'Data yoy'!#REF!,MATCH($B$1,'Data yoy'!#REF!,0),FALSE)</f>
        <v/>
      </c>
      <c r="C295" s="46">
        <f>Table13456789101112131415161734[[#This Row],[USA]]-B294</f>
        <v/>
      </c>
      <c r="D295" s="51" t="n"/>
    </row>
    <row r="296" customFormat="1" s="91">
      <c r="A296" s="45" t="n">
        <v>44197</v>
      </c>
      <c r="B296" s="46">
        <f>VLOOKUP(A296,'Data yoy'!#REF!,MATCH($B$1,'Data yoy'!#REF!,0),FALSE)</f>
        <v/>
      </c>
      <c r="C296" s="46">
        <f>Table13456789101112131415161734[[#This Row],[USA]]-B295</f>
        <v/>
      </c>
      <c r="D296" s="51" t="n"/>
    </row>
    <row r="297" customFormat="1" s="91">
      <c r="A297" s="45" t="n">
        <v>44287</v>
      </c>
      <c r="B297" s="46">
        <f>VLOOKUP(A297,'Data yoy'!#REF!,MATCH($B$1,'Data yoy'!#REF!,0),FALSE)</f>
        <v/>
      </c>
      <c r="C297" s="46">
        <f>Table13456789101112131415161734[[#This Row],[USA]]-B296</f>
        <v/>
      </c>
      <c r="D297" s="51" t="n"/>
    </row>
    <row r="298" customFormat="1" s="91">
      <c r="A298" s="45" t="n">
        <v>44378</v>
      </c>
      <c r="B298" s="46">
        <f>VLOOKUP(A298,'Data yoy'!#REF!,MATCH($B$1,'Data yoy'!#REF!,0),FALSE)</f>
        <v/>
      </c>
      <c r="C298" s="46">
        <f>Table13456789101112131415161734[[#This Row],[USA]]-B297</f>
        <v/>
      </c>
      <c r="D298" s="51" t="n"/>
    </row>
    <row r="299" customFormat="1" s="91">
      <c r="A299" s="52" t="n"/>
      <c r="B299" s="53" t="n"/>
      <c r="C299" s="44" t="n"/>
      <c r="D299" s="51" t="n"/>
    </row>
    <row r="300" customFormat="1" s="91">
      <c r="A300" s="52" t="n"/>
      <c r="B300" s="53" t="n"/>
      <c r="C300" s="44" t="n"/>
      <c r="D300" s="51" t="n"/>
    </row>
    <row r="301" customFormat="1" s="91">
      <c r="A301" s="52" t="n"/>
      <c r="B301" s="53" t="n"/>
      <c r="C301" s="44" t="n"/>
      <c r="D301" s="51" t="n"/>
    </row>
    <row r="302" customFormat="1" s="91">
      <c r="A302" s="52" t="n"/>
      <c r="B302" s="53" t="n"/>
      <c r="C302" s="44" t="n"/>
      <c r="D302" s="51" t="n"/>
    </row>
    <row r="303" customFormat="1" s="91">
      <c r="A303" s="52" t="n"/>
      <c r="B303" s="53" t="n"/>
      <c r="C303" s="44" t="n"/>
      <c r="D303" s="51" t="n"/>
    </row>
    <row r="304" customFormat="1" s="91">
      <c r="A304" s="52" t="n"/>
      <c r="B304" s="53" t="n"/>
      <c r="C304" s="44" t="n"/>
      <c r="D304" s="51" t="n"/>
    </row>
    <row r="305" customFormat="1" s="91">
      <c r="A305" s="52" t="n"/>
      <c r="B305" s="53" t="n"/>
      <c r="C305" s="44" t="n"/>
      <c r="D305" s="51" t="n"/>
    </row>
    <row r="306" customFormat="1" s="91">
      <c r="A306" s="52" t="n"/>
      <c r="B306" s="53" t="n"/>
      <c r="C306" s="44" t="n"/>
      <c r="D306" s="51" t="n"/>
    </row>
    <row r="307" customFormat="1" s="91">
      <c r="A307" s="52" t="n"/>
      <c r="B307" s="53" t="n"/>
      <c r="C307" s="44" t="n"/>
      <c r="D307" s="51" t="n"/>
    </row>
    <row r="308" customFormat="1" s="91">
      <c r="A308" s="52" t="n"/>
      <c r="B308" s="53" t="n"/>
      <c r="C308" s="44" t="n"/>
      <c r="D308" s="51" t="n"/>
    </row>
    <row r="309" customFormat="1" s="91">
      <c r="A309" s="52" t="n"/>
      <c r="B309" s="53" t="n"/>
      <c r="C309" s="44" t="n"/>
      <c r="D309" s="51" t="n"/>
    </row>
    <row r="310" customFormat="1" s="91">
      <c r="A310" s="52" t="n"/>
      <c r="B310" s="53" t="n"/>
      <c r="C310" s="44" t="n"/>
      <c r="D310" s="51" t="n"/>
    </row>
    <row r="311" customFormat="1" s="91">
      <c r="A311" s="52" t="n"/>
      <c r="B311" s="53" t="n"/>
      <c r="C311" s="44" t="n"/>
      <c r="D311" s="51" t="n"/>
    </row>
    <row r="312" customFormat="1" s="91">
      <c r="A312" s="52" t="n"/>
      <c r="B312" s="53" t="n"/>
      <c r="C312" s="44" t="n"/>
      <c r="D312" s="51" t="n"/>
    </row>
    <row r="313" customFormat="1" s="91">
      <c r="A313" s="52" t="n"/>
      <c r="B313" s="53" t="n"/>
      <c r="C313" s="44" t="n"/>
      <c r="D313" s="51" t="n"/>
    </row>
    <row r="314" customFormat="1" s="91">
      <c r="A314" s="52" t="n"/>
      <c r="B314" s="53" t="n"/>
      <c r="C314" s="44" t="n"/>
      <c r="D314" s="51" t="n"/>
    </row>
    <row r="315" customFormat="1" s="91">
      <c r="A315" s="52" t="n"/>
      <c r="B315" s="53" t="n"/>
      <c r="C315" s="44" t="n"/>
      <c r="D315" s="51" t="n"/>
    </row>
    <row r="316" customFormat="1" s="91">
      <c r="A316" s="52" t="n"/>
      <c r="B316" s="53" t="n"/>
      <c r="C316" s="44" t="n"/>
      <c r="D316" s="51" t="n"/>
    </row>
    <row r="317" customFormat="1" s="91">
      <c r="A317" s="52" t="n"/>
      <c r="B317" s="53" t="n"/>
      <c r="C317" s="44" t="n"/>
      <c r="D317" s="51" t="n"/>
    </row>
    <row r="318" customFormat="1" s="91">
      <c r="A318" s="52" t="n"/>
      <c r="B318" s="53" t="n"/>
      <c r="C318" s="44" t="n"/>
      <c r="D318" s="51" t="n"/>
    </row>
    <row r="319" customFormat="1" s="91">
      <c r="A319" s="52" t="n"/>
      <c r="B319" s="53" t="n"/>
      <c r="C319" s="44" t="n"/>
      <c r="D319" s="51" t="n"/>
    </row>
    <row r="320" customFormat="1" s="91">
      <c r="A320" s="52" t="n"/>
      <c r="B320" s="53" t="n"/>
      <c r="C320" s="44" t="n"/>
      <c r="D320" s="51" t="n"/>
    </row>
    <row r="321" customFormat="1" s="91">
      <c r="A321" s="52" t="n"/>
      <c r="B321" s="53" t="n"/>
      <c r="C321" s="44" t="n"/>
      <c r="D321" s="51" t="n"/>
    </row>
    <row r="322" customFormat="1" s="91">
      <c r="A322" s="52" t="n"/>
      <c r="B322" s="53" t="n"/>
      <c r="C322" s="44" t="n"/>
      <c r="D322" s="51" t="n"/>
    </row>
    <row r="323" customFormat="1" s="91">
      <c r="A323" s="52" t="n"/>
      <c r="B323" s="53" t="n"/>
      <c r="C323" s="44" t="n"/>
      <c r="D323" s="51" t="n"/>
    </row>
    <row r="324" customFormat="1" s="91">
      <c r="A324" s="52" t="n"/>
      <c r="B324" s="53" t="n"/>
      <c r="C324" s="44" t="n"/>
      <c r="D324" s="51" t="n"/>
    </row>
    <row r="325" customFormat="1" s="91">
      <c r="A325" s="52" t="n"/>
      <c r="B325" s="53" t="n"/>
      <c r="C325" s="44" t="n"/>
      <c r="D325" s="51" t="n"/>
    </row>
    <row r="326" customFormat="1" s="91">
      <c r="A326" s="52" t="n"/>
      <c r="B326" s="53" t="n"/>
      <c r="C326" s="44" t="n"/>
      <c r="D326" s="51" t="n"/>
    </row>
    <row r="327" customFormat="1" s="91">
      <c r="A327" s="52" t="n"/>
      <c r="B327" s="53" t="n"/>
      <c r="C327" s="44" t="n"/>
      <c r="D327" s="51" t="n"/>
    </row>
    <row r="328" customFormat="1" s="91">
      <c r="A328" s="52" t="n"/>
      <c r="B328" s="53" t="n"/>
      <c r="C328" s="44" t="n"/>
      <c r="D328" s="51" t="n"/>
    </row>
    <row r="329" customFormat="1" s="91">
      <c r="A329" s="52" t="n"/>
      <c r="B329" s="53" t="n"/>
      <c r="C329" s="44" t="n"/>
      <c r="D329" s="51" t="n"/>
    </row>
    <row r="330" customFormat="1" s="91">
      <c r="A330" s="52" t="n"/>
      <c r="B330" s="53" t="n"/>
      <c r="C330" s="44" t="n"/>
      <c r="D330" s="51" t="n"/>
    </row>
    <row r="331" customFormat="1" s="91">
      <c r="A331" s="52" t="n"/>
      <c r="B331" s="53" t="n"/>
      <c r="C331" s="44" t="n"/>
      <c r="D331" s="51" t="n"/>
    </row>
    <row r="332" customFormat="1" s="91">
      <c r="A332" s="52" t="n"/>
      <c r="B332" s="53" t="n"/>
      <c r="C332" s="44" t="n"/>
      <c r="D332" s="51" t="n"/>
    </row>
    <row r="333" customFormat="1" s="91">
      <c r="A333" s="52" t="n"/>
      <c r="B333" s="53" t="n"/>
      <c r="C333" s="44" t="n"/>
      <c r="D333" s="51" t="n"/>
    </row>
    <row r="334" customFormat="1" s="91">
      <c r="A334" s="52" t="n"/>
      <c r="B334" s="53" t="n"/>
      <c r="C334" s="44" t="n"/>
      <c r="D334" s="51" t="n"/>
    </row>
    <row r="335" customFormat="1" s="91">
      <c r="A335" s="52" t="n"/>
      <c r="B335" s="53" t="n"/>
      <c r="C335" s="44" t="n"/>
      <c r="D335" s="51" t="n"/>
    </row>
    <row r="336" customFormat="1" s="91">
      <c r="A336" s="52" t="n"/>
      <c r="B336" s="53" t="n"/>
      <c r="C336" s="44" t="n"/>
      <c r="D336" s="51" t="n"/>
    </row>
    <row r="337" customFormat="1" s="91">
      <c r="A337" s="52" t="n"/>
      <c r="B337" s="53" t="n"/>
      <c r="C337" s="44" t="n"/>
      <c r="D337" s="51" t="n"/>
    </row>
    <row r="338" customFormat="1" s="91">
      <c r="A338" s="52" t="n"/>
      <c r="B338" s="53" t="n"/>
      <c r="C338" s="44" t="n"/>
      <c r="D338" s="51" t="n"/>
    </row>
    <row r="339" customFormat="1" s="91">
      <c r="A339" s="52" t="n"/>
      <c r="B339" s="53" t="n"/>
      <c r="C339" s="44" t="n"/>
      <c r="D339" s="51" t="n"/>
    </row>
    <row r="340" customFormat="1" s="91">
      <c r="A340" s="52" t="n"/>
      <c r="B340" s="53" t="n"/>
      <c r="C340" s="44" t="n"/>
      <c r="D340" s="51" t="n"/>
    </row>
    <row r="341" customFormat="1" s="91">
      <c r="A341" s="52" t="n"/>
      <c r="B341" s="53" t="n"/>
      <c r="C341" s="44" t="n"/>
      <c r="D341" s="51" t="n"/>
    </row>
    <row r="342" customFormat="1" s="91">
      <c r="A342" s="52" t="n"/>
      <c r="B342" s="53" t="n"/>
      <c r="C342" s="44" t="n"/>
      <c r="D342" s="51" t="n"/>
    </row>
    <row r="343" customFormat="1" s="91">
      <c r="A343" s="52" t="n"/>
      <c r="B343" s="53" t="n"/>
      <c r="C343" s="44" t="n"/>
      <c r="D343" s="51" t="n"/>
    </row>
    <row r="344" customFormat="1" s="91">
      <c r="A344" s="52" t="n"/>
      <c r="B344" s="53" t="n"/>
      <c r="C344" s="44" t="n"/>
      <c r="D344" s="51" t="n"/>
    </row>
    <row r="345" customFormat="1" s="91">
      <c r="A345" s="52" t="n"/>
      <c r="B345" s="53" t="n"/>
      <c r="C345" s="44" t="n"/>
      <c r="D345" s="51" t="n"/>
    </row>
    <row r="346" customFormat="1" s="91">
      <c r="A346" s="52" t="n"/>
      <c r="B346" s="53" t="n"/>
      <c r="C346" s="44" t="n"/>
      <c r="D346" s="51" t="n"/>
    </row>
    <row r="347" customFormat="1" s="91">
      <c r="A347" s="52" t="n"/>
      <c r="B347" s="53" t="n"/>
      <c r="C347" s="44" t="n"/>
      <c r="D347" s="51" t="n"/>
    </row>
    <row r="348" customFormat="1" s="91">
      <c r="A348" s="52" t="n"/>
      <c r="B348" s="53" t="n"/>
      <c r="C348" s="44" t="n"/>
      <c r="D348" s="51" t="n"/>
    </row>
    <row r="349" customFormat="1" s="91">
      <c r="A349" s="52" t="n"/>
      <c r="B349" s="53" t="n"/>
      <c r="C349" s="44" t="n"/>
      <c r="D349" s="51" t="n"/>
    </row>
    <row r="350" customFormat="1" s="91">
      <c r="A350" s="52" t="n"/>
      <c r="B350" s="53" t="n"/>
      <c r="C350" s="44" t="n"/>
      <c r="D350" s="51" t="n"/>
    </row>
    <row r="351" customFormat="1" s="91">
      <c r="A351" s="52" t="n"/>
      <c r="B351" s="53" t="n"/>
      <c r="C351" s="44" t="n"/>
      <c r="D351" s="51" t="n"/>
    </row>
    <row r="352" customFormat="1" s="91">
      <c r="A352" s="52" t="n"/>
      <c r="B352" s="53" t="n"/>
      <c r="C352" s="44" t="n"/>
      <c r="D352" s="51" t="n"/>
    </row>
    <row r="353" customFormat="1" s="91">
      <c r="A353" s="52" t="n"/>
      <c r="B353" s="53" t="n"/>
      <c r="C353" s="44" t="n"/>
      <c r="D353" s="51" t="n"/>
    </row>
    <row r="354" customFormat="1" s="91">
      <c r="A354" s="52" t="n"/>
      <c r="B354" s="53" t="n"/>
      <c r="C354" s="44" t="n"/>
      <c r="D354" s="51" t="n"/>
    </row>
    <row r="355" customFormat="1" s="91">
      <c r="A355" s="52" t="n"/>
      <c r="B355" s="53" t="n"/>
      <c r="C355" s="44" t="n"/>
      <c r="D355" s="51" t="n"/>
    </row>
    <row r="356" customFormat="1" s="91">
      <c r="A356" s="52" t="n"/>
      <c r="B356" s="53" t="n"/>
      <c r="C356" s="44" t="n"/>
      <c r="D356" s="51" t="n"/>
    </row>
    <row r="357" customFormat="1" s="91">
      <c r="A357" s="52" t="n"/>
      <c r="B357" s="53" t="n"/>
      <c r="C357" s="44" t="n"/>
      <c r="D357" s="51" t="n"/>
    </row>
    <row r="358" customFormat="1" s="91">
      <c r="A358" s="52" t="n"/>
      <c r="B358" s="53" t="n"/>
      <c r="C358" s="44" t="n"/>
      <c r="D358" s="51" t="n"/>
    </row>
    <row r="359" customFormat="1" s="91">
      <c r="A359" s="52" t="n"/>
      <c r="B359" s="53" t="n"/>
      <c r="C359" s="44" t="n"/>
      <c r="D359" s="51" t="n"/>
    </row>
    <row r="360" customFormat="1" s="91">
      <c r="A360" s="52" t="n"/>
      <c r="B360" s="53" t="n"/>
      <c r="C360" s="44" t="n"/>
      <c r="D360" s="51" t="n"/>
    </row>
    <row r="361" customFormat="1" s="91">
      <c r="A361" s="52" t="n"/>
      <c r="B361" s="53" t="n"/>
      <c r="C361" s="44" t="n"/>
      <c r="D361" s="51" t="n"/>
    </row>
    <row r="362" customFormat="1" s="91">
      <c r="A362" s="52" t="n"/>
      <c r="B362" s="53" t="n"/>
      <c r="C362" s="44" t="n"/>
      <c r="D362" s="51" t="n"/>
    </row>
    <row r="363" customFormat="1" s="91">
      <c r="A363" s="52" t="n"/>
      <c r="B363" s="53" t="n"/>
      <c r="C363" s="44" t="n"/>
      <c r="D363" s="51" t="n"/>
    </row>
    <row r="364" customFormat="1" s="91">
      <c r="A364" s="52" t="n"/>
      <c r="B364" s="53" t="n"/>
      <c r="C364" s="44" t="n"/>
      <c r="D364" s="51" t="n"/>
    </row>
    <row r="365" customFormat="1" s="91">
      <c r="A365" s="52" t="n"/>
      <c r="B365" s="53" t="n"/>
      <c r="C365" s="44" t="n"/>
      <c r="D365" s="51" t="n"/>
    </row>
    <row r="366" customFormat="1" s="91">
      <c r="A366" s="52" t="n"/>
      <c r="B366" s="53" t="n"/>
      <c r="C366" s="44" t="n"/>
      <c r="D366" s="51" t="n"/>
    </row>
    <row r="367" customFormat="1" s="91">
      <c r="A367" s="52" t="n"/>
      <c r="B367" s="53" t="n"/>
      <c r="C367" s="44" t="n"/>
      <c r="D367" s="51" t="n"/>
    </row>
    <row r="368" customFormat="1" s="91">
      <c r="A368" s="52" t="n"/>
      <c r="B368" s="53" t="n"/>
      <c r="C368" s="44" t="n"/>
      <c r="D368" s="51" t="n"/>
    </row>
    <row r="369" customFormat="1" s="91">
      <c r="A369" s="52" t="n"/>
      <c r="B369" s="53" t="n"/>
      <c r="C369" s="44" t="n"/>
      <c r="D369" s="51" t="n"/>
    </row>
    <row r="370" customFormat="1" s="91">
      <c r="A370" s="52" t="n"/>
      <c r="B370" s="53" t="n"/>
      <c r="C370" s="44" t="n"/>
      <c r="D370" s="51" t="n"/>
    </row>
    <row r="371" customFormat="1" s="91">
      <c r="A371" s="52" t="n"/>
      <c r="B371" s="53" t="n"/>
      <c r="C371" s="44" t="n"/>
      <c r="D371" s="51" t="n"/>
    </row>
    <row r="372" customFormat="1" s="91">
      <c r="A372" s="52" t="n"/>
      <c r="B372" s="53" t="n"/>
      <c r="C372" s="44" t="n"/>
      <c r="D372" s="51" t="n"/>
    </row>
    <row r="373" customFormat="1" s="91">
      <c r="A373" s="52" t="n"/>
      <c r="B373" s="53" t="n"/>
      <c r="C373" s="44" t="n"/>
      <c r="D373" s="51" t="n"/>
    </row>
    <row r="374" customFormat="1" s="91">
      <c r="A374" s="52" t="n"/>
      <c r="B374" s="53" t="n"/>
      <c r="C374" s="44" t="n"/>
      <c r="D374" s="51" t="n"/>
    </row>
    <row r="375" customFormat="1" s="91">
      <c r="A375" s="52" t="n"/>
      <c r="B375" s="53" t="n"/>
      <c r="C375" s="44" t="n"/>
      <c r="D375" s="51" t="n"/>
    </row>
    <row r="376" customFormat="1" s="91">
      <c r="A376" s="52" t="n"/>
      <c r="B376" s="53" t="n"/>
      <c r="C376" s="44" t="n"/>
      <c r="D376" s="51" t="n"/>
    </row>
    <row r="377" customFormat="1" s="91">
      <c r="A377" s="52" t="n"/>
      <c r="B377" s="53" t="n"/>
      <c r="C377" s="44" t="n"/>
      <c r="D377" s="51" t="n"/>
    </row>
    <row r="378" customFormat="1" s="91">
      <c r="A378" s="52" t="n"/>
      <c r="B378" s="53" t="n"/>
      <c r="C378" s="44" t="n"/>
      <c r="D378" s="51" t="n"/>
    </row>
    <row r="379" customFormat="1" s="91">
      <c r="A379" s="52" t="n"/>
      <c r="B379" s="53" t="n"/>
      <c r="C379" s="44" t="n"/>
      <c r="D379" s="51" t="n"/>
    </row>
    <row r="380" customFormat="1" s="91">
      <c r="A380" s="52" t="n"/>
      <c r="B380" s="53" t="n"/>
      <c r="C380" s="44" t="n"/>
      <c r="D380" s="51" t="n"/>
    </row>
    <row r="381" customFormat="1" s="91">
      <c r="A381" s="52" t="n"/>
      <c r="B381" s="53" t="n"/>
      <c r="C381" s="44" t="n"/>
      <c r="D381" s="51" t="n"/>
    </row>
    <row r="382" customFormat="1" s="91">
      <c r="A382" s="52" t="n"/>
      <c r="B382" s="53" t="n"/>
      <c r="C382" s="44" t="n"/>
      <c r="D382" s="51" t="n"/>
    </row>
    <row r="383" customFormat="1" s="91">
      <c r="A383" s="52" t="n"/>
      <c r="B383" s="53" t="n"/>
      <c r="C383" s="44" t="n"/>
      <c r="D383" s="51" t="n"/>
    </row>
    <row r="384" customFormat="1" s="91">
      <c r="A384" s="52" t="n"/>
      <c r="B384" s="53" t="n"/>
      <c r="C384" s="44" t="n"/>
      <c r="D384" s="51" t="n"/>
    </row>
    <row r="385" customFormat="1" s="91">
      <c r="A385" s="52" t="n"/>
      <c r="B385" s="53" t="n"/>
      <c r="C385" s="44" t="n"/>
      <c r="D385" s="51" t="n"/>
    </row>
    <row r="386" customFormat="1" s="91">
      <c r="A386" s="52" t="n"/>
      <c r="B386" s="53" t="n"/>
      <c r="C386" s="44" t="n"/>
      <c r="D386" s="51" t="n"/>
    </row>
    <row r="387" customFormat="1" s="91">
      <c r="A387" s="52" t="n"/>
      <c r="B387" s="53" t="n"/>
      <c r="C387" s="44" t="n"/>
      <c r="D387" s="51" t="n"/>
    </row>
    <row r="388" customFormat="1" s="91">
      <c r="A388" s="52" t="n"/>
      <c r="B388" s="53" t="n"/>
      <c r="C388" s="44" t="n"/>
      <c r="D388" s="51" t="n"/>
    </row>
    <row r="389" customFormat="1" s="91">
      <c r="A389" s="52" t="n"/>
      <c r="B389" s="53" t="n"/>
      <c r="C389" s="44" t="n"/>
      <c r="D389" s="51" t="n"/>
    </row>
    <row r="390" customFormat="1" s="91">
      <c r="A390" s="52" t="n"/>
      <c r="B390" s="53" t="n"/>
      <c r="C390" s="44" t="n"/>
      <c r="D390" s="51" t="n"/>
    </row>
    <row r="391" customFormat="1" s="91">
      <c r="A391" s="52" t="n"/>
      <c r="B391" s="53" t="n"/>
      <c r="C391" s="44" t="n"/>
      <c r="D391" s="51" t="n"/>
    </row>
    <row r="392" customFormat="1" s="91">
      <c r="A392" s="52" t="n"/>
      <c r="B392" s="53" t="n"/>
      <c r="C392" s="44" t="n"/>
      <c r="D392" s="51" t="n"/>
    </row>
    <row r="393" customFormat="1" s="91">
      <c r="A393" s="52" t="n"/>
      <c r="B393" s="53" t="n"/>
      <c r="C393" s="44" t="n"/>
      <c r="D393" s="51" t="n"/>
    </row>
    <row r="394" customFormat="1" s="91">
      <c r="A394" s="52" t="n"/>
      <c r="B394" s="53" t="n"/>
      <c r="C394" s="44" t="n"/>
      <c r="D394" s="51" t="n"/>
    </row>
    <row r="395" customFormat="1" s="91">
      <c r="A395" s="52" t="n"/>
      <c r="B395" s="53" t="n"/>
      <c r="C395" s="44" t="n"/>
      <c r="D395" s="51" t="n"/>
    </row>
    <row r="396" customFormat="1" s="91">
      <c r="A396" s="52" t="n"/>
      <c r="B396" s="53" t="n"/>
      <c r="C396" s="44" t="n"/>
      <c r="D396" s="51" t="n"/>
    </row>
    <row r="397" customFormat="1" s="91">
      <c r="A397" s="52" t="n"/>
      <c r="B397" s="53" t="n"/>
      <c r="C397" s="44" t="n"/>
      <c r="D397" s="51" t="n"/>
    </row>
    <row r="398" customFormat="1" s="91">
      <c r="A398" s="52" t="n"/>
      <c r="B398" s="53" t="n"/>
      <c r="C398" s="44" t="n"/>
      <c r="D398" s="51" t="n"/>
    </row>
    <row r="399" customFormat="1" s="91">
      <c r="A399" s="52" t="n"/>
      <c r="B399" s="53" t="n"/>
      <c r="C399" s="44" t="n"/>
      <c r="D399" s="51" t="n"/>
    </row>
    <row r="400" customFormat="1" s="91">
      <c r="A400" s="52" t="n"/>
      <c r="B400" s="53" t="n"/>
      <c r="C400" s="44" t="n"/>
      <c r="D400" s="51" t="n"/>
    </row>
    <row r="401" customFormat="1" s="91">
      <c r="A401" s="52" t="n"/>
      <c r="B401" s="53" t="n"/>
      <c r="C401" s="44" t="n"/>
      <c r="D401" s="51" t="n"/>
    </row>
    <row r="402" customFormat="1" s="91">
      <c r="A402" s="52" t="n"/>
      <c r="B402" s="53" t="n"/>
      <c r="C402" s="44" t="n"/>
      <c r="D402" s="51" t="n"/>
    </row>
    <row r="403" customFormat="1" s="91">
      <c r="A403" s="52" t="n"/>
      <c r="B403" s="53" t="n"/>
      <c r="C403" s="44" t="n"/>
      <c r="D403" s="51" t="n"/>
    </row>
    <row r="404" customFormat="1" s="91">
      <c r="A404" s="52" t="n"/>
      <c r="B404" s="53" t="n"/>
      <c r="C404" s="44" t="n"/>
      <c r="D404" s="51" t="n"/>
    </row>
    <row r="405" customFormat="1" s="91">
      <c r="A405" s="52" t="n"/>
      <c r="B405" s="53" t="n"/>
      <c r="C405" s="44" t="n"/>
      <c r="D405" s="51" t="n"/>
    </row>
    <row r="406" customFormat="1" s="91">
      <c r="A406" s="52" t="n"/>
      <c r="B406" s="53" t="n"/>
      <c r="C406" s="44" t="n"/>
      <c r="D406" s="51" t="n"/>
    </row>
    <row r="407" customFormat="1" s="91">
      <c r="A407" s="52" t="n"/>
      <c r="B407" s="53" t="n"/>
      <c r="C407" s="44" t="n"/>
      <c r="D407" s="51" t="n"/>
    </row>
    <row r="408" customFormat="1" s="91">
      <c r="A408" s="52" t="n"/>
      <c r="B408" s="53" t="n"/>
      <c r="C408" s="44" t="n"/>
      <c r="D408" s="51" t="n"/>
    </row>
    <row r="409" customFormat="1" s="91">
      <c r="A409" s="52" t="n"/>
      <c r="B409" s="53" t="n"/>
      <c r="C409" s="44" t="n"/>
      <c r="D409" s="51" t="n"/>
    </row>
    <row r="410" customFormat="1" s="91">
      <c r="A410" s="52" t="n"/>
      <c r="B410" s="53" t="n"/>
      <c r="C410" s="44" t="n"/>
      <c r="D410" s="51" t="n"/>
    </row>
    <row r="411" customFormat="1" s="91">
      <c r="A411" s="52" t="n"/>
      <c r="B411" s="53" t="n"/>
      <c r="C411" s="44" t="n"/>
      <c r="D411" s="51" t="n"/>
    </row>
    <row r="412" customFormat="1" s="91">
      <c r="A412" s="52" t="n"/>
      <c r="B412" s="53" t="n"/>
      <c r="C412" s="44" t="n"/>
      <c r="D412" s="51" t="n"/>
    </row>
    <row r="413" customFormat="1" s="91">
      <c r="A413" s="52" t="n"/>
      <c r="B413" s="53" t="n"/>
      <c r="C413" s="44" t="n"/>
      <c r="D413" s="51" t="n"/>
    </row>
    <row r="414" customFormat="1" s="91">
      <c r="A414" s="52" t="n"/>
      <c r="B414" s="53" t="n"/>
      <c r="C414" s="44" t="n"/>
      <c r="D414" s="51" t="n"/>
    </row>
    <row r="415" customFormat="1" s="91">
      <c r="A415" s="52" t="n"/>
      <c r="B415" s="53" t="n"/>
      <c r="C415" s="44" t="n"/>
      <c r="D415" s="51" t="n"/>
    </row>
    <row r="416" customFormat="1" s="91">
      <c r="A416" s="52" t="n"/>
      <c r="B416" s="53" t="n"/>
      <c r="C416" s="44" t="n"/>
      <c r="D416" s="51" t="n"/>
    </row>
    <row r="417" customFormat="1" s="91">
      <c r="A417" s="52" t="n"/>
      <c r="B417" s="53" t="n"/>
      <c r="C417" s="44" t="n"/>
      <c r="D417" s="51" t="n"/>
    </row>
    <row r="418" customFormat="1" s="91">
      <c r="A418" s="52" t="n"/>
      <c r="B418" s="53" t="n"/>
      <c r="C418" s="44" t="n"/>
      <c r="D418" s="51" t="n"/>
    </row>
    <row r="419" customFormat="1" s="91">
      <c r="A419" s="52" t="n"/>
      <c r="B419" s="53" t="n"/>
      <c r="C419" s="44" t="n"/>
      <c r="D419" s="51" t="n"/>
    </row>
    <row r="420" customFormat="1" s="91">
      <c r="A420" s="52" t="n"/>
      <c r="B420" s="53" t="n"/>
      <c r="C420" s="44" t="n"/>
      <c r="D420" s="51" t="n"/>
    </row>
    <row r="421" customFormat="1" s="91">
      <c r="A421" s="52" t="n"/>
      <c r="B421" s="53" t="n"/>
      <c r="C421" s="44" t="n"/>
      <c r="D421" s="51" t="n"/>
    </row>
    <row r="422" customFormat="1" s="91">
      <c r="A422" s="52" t="n"/>
      <c r="B422" s="53" t="n"/>
      <c r="C422" s="44" t="n"/>
      <c r="D422" s="51" t="n"/>
    </row>
    <row r="423" customFormat="1" s="91">
      <c r="A423" s="52" t="n"/>
      <c r="B423" s="53" t="n"/>
      <c r="C423" s="44" t="n"/>
      <c r="D423" s="51" t="n"/>
    </row>
    <row r="424" customFormat="1" s="91">
      <c r="A424" s="52" t="n"/>
      <c r="B424" s="53" t="n"/>
      <c r="C424" s="44" t="n"/>
      <c r="D424" s="51" t="n"/>
    </row>
    <row r="425" customFormat="1" s="91">
      <c r="A425" s="52" t="n"/>
      <c r="B425" s="53" t="n"/>
      <c r="C425" s="44" t="n"/>
      <c r="D425" s="51" t="n"/>
    </row>
    <row r="426" customFormat="1" s="91">
      <c r="A426" s="52" t="n"/>
      <c r="B426" s="53" t="n"/>
      <c r="C426" s="44" t="n"/>
      <c r="D426" s="51" t="n"/>
    </row>
    <row r="427" customFormat="1" s="91">
      <c r="A427" s="52" t="n"/>
      <c r="B427" s="53" t="n"/>
      <c r="C427" s="44" t="n"/>
      <c r="D427" s="51" t="n"/>
    </row>
    <row r="428" customFormat="1" s="91">
      <c r="A428" s="52" t="n"/>
      <c r="B428" s="53" t="n"/>
      <c r="C428" s="44" t="n"/>
      <c r="D428" s="51" t="n"/>
    </row>
    <row r="429" customFormat="1" s="91">
      <c r="A429" s="52" t="n"/>
      <c r="B429" s="53" t="n"/>
      <c r="C429" s="44" t="n"/>
      <c r="D429" s="51" t="n"/>
    </row>
    <row r="430" customFormat="1" s="91">
      <c r="A430" s="52" t="n"/>
      <c r="B430" s="53" t="n"/>
      <c r="C430" s="44" t="n"/>
      <c r="D430" s="51" t="n"/>
    </row>
    <row r="431" customFormat="1" s="91">
      <c r="A431" s="52" t="n"/>
      <c r="B431" s="53" t="n"/>
      <c r="C431" s="44" t="n"/>
      <c r="D431" s="51" t="n"/>
    </row>
    <row r="432" customFormat="1" s="91">
      <c r="A432" s="52" t="n"/>
      <c r="B432" s="53" t="n"/>
      <c r="C432" s="44" t="n"/>
      <c r="D432" s="51" t="n"/>
    </row>
    <row r="433" customFormat="1" s="91">
      <c r="A433" s="52" t="n"/>
      <c r="B433" s="53" t="n"/>
      <c r="C433" s="44" t="n"/>
      <c r="D433" s="51" t="n"/>
    </row>
    <row r="434" customFormat="1" s="91">
      <c r="A434" s="52" t="n"/>
      <c r="B434" s="53" t="n"/>
      <c r="C434" s="44" t="n"/>
      <c r="D434" s="51" t="n"/>
    </row>
    <row r="435">
      <c r="A435" s="41"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5" activePane="bottomLeft" state="frozen"/>
      <selection activeCell="B31" sqref="B31"/>
      <selection pane="bottomLeft" activeCell="B31" sqref="B31"/>
    </sheetView>
  </sheetViews>
  <sheetFormatPr baseColWidth="10" defaultColWidth="8.83203125" defaultRowHeight="15"/>
  <cols>
    <col width="9.1640625" customWidth="1" style="39" min="1" max="1"/>
    <col width="16.1640625" customWidth="1" style="38" min="2" max="2"/>
    <col width="11.6640625" customWidth="1" style="40" min="3" max="3"/>
    <col width="11.6640625" customWidth="1" style="59" min="4" max="4"/>
    <col width="9.1640625" customWidth="1" style="91" min="5" max="43"/>
  </cols>
  <sheetData>
    <row r="1" ht="32" customHeight="1" s="88">
      <c r="A1" s="54" t="inlineStr">
        <is>
          <t>Data</t>
        </is>
      </c>
      <c r="B1" s="48" t="inlineStr">
        <is>
          <t>USA</t>
        </is>
      </c>
      <c r="C1" s="55" t="inlineStr">
        <is>
          <t>Quarter Change</t>
        </is>
      </c>
      <c r="D1" s="56" t="inlineStr">
        <is>
          <t>qoq annualized</t>
        </is>
      </c>
      <c r="E1" s="50" t="inlineStr">
        <is>
          <t>Change Country in B2</t>
        </is>
      </c>
      <c r="F1" s="49" t="n"/>
      <c r="G1" s="49" t="n"/>
      <c r="H1" s="49" t="n"/>
      <c r="J1" s="91">
        <f>B1&amp;" GDP % qoq"</f>
        <v/>
      </c>
      <c r="V1" s="91" t="inlineStr">
        <is>
          <t>AUS</t>
        </is>
      </c>
    </row>
    <row r="2">
      <c r="A2" s="45" t="n">
        <v>17349</v>
      </c>
      <c r="B2" s="46">
        <f>VLOOKUP(A2,'Data qoq'!$B:$AT,MATCH($B$1,'Data qoq'!$B$1:$AT$1,0),FALSE)</f>
        <v/>
      </c>
      <c r="C2" s="47" t="n"/>
      <c r="D2" s="57">
        <f>(Table134567891011121314151617343[[#This Row],[USA]]/100 +1)^4-1</f>
        <v/>
      </c>
      <c r="E2" s="49" t="n"/>
      <c r="F2" s="49" t="n"/>
      <c r="G2" s="49" t="n"/>
      <c r="H2" s="49" t="n"/>
      <c r="J2" s="91">
        <f>B1&amp;" GDP % qoq annualized"</f>
        <v/>
      </c>
      <c r="V2" s="91" t="inlineStr">
        <is>
          <t>AUT</t>
        </is>
      </c>
    </row>
    <row r="3">
      <c r="A3" s="45" t="n">
        <v>17441</v>
      </c>
      <c r="B3" s="46">
        <f>VLOOKUP(A3,'Data qoq'!$B:$AT,MATCH($B$1,'Data qoq'!$B$1:$AT$1,0),FALSE)</f>
        <v/>
      </c>
      <c r="C3" s="46">
        <f>Table134567891011121314151617343[[#This Row],[USA]]-B2</f>
        <v/>
      </c>
      <c r="D3" s="57">
        <f>(Table134567891011121314151617343[[#This Row],[USA]]/100 +1)^4-1</f>
        <v/>
      </c>
      <c r="E3" s="49" t="n"/>
      <c r="F3" s="49" t="n"/>
      <c r="G3" s="49" t="n"/>
      <c r="H3" s="49" t="n"/>
      <c r="V3" s="91" t="inlineStr">
        <is>
          <t>BEL</t>
        </is>
      </c>
    </row>
    <row r="4">
      <c r="A4" s="45" t="n">
        <v>17533</v>
      </c>
      <c r="B4" s="46">
        <f>VLOOKUP(A4,'Data qoq'!$B:$AT,MATCH($B$1,'Data qoq'!$B$1:$AT$1,0),FALSE)</f>
        <v/>
      </c>
      <c r="C4" s="46">
        <f>Table134567891011121314151617343[[#This Row],[USA]]-B3</f>
        <v/>
      </c>
      <c r="D4" s="57">
        <f>(Table134567891011121314151617343[[#This Row],[USA]]/100 +1)^4-1</f>
        <v/>
      </c>
      <c r="E4" s="49" t="n"/>
      <c r="F4" s="49" t="n"/>
      <c r="G4" s="49" t="n"/>
      <c r="H4" s="49" t="n"/>
      <c r="V4" s="91" t="inlineStr">
        <is>
          <t>CAN</t>
        </is>
      </c>
    </row>
    <row r="5">
      <c r="A5" s="45" t="n">
        <v>17624</v>
      </c>
      <c r="B5" s="46">
        <f>VLOOKUP(A5,'Data qoq'!$B:$AT,MATCH($B$1,'Data qoq'!$B$1:$AT$1,0),FALSE)</f>
        <v/>
      </c>
      <c r="C5" s="46">
        <f>Table134567891011121314151617343[[#This Row],[USA]]-B4</f>
        <v/>
      </c>
      <c r="D5" s="57">
        <f>(Table134567891011121314151617343[[#This Row],[USA]]/100 +1)^4-1</f>
        <v/>
      </c>
      <c r="E5" s="49" t="n"/>
      <c r="F5" s="49" t="n"/>
      <c r="G5" s="49" t="n"/>
      <c r="H5" s="49" t="n"/>
      <c r="V5" s="91" t="inlineStr">
        <is>
          <t>CHL</t>
        </is>
      </c>
    </row>
    <row r="6">
      <c r="A6" s="45" t="n">
        <v>17715</v>
      </c>
      <c r="B6" s="46">
        <f>VLOOKUP(A6,'Data qoq'!$B:$AT,MATCH($B$1,'Data qoq'!$B$1:$AT$1,0),FALSE)</f>
        <v/>
      </c>
      <c r="C6" s="46">
        <f>Table134567891011121314151617343[[#This Row],[USA]]-B5</f>
        <v/>
      </c>
      <c r="D6" s="57">
        <f>(Table134567891011121314151617343[[#This Row],[USA]]/100 +1)^4-1</f>
        <v/>
      </c>
      <c r="E6" s="49" t="n"/>
      <c r="F6" s="49" t="n"/>
      <c r="G6" s="49" t="n"/>
      <c r="H6" s="49" t="n"/>
      <c r="V6" s="91" t="inlineStr">
        <is>
          <t>CZE</t>
        </is>
      </c>
    </row>
    <row r="7">
      <c r="A7" s="45" t="n">
        <v>17807</v>
      </c>
      <c r="B7" s="46">
        <f>VLOOKUP(A7,'Data qoq'!$B:$AT,MATCH($B$1,'Data qoq'!$B$1:$AT$1,0),FALSE)</f>
        <v/>
      </c>
      <c r="C7" s="46">
        <f>Table134567891011121314151617343[[#This Row],[USA]]-B6</f>
        <v/>
      </c>
      <c r="D7" s="57">
        <f>(Table134567891011121314151617343[[#This Row],[USA]]/100 +1)^4-1</f>
        <v/>
      </c>
      <c r="E7" s="49" t="n"/>
      <c r="F7" s="49" t="n"/>
      <c r="G7" s="49" t="n"/>
      <c r="H7" s="49" t="n"/>
      <c r="V7" s="91" t="inlineStr">
        <is>
          <t>DEU</t>
        </is>
      </c>
    </row>
    <row r="8">
      <c r="A8" s="45" t="n">
        <v>17899</v>
      </c>
      <c r="B8" s="46">
        <f>VLOOKUP(A8,'Data qoq'!$B:$AT,MATCH($B$1,'Data qoq'!$B$1:$AT$1,0),FALSE)</f>
        <v/>
      </c>
      <c r="C8" s="46">
        <f>Table134567891011121314151617343[[#This Row],[USA]]-B7</f>
        <v/>
      </c>
      <c r="D8" s="57">
        <f>(Table134567891011121314151617343[[#This Row],[USA]]/100 +1)^4-1</f>
        <v/>
      </c>
      <c r="E8" s="49" t="n"/>
      <c r="F8" s="49" t="n"/>
      <c r="G8" s="49" t="n"/>
      <c r="H8" s="49" t="n"/>
      <c r="V8" s="91" t="inlineStr">
        <is>
          <t>DNK</t>
        </is>
      </c>
    </row>
    <row r="9">
      <c r="A9" s="45" t="n">
        <v>17989</v>
      </c>
      <c r="B9" s="46">
        <f>VLOOKUP(A9,'Data qoq'!$B:$AT,MATCH($B$1,'Data qoq'!$B$1:$AT$1,0),FALSE)</f>
        <v/>
      </c>
      <c r="C9" s="46">
        <f>Table134567891011121314151617343[[#This Row],[USA]]-B8</f>
        <v/>
      </c>
      <c r="D9" s="57">
        <f>(Table134567891011121314151617343[[#This Row],[USA]]/100 +1)^4-1</f>
        <v/>
      </c>
      <c r="E9" s="49" t="n"/>
      <c r="F9" s="49" t="n"/>
      <c r="G9" s="49" t="n"/>
      <c r="H9" s="49" t="n"/>
      <c r="V9" s="91" t="inlineStr">
        <is>
          <t>ESP</t>
        </is>
      </c>
    </row>
    <row r="10">
      <c r="A10" s="45" t="n">
        <v>18080</v>
      </c>
      <c r="B10" s="46">
        <f>VLOOKUP(A10,'Data qoq'!$B:$AT,MATCH($B$1,'Data qoq'!$B$1:$AT$1,0),FALSE)</f>
        <v/>
      </c>
      <c r="C10" s="46">
        <f>Table134567891011121314151617343[[#This Row],[USA]]-B9</f>
        <v/>
      </c>
      <c r="D10" s="57">
        <f>(Table134567891011121314151617343[[#This Row],[USA]]/100 +1)^4-1</f>
        <v/>
      </c>
      <c r="E10" s="49" t="n"/>
      <c r="F10" s="49" t="n"/>
      <c r="G10" s="49" t="n"/>
      <c r="H10" s="49" t="n"/>
      <c r="V10" s="91" t="inlineStr">
        <is>
          <t>EST</t>
        </is>
      </c>
    </row>
    <row r="11">
      <c r="A11" s="45" t="n">
        <v>18172</v>
      </c>
      <c r="B11" s="46">
        <f>VLOOKUP(A11,'Data qoq'!$B:$AT,MATCH($B$1,'Data qoq'!$B$1:$AT$1,0),FALSE)</f>
        <v/>
      </c>
      <c r="C11" s="46">
        <f>Table134567891011121314151617343[[#This Row],[USA]]-B10</f>
        <v/>
      </c>
      <c r="D11" s="57">
        <f>(Table134567891011121314151617343[[#This Row],[USA]]/100 +1)^4-1</f>
        <v/>
      </c>
      <c r="E11" s="49" t="n"/>
      <c r="F11" s="49" t="n"/>
      <c r="G11" s="49" t="n"/>
      <c r="H11" s="49" t="n"/>
      <c r="V11" s="91" t="inlineStr">
        <is>
          <t>FIN</t>
        </is>
      </c>
    </row>
    <row r="12">
      <c r="A12" s="45" t="n">
        <v>18264</v>
      </c>
      <c r="B12" s="46">
        <f>VLOOKUP(A12,'Data qoq'!$B:$AT,MATCH($B$1,'Data qoq'!$B$1:$AT$1,0),FALSE)</f>
        <v/>
      </c>
      <c r="C12" s="46">
        <f>Table134567891011121314151617343[[#This Row],[USA]]-B11</f>
        <v/>
      </c>
      <c r="D12" s="58">
        <f>(Table134567891011121314151617343[[#This Row],[USA]]/100 +1)^4-1</f>
        <v/>
      </c>
      <c r="V12" s="91" t="inlineStr">
        <is>
          <t>FRA</t>
        </is>
      </c>
    </row>
    <row r="13">
      <c r="A13" s="45" t="n">
        <v>18354</v>
      </c>
      <c r="B13" s="46">
        <f>VLOOKUP(A13,'Data qoq'!$B:$AT,MATCH($B$1,'Data qoq'!$B$1:$AT$1,0),FALSE)</f>
        <v/>
      </c>
      <c r="C13" s="46">
        <f>Table134567891011121314151617343[[#This Row],[USA]]-B12</f>
        <v/>
      </c>
      <c r="D13" s="58">
        <f>(Table134567891011121314151617343[[#This Row],[USA]]/100 +1)^4-1</f>
        <v/>
      </c>
      <c r="V13" s="91" t="inlineStr">
        <is>
          <t>GBR</t>
        </is>
      </c>
    </row>
    <row r="14">
      <c r="A14" s="45" t="n">
        <v>18445</v>
      </c>
      <c r="B14" s="46">
        <f>VLOOKUP(A14,'Data qoq'!$B:$AT,MATCH($B$1,'Data qoq'!$B$1:$AT$1,0),FALSE)</f>
        <v/>
      </c>
      <c r="C14" s="46">
        <f>Table134567891011121314151617343[[#This Row],[USA]]-B13</f>
        <v/>
      </c>
      <c r="D14" s="58">
        <f>(Table134567891011121314151617343[[#This Row],[USA]]/100 +1)^4-1</f>
        <v/>
      </c>
      <c r="V14" s="91" t="inlineStr">
        <is>
          <t>GRC</t>
        </is>
      </c>
    </row>
    <row r="15">
      <c r="A15" s="45" t="n">
        <v>18537</v>
      </c>
      <c r="B15" s="46">
        <f>VLOOKUP(A15,'Data qoq'!$B:$AT,MATCH($B$1,'Data qoq'!$B$1:$AT$1,0),FALSE)</f>
        <v/>
      </c>
      <c r="C15" s="46">
        <f>Table134567891011121314151617343[[#This Row],[USA]]-B14</f>
        <v/>
      </c>
      <c r="D15" s="58">
        <f>(Table134567891011121314151617343[[#This Row],[USA]]/100 +1)^4-1</f>
        <v/>
      </c>
      <c r="V15" s="91" t="inlineStr">
        <is>
          <t>HUN</t>
        </is>
      </c>
    </row>
    <row r="16">
      <c r="A16" s="45" t="n">
        <v>18629</v>
      </c>
      <c r="B16" s="46">
        <f>VLOOKUP(A16,'Data qoq'!$B:$AT,MATCH($B$1,'Data qoq'!$B$1:$AT$1,0),FALSE)</f>
        <v/>
      </c>
      <c r="C16" s="46">
        <f>Table134567891011121314151617343[[#This Row],[USA]]-B15</f>
        <v/>
      </c>
      <c r="D16" s="58">
        <f>(Table134567891011121314151617343[[#This Row],[USA]]/100 +1)^4-1</f>
        <v/>
      </c>
      <c r="V16" s="91" t="inlineStr">
        <is>
          <t>IRL</t>
        </is>
      </c>
    </row>
    <row r="17">
      <c r="A17" s="45" t="n">
        <v>18719</v>
      </c>
      <c r="B17" s="46">
        <f>VLOOKUP(A17,'Data qoq'!$B:$AT,MATCH($B$1,'Data qoq'!$B$1:$AT$1,0),FALSE)</f>
        <v/>
      </c>
      <c r="C17" s="46">
        <f>Table134567891011121314151617343[[#This Row],[USA]]-B16</f>
        <v/>
      </c>
      <c r="D17" s="58">
        <f>(Table134567891011121314151617343[[#This Row],[USA]]/100 +1)^4-1</f>
        <v/>
      </c>
      <c r="V17" s="91" t="inlineStr">
        <is>
          <t>ISL</t>
        </is>
      </c>
    </row>
    <row r="18">
      <c r="A18" s="45" t="n">
        <v>18810</v>
      </c>
      <c r="B18" s="46">
        <f>VLOOKUP(A18,'Data qoq'!$B:$AT,MATCH($B$1,'Data qoq'!$B$1:$AT$1,0),FALSE)</f>
        <v/>
      </c>
      <c r="C18" s="46">
        <f>Table134567891011121314151617343[[#This Row],[USA]]-B17</f>
        <v/>
      </c>
      <c r="D18" s="58">
        <f>(Table134567891011121314151617343[[#This Row],[USA]]/100 +1)^4-1</f>
        <v/>
      </c>
      <c r="V18" s="91" t="inlineStr">
        <is>
          <t>ISR</t>
        </is>
      </c>
    </row>
    <row r="19">
      <c r="A19" s="45" t="n">
        <v>18902</v>
      </c>
      <c r="B19" s="46">
        <f>VLOOKUP(A19,'Data qoq'!$B:$AT,MATCH($B$1,'Data qoq'!$B$1:$AT$1,0),FALSE)</f>
        <v/>
      </c>
      <c r="C19" s="46">
        <f>Table134567891011121314151617343[[#This Row],[USA]]-B18</f>
        <v/>
      </c>
      <c r="D19" s="58">
        <f>(Table134567891011121314151617343[[#This Row],[USA]]/100 +1)^4-1</f>
        <v/>
      </c>
      <c r="V19" s="91" t="inlineStr">
        <is>
          <t>ITA</t>
        </is>
      </c>
    </row>
    <row r="20">
      <c r="A20" s="45" t="n">
        <v>18994</v>
      </c>
      <c r="B20" s="46">
        <f>VLOOKUP(A20,'Data qoq'!$B:$AT,MATCH($B$1,'Data qoq'!$B$1:$AT$1,0),FALSE)</f>
        <v/>
      </c>
      <c r="C20" s="46">
        <f>Table134567891011121314151617343[[#This Row],[USA]]-B19</f>
        <v/>
      </c>
      <c r="D20" s="58">
        <f>(Table134567891011121314151617343[[#This Row],[USA]]/100 +1)^4-1</f>
        <v/>
      </c>
      <c r="V20" s="91" t="inlineStr">
        <is>
          <t>JPN</t>
        </is>
      </c>
    </row>
    <row r="21">
      <c r="A21" s="45" t="n">
        <v>19085</v>
      </c>
      <c r="B21" s="46">
        <f>VLOOKUP(A21,'Data qoq'!$B:$AT,MATCH($B$1,'Data qoq'!$B$1:$AT$1,0),FALSE)</f>
        <v/>
      </c>
      <c r="C21" s="46">
        <f>Table134567891011121314151617343[[#This Row],[USA]]-B20</f>
        <v/>
      </c>
      <c r="D21" s="58">
        <f>(Table134567891011121314151617343[[#This Row],[USA]]/100 +1)^4-1</f>
        <v/>
      </c>
      <c r="V21" s="91" t="inlineStr">
        <is>
          <t>KOR</t>
        </is>
      </c>
    </row>
    <row r="22">
      <c r="A22" s="45" t="n">
        <v>19176</v>
      </c>
      <c r="B22" s="46">
        <f>VLOOKUP(A22,'Data qoq'!$B:$AT,MATCH($B$1,'Data qoq'!$B$1:$AT$1,0),FALSE)</f>
        <v/>
      </c>
      <c r="C22" s="46">
        <f>Table134567891011121314151617343[[#This Row],[USA]]-B21</f>
        <v/>
      </c>
      <c r="D22" s="58">
        <f>(Table134567891011121314151617343[[#This Row],[USA]]/100 +1)^4-1</f>
        <v/>
      </c>
      <c r="V22" s="91" t="inlineStr">
        <is>
          <t>LUX</t>
        </is>
      </c>
    </row>
    <row r="23">
      <c r="A23" s="45" t="n">
        <v>19268</v>
      </c>
      <c r="B23" s="46">
        <f>VLOOKUP(A23,'Data qoq'!$B:$AT,MATCH($B$1,'Data qoq'!$B$1:$AT$1,0),FALSE)</f>
        <v/>
      </c>
      <c r="C23" s="46">
        <f>Table134567891011121314151617343[[#This Row],[USA]]-B22</f>
        <v/>
      </c>
      <c r="D23" s="58">
        <f>(Table134567891011121314151617343[[#This Row],[USA]]/100 +1)^4-1</f>
        <v/>
      </c>
      <c r="V23" s="91" t="inlineStr">
        <is>
          <t>LVA</t>
        </is>
      </c>
    </row>
    <row r="24">
      <c r="A24" s="45" t="n">
        <v>19360</v>
      </c>
      <c r="B24" s="46">
        <f>VLOOKUP(A24,'Data qoq'!$B:$AT,MATCH($B$1,'Data qoq'!$B$1:$AT$1,0),FALSE)</f>
        <v/>
      </c>
      <c r="C24" s="46">
        <f>Table134567891011121314151617343[[#This Row],[USA]]-B23</f>
        <v/>
      </c>
      <c r="D24" s="58">
        <f>(Table134567891011121314151617343[[#This Row],[USA]]/100 +1)^4-1</f>
        <v/>
      </c>
      <c r="V24" s="91" t="inlineStr">
        <is>
          <t>MEX</t>
        </is>
      </c>
    </row>
    <row r="25">
      <c r="A25" s="45" t="n">
        <v>19450</v>
      </c>
      <c r="B25" s="46">
        <f>VLOOKUP(A25,'Data qoq'!$B:$AT,MATCH($B$1,'Data qoq'!$B$1:$AT$1,0),FALSE)</f>
        <v/>
      </c>
      <c r="C25" s="46">
        <f>Table134567891011121314151617343[[#This Row],[USA]]-B24</f>
        <v/>
      </c>
      <c r="D25" s="58">
        <f>(Table134567891011121314151617343[[#This Row],[USA]]/100 +1)^4-1</f>
        <v/>
      </c>
      <c r="V25" s="91" t="inlineStr">
        <is>
          <t>NLD</t>
        </is>
      </c>
    </row>
    <row r="26">
      <c r="A26" s="45" t="n">
        <v>19541</v>
      </c>
      <c r="B26" s="46">
        <f>VLOOKUP(A26,'Data qoq'!$B:$AT,MATCH($B$1,'Data qoq'!$B$1:$AT$1,0),FALSE)</f>
        <v/>
      </c>
      <c r="C26" s="46">
        <f>Table134567891011121314151617343[[#This Row],[USA]]-B25</f>
        <v/>
      </c>
      <c r="D26" s="58">
        <f>(Table134567891011121314151617343[[#This Row],[USA]]/100 +1)^4-1</f>
        <v/>
      </c>
      <c r="V26" s="91" t="inlineStr">
        <is>
          <t>NOR</t>
        </is>
      </c>
    </row>
    <row r="27">
      <c r="A27" s="45" t="n">
        <v>19633</v>
      </c>
      <c r="B27" s="46">
        <f>VLOOKUP(A27,'Data qoq'!$B:$AT,MATCH($B$1,'Data qoq'!$B$1:$AT$1,0),FALSE)</f>
        <v/>
      </c>
      <c r="C27" s="46">
        <f>Table134567891011121314151617343[[#This Row],[USA]]-B26</f>
        <v/>
      </c>
      <c r="D27" s="58">
        <f>(Table134567891011121314151617343[[#This Row],[USA]]/100 +1)^4-1</f>
        <v/>
      </c>
      <c r="V27" s="91" t="inlineStr">
        <is>
          <t>OECD</t>
        </is>
      </c>
    </row>
    <row r="28">
      <c r="A28" s="45" t="n">
        <v>19725</v>
      </c>
      <c r="B28" s="46">
        <f>VLOOKUP(A28,'Data qoq'!$B:$AT,MATCH($B$1,'Data qoq'!$B$1:$AT$1,0),FALSE)</f>
        <v/>
      </c>
      <c r="C28" s="46">
        <f>Table134567891011121314151617343[[#This Row],[USA]]-B27</f>
        <v/>
      </c>
      <c r="D28" s="58">
        <f>(Table134567891011121314151617343[[#This Row],[USA]]/100 +1)^4-1</f>
        <v/>
      </c>
      <c r="V28" s="91" t="inlineStr">
        <is>
          <t>POL</t>
        </is>
      </c>
    </row>
    <row r="29">
      <c r="A29" s="45" t="n">
        <v>19815</v>
      </c>
      <c r="B29" s="46">
        <f>VLOOKUP(A29,'Data qoq'!$B:$AT,MATCH($B$1,'Data qoq'!$B$1:$AT$1,0),FALSE)</f>
        <v/>
      </c>
      <c r="C29" s="46">
        <f>Table134567891011121314151617343[[#This Row],[USA]]-B28</f>
        <v/>
      </c>
      <c r="D29" s="58">
        <f>(Table134567891011121314151617343[[#This Row],[USA]]/100 +1)^4-1</f>
        <v/>
      </c>
      <c r="V29" s="91" t="inlineStr">
        <is>
          <t>PRT</t>
        </is>
      </c>
    </row>
    <row r="30">
      <c r="A30" s="45" t="n">
        <v>19906</v>
      </c>
      <c r="B30" s="46">
        <f>VLOOKUP(A30,'Data qoq'!$B:$AT,MATCH($B$1,'Data qoq'!$B$1:$AT$1,0),FALSE)</f>
        <v/>
      </c>
      <c r="C30" s="46">
        <f>Table134567891011121314151617343[[#This Row],[USA]]-B29</f>
        <v/>
      </c>
      <c r="D30" s="58">
        <f>(Table134567891011121314151617343[[#This Row],[USA]]/100 +1)^4-1</f>
        <v/>
      </c>
      <c r="V30" s="91" t="inlineStr">
        <is>
          <t>SVK</t>
        </is>
      </c>
    </row>
    <row r="31">
      <c r="A31" s="45" t="n">
        <v>19998</v>
      </c>
      <c r="B31" s="46">
        <f>VLOOKUP(A31,'Data qoq'!$B:$AT,MATCH($B$1,'Data qoq'!$B$1:$AT$1,0),FALSE)</f>
        <v/>
      </c>
      <c r="C31" s="46">
        <f>Table134567891011121314151617343[[#This Row],[USA]]-B30</f>
        <v/>
      </c>
      <c r="D31" s="58">
        <f>(Table134567891011121314151617343[[#This Row],[USA]]/100 +1)^4-1</f>
        <v/>
      </c>
      <c r="V31" s="91" t="inlineStr">
        <is>
          <t>SVN</t>
        </is>
      </c>
    </row>
    <row r="32">
      <c r="A32" s="45" t="n">
        <v>20090</v>
      </c>
      <c r="B32" s="46">
        <f>VLOOKUP(A32,'Data qoq'!$B:$AT,MATCH($B$1,'Data qoq'!$B$1:$AT$1,0),FALSE)</f>
        <v/>
      </c>
      <c r="C32" s="46">
        <f>Table134567891011121314151617343[[#This Row],[USA]]-B31</f>
        <v/>
      </c>
      <c r="D32" s="58">
        <f>(Table134567891011121314151617343[[#This Row],[USA]]/100 +1)^4-1</f>
        <v/>
      </c>
      <c r="V32" s="91" t="inlineStr">
        <is>
          <t>SWE</t>
        </is>
      </c>
    </row>
    <row r="33">
      <c r="A33" s="45" t="n">
        <v>20180</v>
      </c>
      <c r="B33" s="46">
        <f>VLOOKUP(A33,'Data qoq'!$B:$AT,MATCH($B$1,'Data qoq'!$B$1:$AT$1,0),FALSE)</f>
        <v/>
      </c>
      <c r="C33" s="46">
        <f>Table134567891011121314151617343[[#This Row],[USA]]-B32</f>
        <v/>
      </c>
      <c r="D33" s="58">
        <f>(Table134567891011121314151617343[[#This Row],[USA]]/100 +1)^4-1</f>
        <v/>
      </c>
      <c r="V33" s="91" t="inlineStr">
        <is>
          <t>TUR</t>
        </is>
      </c>
    </row>
    <row r="34">
      <c r="A34" s="45" t="n">
        <v>20271</v>
      </c>
      <c r="B34" s="46">
        <f>VLOOKUP(A34,'Data qoq'!$B:$AT,MATCH($B$1,'Data qoq'!$B$1:$AT$1,0),FALSE)</f>
        <v/>
      </c>
      <c r="C34" s="46">
        <f>Table134567891011121314151617343[[#This Row],[USA]]-B33</f>
        <v/>
      </c>
      <c r="D34" s="58">
        <f>(Table134567891011121314151617343[[#This Row],[USA]]/100 +1)^4-1</f>
        <v/>
      </c>
      <c r="V34" s="91" t="inlineStr">
        <is>
          <t>USA</t>
        </is>
      </c>
    </row>
    <row r="35">
      <c r="A35" s="45" t="n">
        <v>20363</v>
      </c>
      <c r="B35" s="46">
        <f>VLOOKUP(A35,'Data qoq'!$B:$AT,MATCH($B$1,'Data qoq'!$B$1:$AT$1,0),FALSE)</f>
        <v/>
      </c>
      <c r="C35" s="46">
        <f>Table134567891011121314151617343[[#This Row],[USA]]-B34</f>
        <v/>
      </c>
      <c r="D35" s="58">
        <f>(Table134567891011121314151617343[[#This Row],[USA]]/100 +1)^4-1</f>
        <v/>
      </c>
      <c r="V35" s="91" t="inlineStr">
        <is>
          <t>EA19</t>
        </is>
      </c>
    </row>
    <row r="36">
      <c r="A36" s="45" t="n">
        <v>20455</v>
      </c>
      <c r="B36" s="46">
        <f>VLOOKUP(A36,'Data qoq'!$B:$AT,MATCH($B$1,'Data qoq'!$B$1:$AT$1,0),FALSE)</f>
        <v/>
      </c>
      <c r="C36" s="46">
        <f>Table134567891011121314151617343[[#This Row],[USA]]-B35</f>
        <v/>
      </c>
      <c r="D36" s="58">
        <f>(Table134567891011121314151617343[[#This Row],[USA]]/100 +1)^4-1</f>
        <v/>
      </c>
      <c r="V36" s="91" t="inlineStr">
        <is>
          <t>EU27_2020</t>
        </is>
      </c>
    </row>
    <row r="37">
      <c r="A37" s="45" t="n">
        <v>20546</v>
      </c>
      <c r="B37" s="46">
        <f>VLOOKUP(A37,'Data qoq'!$B:$AT,MATCH($B$1,'Data qoq'!$B$1:$AT$1,0),FALSE)</f>
        <v/>
      </c>
      <c r="C37" s="46">
        <f>Table134567891011121314151617343[[#This Row],[USA]]-B36</f>
        <v/>
      </c>
      <c r="D37" s="58">
        <f>(Table134567891011121314151617343[[#This Row],[USA]]/100 +1)^4-1</f>
        <v/>
      </c>
      <c r="V37" s="91" t="inlineStr">
        <is>
          <t>G-7</t>
        </is>
      </c>
    </row>
    <row r="38">
      <c r="A38" s="45" t="n">
        <v>20637</v>
      </c>
      <c r="B38" s="46">
        <f>VLOOKUP(A38,'Data qoq'!$B:$AT,MATCH($B$1,'Data qoq'!$B$1:$AT$1,0),FALSE)</f>
        <v/>
      </c>
      <c r="C38" s="46">
        <f>Table134567891011121314151617343[[#This Row],[USA]]-B37</f>
        <v/>
      </c>
      <c r="D38" s="58">
        <f>(Table134567891011121314151617343[[#This Row],[USA]]/100 +1)^4-1</f>
        <v/>
      </c>
      <c r="V38" s="91" t="inlineStr">
        <is>
          <t>CHE</t>
        </is>
      </c>
    </row>
    <row r="39">
      <c r="A39" s="45" t="n">
        <v>20729</v>
      </c>
      <c r="B39" s="46">
        <f>VLOOKUP(A39,'Data qoq'!$B:$AT,MATCH($B$1,'Data qoq'!$B$1:$AT$1,0),FALSE)</f>
        <v/>
      </c>
      <c r="C39" s="46">
        <f>Table134567891011121314151617343[[#This Row],[USA]]-B38</f>
        <v/>
      </c>
      <c r="D39" s="58">
        <f>(Table134567891011121314151617343[[#This Row],[USA]]/100 +1)^4-1</f>
        <v/>
      </c>
      <c r="V39" s="91" t="inlineStr">
        <is>
          <t>IND</t>
        </is>
      </c>
    </row>
    <row r="40">
      <c r="A40" s="45" t="n">
        <v>20821</v>
      </c>
      <c r="B40" s="46">
        <f>VLOOKUP(A40,'Data qoq'!$B:$AT,MATCH($B$1,'Data qoq'!$B$1:$AT$1,0),FALSE)</f>
        <v/>
      </c>
      <c r="C40" s="46">
        <f>Table134567891011121314151617343[[#This Row],[USA]]-B39</f>
        <v/>
      </c>
      <c r="D40" s="58">
        <f>(Table134567891011121314151617343[[#This Row],[USA]]/100 +1)^4-1</f>
        <v/>
      </c>
      <c r="V40" s="91" t="inlineStr">
        <is>
          <t>ZAF</t>
        </is>
      </c>
    </row>
    <row r="41">
      <c r="A41" s="45" t="n">
        <v>20911</v>
      </c>
      <c r="B41" s="46">
        <f>VLOOKUP(A41,'Data qoq'!$B:$AT,MATCH($B$1,'Data qoq'!$B$1:$AT$1,0),FALSE)</f>
        <v/>
      </c>
      <c r="C41" s="46">
        <f>Table134567891011121314151617343[[#This Row],[USA]]-B40</f>
        <v/>
      </c>
      <c r="D41" s="58">
        <f>(Table134567891011121314151617343[[#This Row],[USA]]/100 +1)^4-1</f>
        <v/>
      </c>
      <c r="V41" s="91" t="inlineStr">
        <is>
          <t>RUS</t>
        </is>
      </c>
    </row>
    <row r="42">
      <c r="A42" s="45" t="n">
        <v>21002</v>
      </c>
      <c r="B42" s="46">
        <f>VLOOKUP(A42,'Data qoq'!$B:$AT,MATCH($B$1,'Data qoq'!$B$1:$AT$1,0),FALSE)</f>
        <v/>
      </c>
      <c r="C42" s="46">
        <f>Table134567891011121314151617343[[#This Row],[USA]]-B41</f>
        <v/>
      </c>
      <c r="D42" s="58">
        <f>(Table134567891011121314151617343[[#This Row],[USA]]/100 +1)^4-1</f>
        <v/>
      </c>
    </row>
    <row r="43">
      <c r="A43" s="45" t="n">
        <v>21094</v>
      </c>
      <c r="B43" s="46">
        <f>VLOOKUP(A43,'Data qoq'!$B:$AT,MATCH($B$1,'Data qoq'!$B$1:$AT$1,0),FALSE)</f>
        <v/>
      </c>
      <c r="C43" s="46">
        <f>Table134567891011121314151617343[[#This Row],[USA]]-B42</f>
        <v/>
      </c>
      <c r="D43" s="58">
        <f>(Table134567891011121314151617343[[#This Row],[USA]]/100 +1)^4-1</f>
        <v/>
      </c>
    </row>
    <row r="44">
      <c r="A44" s="45" t="n">
        <v>21186</v>
      </c>
      <c r="B44" s="46">
        <f>VLOOKUP(A44,'Data qoq'!$B:$AT,MATCH($B$1,'Data qoq'!$B$1:$AT$1,0),FALSE)</f>
        <v/>
      </c>
      <c r="C44" s="46">
        <f>Table134567891011121314151617343[[#This Row],[USA]]-B43</f>
        <v/>
      </c>
      <c r="D44" s="58">
        <f>(Table134567891011121314151617343[[#This Row],[USA]]/100 +1)^4-1</f>
        <v/>
      </c>
    </row>
    <row r="45">
      <c r="A45" s="45" t="n">
        <v>21276</v>
      </c>
      <c r="B45" s="46">
        <f>VLOOKUP(A45,'Data qoq'!$B:$AT,MATCH($B$1,'Data qoq'!$B$1:$AT$1,0),FALSE)</f>
        <v/>
      </c>
      <c r="C45" s="46">
        <f>Table134567891011121314151617343[[#This Row],[USA]]-B44</f>
        <v/>
      </c>
      <c r="D45" s="58">
        <f>(Table134567891011121314151617343[[#This Row],[USA]]/100 +1)^4-1</f>
        <v/>
      </c>
    </row>
    <row r="46">
      <c r="A46" s="45" t="n">
        <v>21367</v>
      </c>
      <c r="B46" s="46">
        <f>VLOOKUP(A46,'Data qoq'!$B:$AT,MATCH($B$1,'Data qoq'!$B$1:$AT$1,0),FALSE)</f>
        <v/>
      </c>
      <c r="C46" s="46">
        <f>Table134567891011121314151617343[[#This Row],[USA]]-B45</f>
        <v/>
      </c>
      <c r="D46" s="58">
        <f>(Table134567891011121314151617343[[#This Row],[USA]]/100 +1)^4-1</f>
        <v/>
      </c>
    </row>
    <row r="47">
      <c r="A47" s="45" t="n">
        <v>21459</v>
      </c>
      <c r="B47" s="46">
        <f>VLOOKUP(A47,'Data qoq'!$B:$AT,MATCH($B$1,'Data qoq'!$B$1:$AT$1,0),FALSE)</f>
        <v/>
      </c>
      <c r="C47" s="46">
        <f>Table134567891011121314151617343[[#This Row],[USA]]-B46</f>
        <v/>
      </c>
      <c r="D47" s="58">
        <f>(Table134567891011121314151617343[[#This Row],[USA]]/100 +1)^4-1</f>
        <v/>
      </c>
    </row>
    <row r="48">
      <c r="A48" s="45" t="n">
        <v>21551</v>
      </c>
      <c r="B48" s="46">
        <f>VLOOKUP(A48,'Data qoq'!$B:$AT,MATCH($B$1,'Data qoq'!$B$1:$AT$1,0),FALSE)</f>
        <v/>
      </c>
      <c r="C48" s="46">
        <f>Table134567891011121314151617343[[#This Row],[USA]]-B47</f>
        <v/>
      </c>
      <c r="D48" s="58">
        <f>(Table134567891011121314151617343[[#This Row],[USA]]/100 +1)^4-1</f>
        <v/>
      </c>
    </row>
    <row r="49">
      <c r="A49" s="45" t="n">
        <v>21641</v>
      </c>
      <c r="B49" s="46">
        <f>VLOOKUP(A49,'Data qoq'!$B:$AT,MATCH($B$1,'Data qoq'!$B$1:$AT$1,0),FALSE)</f>
        <v/>
      </c>
      <c r="C49" s="46">
        <f>Table134567891011121314151617343[[#This Row],[USA]]-B48</f>
        <v/>
      </c>
      <c r="D49" s="58">
        <f>(Table134567891011121314151617343[[#This Row],[USA]]/100 +1)^4-1</f>
        <v/>
      </c>
    </row>
    <row r="50">
      <c r="A50" s="45" t="n">
        <v>21732</v>
      </c>
      <c r="B50" s="46">
        <f>VLOOKUP(A50,'Data qoq'!$B:$AT,MATCH($B$1,'Data qoq'!$B$1:$AT$1,0),FALSE)</f>
        <v/>
      </c>
      <c r="C50" s="46">
        <f>Table134567891011121314151617343[[#This Row],[USA]]-B49</f>
        <v/>
      </c>
      <c r="D50" s="58">
        <f>(Table134567891011121314151617343[[#This Row],[USA]]/100 +1)^4-1</f>
        <v/>
      </c>
    </row>
    <row r="51">
      <c r="A51" s="45" t="n">
        <v>21824</v>
      </c>
      <c r="B51" s="46">
        <f>VLOOKUP(A51,'Data qoq'!$B:$AT,MATCH($B$1,'Data qoq'!$B$1:$AT$1,0),FALSE)</f>
        <v/>
      </c>
      <c r="C51" s="46">
        <f>Table134567891011121314151617343[[#This Row],[USA]]-B50</f>
        <v/>
      </c>
      <c r="D51" s="58">
        <f>(Table134567891011121314151617343[[#This Row],[USA]]/100 +1)^4-1</f>
        <v/>
      </c>
    </row>
    <row r="52">
      <c r="A52" s="45" t="n">
        <v>21916</v>
      </c>
      <c r="B52" s="46">
        <f>VLOOKUP(A52,'Data qoq'!$B:$AT,MATCH($B$1,'Data qoq'!$B$1:$AT$1,0),FALSE)</f>
        <v/>
      </c>
      <c r="C52" s="46">
        <f>Table134567891011121314151617343[[#This Row],[USA]]-B51</f>
        <v/>
      </c>
      <c r="D52" s="58">
        <f>(Table134567891011121314151617343[[#This Row],[USA]]/100 +1)^4-1</f>
        <v/>
      </c>
    </row>
    <row r="53">
      <c r="A53" s="45" t="n">
        <v>22007</v>
      </c>
      <c r="B53" s="46">
        <f>VLOOKUP(A53,'Data qoq'!$B:$AT,MATCH($B$1,'Data qoq'!$B$1:$AT$1,0),FALSE)</f>
        <v/>
      </c>
      <c r="C53" s="46">
        <f>Table134567891011121314151617343[[#This Row],[USA]]-B52</f>
        <v/>
      </c>
      <c r="D53" s="58">
        <f>(Table134567891011121314151617343[[#This Row],[USA]]/100 +1)^4-1</f>
        <v/>
      </c>
    </row>
    <row r="54">
      <c r="A54" s="45" t="n">
        <v>22098</v>
      </c>
      <c r="B54" s="46">
        <f>VLOOKUP(A54,'Data qoq'!$B:$AT,MATCH($B$1,'Data qoq'!$B$1:$AT$1,0),FALSE)</f>
        <v/>
      </c>
      <c r="C54" s="46">
        <f>Table134567891011121314151617343[[#This Row],[USA]]-B53</f>
        <v/>
      </c>
      <c r="D54" s="58">
        <f>(Table134567891011121314151617343[[#This Row],[USA]]/100 +1)^4-1</f>
        <v/>
      </c>
    </row>
    <row r="55">
      <c r="A55" s="45" t="n">
        <v>22190</v>
      </c>
      <c r="B55" s="46">
        <f>VLOOKUP(A55,'Data qoq'!$B:$AT,MATCH($B$1,'Data qoq'!$B$1:$AT$1,0),FALSE)</f>
        <v/>
      </c>
      <c r="C55" s="46">
        <f>Table134567891011121314151617343[[#This Row],[USA]]-B54</f>
        <v/>
      </c>
      <c r="D55" s="58">
        <f>(Table134567891011121314151617343[[#This Row],[USA]]/100 +1)^4-1</f>
        <v/>
      </c>
    </row>
    <row r="56">
      <c r="A56" s="45" t="n">
        <v>22282</v>
      </c>
      <c r="B56" s="46">
        <f>VLOOKUP(A56,'Data qoq'!$B:$AT,MATCH($B$1,'Data qoq'!$B$1:$AT$1,0),FALSE)</f>
        <v/>
      </c>
      <c r="C56" s="46">
        <f>Table134567891011121314151617343[[#This Row],[USA]]-B55</f>
        <v/>
      </c>
      <c r="D56" s="58">
        <f>(Table134567891011121314151617343[[#This Row],[USA]]/100 +1)^4-1</f>
        <v/>
      </c>
    </row>
    <row r="57">
      <c r="A57" s="45" t="n">
        <v>22372</v>
      </c>
      <c r="B57" s="46">
        <f>VLOOKUP(A57,'Data qoq'!$B:$AT,MATCH($B$1,'Data qoq'!$B$1:$AT$1,0),FALSE)</f>
        <v/>
      </c>
      <c r="C57" s="46">
        <f>Table134567891011121314151617343[[#This Row],[USA]]-B56</f>
        <v/>
      </c>
      <c r="D57" s="58">
        <f>(Table134567891011121314151617343[[#This Row],[USA]]/100 +1)^4-1</f>
        <v/>
      </c>
    </row>
    <row r="58">
      <c r="A58" s="45" t="n">
        <v>22463</v>
      </c>
      <c r="B58" s="46">
        <f>VLOOKUP(A58,'Data qoq'!$B:$AT,MATCH($B$1,'Data qoq'!$B$1:$AT$1,0),FALSE)</f>
        <v/>
      </c>
      <c r="C58" s="46">
        <f>Table134567891011121314151617343[[#This Row],[USA]]-B57</f>
        <v/>
      </c>
      <c r="D58" s="58">
        <f>(Table134567891011121314151617343[[#This Row],[USA]]/100 +1)^4-1</f>
        <v/>
      </c>
    </row>
    <row r="59">
      <c r="A59" s="45" t="n">
        <v>22555</v>
      </c>
      <c r="B59" s="46">
        <f>VLOOKUP(A59,'Data qoq'!$B:$AT,MATCH($B$1,'Data qoq'!$B$1:$AT$1,0),FALSE)</f>
        <v/>
      </c>
      <c r="C59" s="46">
        <f>Table134567891011121314151617343[[#This Row],[USA]]-B58</f>
        <v/>
      </c>
      <c r="D59" s="58">
        <f>(Table134567891011121314151617343[[#This Row],[USA]]/100 +1)^4-1</f>
        <v/>
      </c>
    </row>
    <row r="60">
      <c r="A60" s="45" t="n">
        <v>22647</v>
      </c>
      <c r="B60" s="46">
        <f>VLOOKUP(A60,'Data qoq'!$B:$AT,MATCH($B$1,'Data qoq'!$B$1:$AT$1,0),FALSE)</f>
        <v/>
      </c>
      <c r="C60" s="46">
        <f>Table134567891011121314151617343[[#This Row],[USA]]-B59</f>
        <v/>
      </c>
      <c r="D60" s="58">
        <f>(Table134567891011121314151617343[[#This Row],[USA]]/100 +1)^4-1</f>
        <v/>
      </c>
    </row>
    <row r="61">
      <c r="A61" s="45" t="n">
        <v>22737</v>
      </c>
      <c r="B61" s="46">
        <f>VLOOKUP(A61,'Data qoq'!$B:$AT,MATCH($B$1,'Data qoq'!$B$1:$AT$1,0),FALSE)</f>
        <v/>
      </c>
      <c r="C61" s="46">
        <f>Table134567891011121314151617343[[#This Row],[USA]]-B60</f>
        <v/>
      </c>
      <c r="D61" s="58">
        <f>(Table134567891011121314151617343[[#This Row],[USA]]/100 +1)^4-1</f>
        <v/>
      </c>
    </row>
    <row r="62">
      <c r="A62" s="45" t="n">
        <v>22828</v>
      </c>
      <c r="B62" s="46">
        <f>VLOOKUP(A62,'Data qoq'!$B:$AT,MATCH($B$1,'Data qoq'!$B$1:$AT$1,0),FALSE)</f>
        <v/>
      </c>
      <c r="C62" s="46">
        <f>Table134567891011121314151617343[[#This Row],[USA]]-B61</f>
        <v/>
      </c>
      <c r="D62" s="58">
        <f>(Table134567891011121314151617343[[#This Row],[USA]]/100 +1)^4-1</f>
        <v/>
      </c>
    </row>
    <row r="63">
      <c r="A63" s="45" t="n">
        <v>22920</v>
      </c>
      <c r="B63" s="46">
        <f>VLOOKUP(A63,'Data qoq'!$B:$AT,MATCH($B$1,'Data qoq'!$B$1:$AT$1,0),FALSE)</f>
        <v/>
      </c>
      <c r="C63" s="46">
        <f>Table134567891011121314151617343[[#This Row],[USA]]-B62</f>
        <v/>
      </c>
      <c r="D63" s="58">
        <f>(Table134567891011121314151617343[[#This Row],[USA]]/100 +1)^4-1</f>
        <v/>
      </c>
    </row>
    <row r="64">
      <c r="A64" s="45" t="n">
        <v>23012</v>
      </c>
      <c r="B64" s="46">
        <f>VLOOKUP(A64,'Data qoq'!$B:$AT,MATCH($B$1,'Data qoq'!$B$1:$AT$1,0),FALSE)</f>
        <v/>
      </c>
      <c r="C64" s="46">
        <f>Table134567891011121314151617343[[#This Row],[USA]]-B63</f>
        <v/>
      </c>
      <c r="D64" s="58">
        <f>(Table134567891011121314151617343[[#This Row],[USA]]/100 +1)^4-1</f>
        <v/>
      </c>
    </row>
    <row r="65">
      <c r="A65" s="45" t="n">
        <v>23102</v>
      </c>
      <c r="B65" s="46">
        <f>VLOOKUP(A65,'Data qoq'!$B:$AT,MATCH($B$1,'Data qoq'!$B$1:$AT$1,0),FALSE)</f>
        <v/>
      </c>
      <c r="C65" s="46">
        <f>Table134567891011121314151617343[[#This Row],[USA]]-B64</f>
        <v/>
      </c>
      <c r="D65" s="58">
        <f>(Table134567891011121314151617343[[#This Row],[USA]]/100 +1)^4-1</f>
        <v/>
      </c>
    </row>
    <row r="66">
      <c r="A66" s="45" t="n">
        <v>23193</v>
      </c>
      <c r="B66" s="46">
        <f>VLOOKUP(A66,'Data qoq'!$B:$AT,MATCH($B$1,'Data qoq'!$B$1:$AT$1,0),FALSE)</f>
        <v/>
      </c>
      <c r="C66" s="46">
        <f>Table134567891011121314151617343[[#This Row],[USA]]-B65</f>
        <v/>
      </c>
      <c r="D66" s="58">
        <f>(Table134567891011121314151617343[[#This Row],[USA]]/100 +1)^4-1</f>
        <v/>
      </c>
    </row>
    <row r="67">
      <c r="A67" s="45" t="n">
        <v>23285</v>
      </c>
      <c r="B67" s="46">
        <f>VLOOKUP(A67,'Data qoq'!$B:$AT,MATCH($B$1,'Data qoq'!$B$1:$AT$1,0),FALSE)</f>
        <v/>
      </c>
      <c r="C67" s="46">
        <f>Table134567891011121314151617343[[#This Row],[USA]]-B66</f>
        <v/>
      </c>
      <c r="D67" s="58">
        <f>(Table134567891011121314151617343[[#This Row],[USA]]/100 +1)^4-1</f>
        <v/>
      </c>
    </row>
    <row r="68">
      <c r="A68" s="45" t="n">
        <v>23377</v>
      </c>
      <c r="B68" s="46">
        <f>VLOOKUP(A68,'Data qoq'!$B:$AT,MATCH($B$1,'Data qoq'!$B$1:$AT$1,0),FALSE)</f>
        <v/>
      </c>
      <c r="C68" s="46">
        <f>Table134567891011121314151617343[[#This Row],[USA]]-B67</f>
        <v/>
      </c>
      <c r="D68" s="58">
        <f>(Table134567891011121314151617343[[#This Row],[USA]]/100 +1)^4-1</f>
        <v/>
      </c>
    </row>
    <row r="69">
      <c r="A69" s="45" t="n">
        <v>23468</v>
      </c>
      <c r="B69" s="46">
        <f>VLOOKUP(A69,'Data qoq'!$B:$AT,MATCH($B$1,'Data qoq'!$B$1:$AT$1,0),FALSE)</f>
        <v/>
      </c>
      <c r="C69" s="46">
        <f>Table134567891011121314151617343[[#This Row],[USA]]-B68</f>
        <v/>
      </c>
      <c r="D69" s="58">
        <f>(Table134567891011121314151617343[[#This Row],[USA]]/100 +1)^4-1</f>
        <v/>
      </c>
    </row>
    <row r="70">
      <c r="A70" s="45" t="n">
        <v>23559</v>
      </c>
      <c r="B70" s="46">
        <f>VLOOKUP(A70,'Data qoq'!$B:$AT,MATCH($B$1,'Data qoq'!$B$1:$AT$1,0),FALSE)</f>
        <v/>
      </c>
      <c r="C70" s="46">
        <f>Table134567891011121314151617343[[#This Row],[USA]]-B69</f>
        <v/>
      </c>
      <c r="D70" s="58">
        <f>(Table134567891011121314151617343[[#This Row],[USA]]/100 +1)^4-1</f>
        <v/>
      </c>
    </row>
    <row r="71">
      <c r="A71" s="45" t="n">
        <v>23651</v>
      </c>
      <c r="B71" s="46">
        <f>VLOOKUP(A71,'Data qoq'!$B:$AT,MATCH($B$1,'Data qoq'!$B$1:$AT$1,0),FALSE)</f>
        <v/>
      </c>
      <c r="C71" s="46">
        <f>Table134567891011121314151617343[[#This Row],[USA]]-B70</f>
        <v/>
      </c>
      <c r="D71" s="58">
        <f>(Table134567891011121314151617343[[#This Row],[USA]]/100 +1)^4-1</f>
        <v/>
      </c>
    </row>
    <row r="72">
      <c r="A72" s="45" t="n">
        <v>23743</v>
      </c>
      <c r="B72" s="46">
        <f>VLOOKUP(A72,'Data qoq'!$B:$AT,MATCH($B$1,'Data qoq'!$B$1:$AT$1,0),FALSE)</f>
        <v/>
      </c>
      <c r="C72" s="46">
        <f>Table134567891011121314151617343[[#This Row],[USA]]-B71</f>
        <v/>
      </c>
      <c r="D72" s="58">
        <f>(Table134567891011121314151617343[[#This Row],[USA]]/100 +1)^4-1</f>
        <v/>
      </c>
    </row>
    <row r="73">
      <c r="A73" s="45" t="n">
        <v>23833</v>
      </c>
      <c r="B73" s="46">
        <f>VLOOKUP(A73,'Data qoq'!$B:$AT,MATCH($B$1,'Data qoq'!$B$1:$AT$1,0),FALSE)</f>
        <v/>
      </c>
      <c r="C73" s="46">
        <f>Table134567891011121314151617343[[#This Row],[USA]]-B72</f>
        <v/>
      </c>
      <c r="D73" s="58">
        <f>(Table134567891011121314151617343[[#This Row],[USA]]/100 +1)^4-1</f>
        <v/>
      </c>
    </row>
    <row r="74">
      <c r="A74" s="45" t="n">
        <v>23924</v>
      </c>
      <c r="B74" s="46">
        <f>VLOOKUP(A74,'Data qoq'!$B:$AT,MATCH($B$1,'Data qoq'!$B$1:$AT$1,0),FALSE)</f>
        <v/>
      </c>
      <c r="C74" s="46">
        <f>Table134567891011121314151617343[[#This Row],[USA]]-B73</f>
        <v/>
      </c>
      <c r="D74" s="58">
        <f>(Table134567891011121314151617343[[#This Row],[USA]]/100 +1)^4-1</f>
        <v/>
      </c>
    </row>
    <row r="75">
      <c r="A75" s="45" t="n">
        <v>24016</v>
      </c>
      <c r="B75" s="46">
        <f>VLOOKUP(A75,'Data qoq'!$B:$AT,MATCH($B$1,'Data qoq'!$B$1:$AT$1,0),FALSE)</f>
        <v/>
      </c>
      <c r="C75" s="46">
        <f>Table134567891011121314151617343[[#This Row],[USA]]-B74</f>
        <v/>
      </c>
      <c r="D75" s="58">
        <f>(Table134567891011121314151617343[[#This Row],[USA]]/100 +1)^4-1</f>
        <v/>
      </c>
    </row>
    <row r="76">
      <c r="A76" s="45" t="n">
        <v>24108</v>
      </c>
      <c r="B76" s="46">
        <f>VLOOKUP(A76,'Data qoq'!$B:$AT,MATCH($B$1,'Data qoq'!$B$1:$AT$1,0),FALSE)</f>
        <v/>
      </c>
      <c r="C76" s="46">
        <f>Table134567891011121314151617343[[#This Row],[USA]]-B75</f>
        <v/>
      </c>
      <c r="D76" s="58">
        <f>(Table134567891011121314151617343[[#This Row],[USA]]/100 +1)^4-1</f>
        <v/>
      </c>
    </row>
    <row r="77">
      <c r="A77" s="45" t="n">
        <v>24198</v>
      </c>
      <c r="B77" s="46">
        <f>VLOOKUP(A77,'Data qoq'!$B:$AT,MATCH($B$1,'Data qoq'!$B$1:$AT$1,0),FALSE)</f>
        <v/>
      </c>
      <c r="C77" s="46">
        <f>Table134567891011121314151617343[[#This Row],[USA]]-B76</f>
        <v/>
      </c>
      <c r="D77" s="58">
        <f>(Table134567891011121314151617343[[#This Row],[USA]]/100 +1)^4-1</f>
        <v/>
      </c>
    </row>
    <row r="78">
      <c r="A78" s="45" t="n">
        <v>24289</v>
      </c>
      <c r="B78" s="46">
        <f>VLOOKUP(A78,'Data qoq'!$B:$AT,MATCH($B$1,'Data qoq'!$B$1:$AT$1,0),FALSE)</f>
        <v/>
      </c>
      <c r="C78" s="46">
        <f>Table134567891011121314151617343[[#This Row],[USA]]-B77</f>
        <v/>
      </c>
      <c r="D78" s="58">
        <f>(Table134567891011121314151617343[[#This Row],[USA]]/100 +1)^4-1</f>
        <v/>
      </c>
    </row>
    <row r="79">
      <c r="A79" s="45" t="n">
        <v>24381</v>
      </c>
      <c r="B79" s="46">
        <f>VLOOKUP(A79,'Data qoq'!$B:$AT,MATCH($B$1,'Data qoq'!$B$1:$AT$1,0),FALSE)</f>
        <v/>
      </c>
      <c r="C79" s="46">
        <f>Table134567891011121314151617343[[#This Row],[USA]]-B78</f>
        <v/>
      </c>
      <c r="D79" s="58">
        <f>(Table134567891011121314151617343[[#This Row],[USA]]/100 +1)^4-1</f>
        <v/>
      </c>
    </row>
    <row r="80">
      <c r="A80" s="45" t="n">
        <v>24473</v>
      </c>
      <c r="B80" s="46">
        <f>VLOOKUP(A80,'Data qoq'!$B:$AT,MATCH($B$1,'Data qoq'!$B$1:$AT$1,0),FALSE)</f>
        <v/>
      </c>
      <c r="C80" s="46">
        <f>Table134567891011121314151617343[[#This Row],[USA]]-B79</f>
        <v/>
      </c>
      <c r="D80" s="58">
        <f>(Table134567891011121314151617343[[#This Row],[USA]]/100 +1)^4-1</f>
        <v/>
      </c>
    </row>
    <row r="81">
      <c r="A81" s="45" t="n">
        <v>24563</v>
      </c>
      <c r="B81" s="46">
        <f>VLOOKUP(A81,'Data qoq'!$B:$AT,MATCH($B$1,'Data qoq'!$B$1:$AT$1,0),FALSE)</f>
        <v/>
      </c>
      <c r="C81" s="46">
        <f>Table134567891011121314151617343[[#This Row],[USA]]-B80</f>
        <v/>
      </c>
      <c r="D81" s="58">
        <f>(Table134567891011121314151617343[[#This Row],[USA]]/100 +1)^4-1</f>
        <v/>
      </c>
    </row>
    <row r="82">
      <c r="A82" s="45" t="n">
        <v>24654</v>
      </c>
      <c r="B82" s="46">
        <f>VLOOKUP(A82,'Data qoq'!$B:$AT,MATCH($B$1,'Data qoq'!$B$1:$AT$1,0),FALSE)</f>
        <v/>
      </c>
      <c r="C82" s="46">
        <f>Table134567891011121314151617343[[#This Row],[USA]]-B81</f>
        <v/>
      </c>
      <c r="D82" s="58">
        <f>(Table134567891011121314151617343[[#This Row],[USA]]/100 +1)^4-1</f>
        <v/>
      </c>
    </row>
    <row r="83">
      <c r="A83" s="45" t="n">
        <v>24746</v>
      </c>
      <c r="B83" s="46">
        <f>VLOOKUP(A83,'Data qoq'!$B:$AT,MATCH($B$1,'Data qoq'!$B$1:$AT$1,0),FALSE)</f>
        <v/>
      </c>
      <c r="C83" s="46">
        <f>Table134567891011121314151617343[[#This Row],[USA]]-B82</f>
        <v/>
      </c>
      <c r="D83" s="58">
        <f>(Table134567891011121314151617343[[#This Row],[USA]]/100 +1)^4-1</f>
        <v/>
      </c>
    </row>
    <row r="84">
      <c r="A84" s="45" t="n">
        <v>24838</v>
      </c>
      <c r="B84" s="46">
        <f>VLOOKUP(A84,'Data qoq'!$B:$AT,MATCH($B$1,'Data qoq'!$B$1:$AT$1,0),FALSE)</f>
        <v/>
      </c>
      <c r="C84" s="46">
        <f>Table134567891011121314151617343[[#This Row],[USA]]-B83</f>
        <v/>
      </c>
      <c r="D84" s="58">
        <f>(Table134567891011121314151617343[[#This Row],[USA]]/100 +1)^4-1</f>
        <v/>
      </c>
    </row>
    <row r="85">
      <c r="A85" s="45" t="n">
        <v>24929</v>
      </c>
      <c r="B85" s="46">
        <f>VLOOKUP(A85,'Data qoq'!$B:$AT,MATCH($B$1,'Data qoq'!$B$1:$AT$1,0),FALSE)</f>
        <v/>
      </c>
      <c r="C85" s="46">
        <f>Table134567891011121314151617343[[#This Row],[USA]]-B84</f>
        <v/>
      </c>
      <c r="D85" s="58">
        <f>(Table134567891011121314151617343[[#This Row],[USA]]/100 +1)^4-1</f>
        <v/>
      </c>
    </row>
    <row r="86">
      <c r="A86" s="45" t="n">
        <v>25020</v>
      </c>
      <c r="B86" s="46">
        <f>VLOOKUP(A86,'Data qoq'!$B:$AT,MATCH($B$1,'Data qoq'!$B$1:$AT$1,0),FALSE)</f>
        <v/>
      </c>
      <c r="C86" s="46">
        <f>Table134567891011121314151617343[[#This Row],[USA]]-B85</f>
        <v/>
      </c>
      <c r="D86" s="58">
        <f>(Table134567891011121314151617343[[#This Row],[USA]]/100 +1)^4-1</f>
        <v/>
      </c>
    </row>
    <row r="87">
      <c r="A87" s="45" t="n">
        <v>25112</v>
      </c>
      <c r="B87" s="46">
        <f>VLOOKUP(A87,'Data qoq'!$B:$AT,MATCH($B$1,'Data qoq'!$B$1:$AT$1,0),FALSE)</f>
        <v/>
      </c>
      <c r="C87" s="46">
        <f>Table134567891011121314151617343[[#This Row],[USA]]-B86</f>
        <v/>
      </c>
      <c r="D87" s="58">
        <f>(Table134567891011121314151617343[[#This Row],[USA]]/100 +1)^4-1</f>
        <v/>
      </c>
    </row>
    <row r="88">
      <c r="A88" s="45" t="n">
        <v>25204</v>
      </c>
      <c r="B88" s="46">
        <f>VLOOKUP(A88,'Data qoq'!$B:$AT,MATCH($B$1,'Data qoq'!$B$1:$AT$1,0),FALSE)</f>
        <v/>
      </c>
      <c r="C88" s="46">
        <f>Table134567891011121314151617343[[#This Row],[USA]]-B87</f>
        <v/>
      </c>
      <c r="D88" s="58">
        <f>(Table134567891011121314151617343[[#This Row],[USA]]/100 +1)^4-1</f>
        <v/>
      </c>
    </row>
    <row r="89">
      <c r="A89" s="45" t="n">
        <v>25294</v>
      </c>
      <c r="B89" s="46">
        <f>VLOOKUP(A89,'Data qoq'!$B:$AT,MATCH($B$1,'Data qoq'!$B$1:$AT$1,0),FALSE)</f>
        <v/>
      </c>
      <c r="C89" s="46">
        <f>Table134567891011121314151617343[[#This Row],[USA]]-B88</f>
        <v/>
      </c>
      <c r="D89" s="58">
        <f>(Table134567891011121314151617343[[#This Row],[USA]]/100 +1)^4-1</f>
        <v/>
      </c>
    </row>
    <row r="90">
      <c r="A90" s="45" t="n">
        <v>25385</v>
      </c>
      <c r="B90" s="46">
        <f>VLOOKUP(A90,'Data qoq'!$B:$AT,MATCH($B$1,'Data qoq'!$B$1:$AT$1,0),FALSE)</f>
        <v/>
      </c>
      <c r="C90" s="46">
        <f>Table134567891011121314151617343[[#This Row],[USA]]-B89</f>
        <v/>
      </c>
      <c r="D90" s="58">
        <f>(Table134567891011121314151617343[[#This Row],[USA]]/100 +1)^4-1</f>
        <v/>
      </c>
    </row>
    <row r="91">
      <c r="A91" s="45" t="n">
        <v>25477</v>
      </c>
      <c r="B91" s="46">
        <f>VLOOKUP(A91,'Data qoq'!$B:$AT,MATCH($B$1,'Data qoq'!$B$1:$AT$1,0),FALSE)</f>
        <v/>
      </c>
      <c r="C91" s="46">
        <f>Table134567891011121314151617343[[#This Row],[USA]]-B90</f>
        <v/>
      </c>
      <c r="D91" s="58">
        <f>(Table134567891011121314151617343[[#This Row],[USA]]/100 +1)^4-1</f>
        <v/>
      </c>
    </row>
    <row r="92">
      <c r="A92" s="45" t="n">
        <v>25569</v>
      </c>
      <c r="B92" s="46">
        <f>VLOOKUP(A92,'Data qoq'!$B:$AT,MATCH($B$1,'Data qoq'!$B$1:$AT$1,0),FALSE)</f>
        <v/>
      </c>
      <c r="C92" s="46">
        <f>Table134567891011121314151617343[[#This Row],[USA]]-B91</f>
        <v/>
      </c>
      <c r="D92" s="58">
        <f>(Table134567891011121314151617343[[#This Row],[USA]]/100 +1)^4-1</f>
        <v/>
      </c>
    </row>
    <row r="93">
      <c r="A93" s="45" t="n">
        <v>25659</v>
      </c>
      <c r="B93" s="46">
        <f>VLOOKUP(A93,'Data qoq'!$B:$AT,MATCH($B$1,'Data qoq'!$B$1:$AT$1,0),FALSE)</f>
        <v/>
      </c>
      <c r="C93" s="46">
        <f>Table134567891011121314151617343[[#This Row],[USA]]-B92</f>
        <v/>
      </c>
      <c r="D93" s="58">
        <f>(Table134567891011121314151617343[[#This Row],[USA]]/100 +1)^4-1</f>
        <v/>
      </c>
    </row>
    <row r="94">
      <c r="A94" s="45" t="n">
        <v>25750</v>
      </c>
      <c r="B94" s="46">
        <f>VLOOKUP(A94,'Data qoq'!$B:$AT,MATCH($B$1,'Data qoq'!$B$1:$AT$1,0),FALSE)</f>
        <v/>
      </c>
      <c r="C94" s="46">
        <f>Table134567891011121314151617343[[#This Row],[USA]]-B93</f>
        <v/>
      </c>
      <c r="D94" s="58">
        <f>(Table134567891011121314151617343[[#This Row],[USA]]/100 +1)^4-1</f>
        <v/>
      </c>
    </row>
    <row r="95">
      <c r="A95" s="45" t="n">
        <v>25842</v>
      </c>
      <c r="B95" s="46">
        <f>VLOOKUP(A95,'Data qoq'!$B:$AT,MATCH($B$1,'Data qoq'!$B$1:$AT$1,0),FALSE)</f>
        <v/>
      </c>
      <c r="C95" s="46">
        <f>Table134567891011121314151617343[[#This Row],[USA]]-B94</f>
        <v/>
      </c>
      <c r="D95" s="58">
        <f>(Table134567891011121314151617343[[#This Row],[USA]]/100 +1)^4-1</f>
        <v/>
      </c>
    </row>
    <row r="96">
      <c r="A96" s="45" t="n">
        <v>25934</v>
      </c>
      <c r="B96" s="46">
        <f>VLOOKUP(A96,'Data qoq'!$B:$AT,MATCH($B$1,'Data qoq'!$B$1:$AT$1,0),FALSE)</f>
        <v/>
      </c>
      <c r="C96" s="46">
        <f>Table134567891011121314151617343[[#This Row],[USA]]-B95</f>
        <v/>
      </c>
      <c r="D96" s="58">
        <f>(Table134567891011121314151617343[[#This Row],[USA]]/100 +1)^4-1</f>
        <v/>
      </c>
    </row>
    <row r="97">
      <c r="A97" s="45" t="n">
        <v>26024</v>
      </c>
      <c r="B97" s="46">
        <f>VLOOKUP(A97,'Data qoq'!$B:$AT,MATCH($B$1,'Data qoq'!$B$1:$AT$1,0),FALSE)</f>
        <v/>
      </c>
      <c r="C97" s="46">
        <f>Table134567891011121314151617343[[#This Row],[USA]]-B96</f>
        <v/>
      </c>
      <c r="D97" s="58">
        <f>(Table134567891011121314151617343[[#This Row],[USA]]/100 +1)^4-1</f>
        <v/>
      </c>
    </row>
    <row r="98">
      <c r="A98" s="45" t="n">
        <v>26115</v>
      </c>
      <c r="B98" s="46">
        <f>VLOOKUP(A98,'Data qoq'!$B:$AT,MATCH($B$1,'Data qoq'!$B$1:$AT$1,0),FALSE)</f>
        <v/>
      </c>
      <c r="C98" s="46">
        <f>Table134567891011121314151617343[[#This Row],[USA]]-B97</f>
        <v/>
      </c>
      <c r="D98" s="58">
        <f>(Table134567891011121314151617343[[#This Row],[USA]]/100 +1)^4-1</f>
        <v/>
      </c>
    </row>
    <row r="99">
      <c r="A99" s="45" t="n">
        <v>26207</v>
      </c>
      <c r="B99" s="46">
        <f>VLOOKUP(A99,'Data qoq'!$B:$AT,MATCH($B$1,'Data qoq'!$B$1:$AT$1,0),FALSE)</f>
        <v/>
      </c>
      <c r="C99" s="46">
        <f>Table134567891011121314151617343[[#This Row],[USA]]-B98</f>
        <v/>
      </c>
      <c r="D99" s="58">
        <f>(Table134567891011121314151617343[[#This Row],[USA]]/100 +1)^4-1</f>
        <v/>
      </c>
    </row>
    <row r="100">
      <c r="A100" s="45" t="n">
        <v>26299</v>
      </c>
      <c r="B100" s="46">
        <f>VLOOKUP(A100,'Data qoq'!$B:$AT,MATCH($B$1,'Data qoq'!$B$1:$AT$1,0),FALSE)</f>
        <v/>
      </c>
      <c r="C100" s="46">
        <f>Table134567891011121314151617343[[#This Row],[USA]]-B99</f>
        <v/>
      </c>
      <c r="D100" s="58">
        <f>(Table134567891011121314151617343[[#This Row],[USA]]/100 +1)^4-1</f>
        <v/>
      </c>
    </row>
    <row r="101">
      <c r="A101" s="45" t="n">
        <v>26390</v>
      </c>
      <c r="B101" s="46">
        <f>VLOOKUP(A101,'Data qoq'!$B:$AT,MATCH($B$1,'Data qoq'!$B$1:$AT$1,0),FALSE)</f>
        <v/>
      </c>
      <c r="C101" s="46">
        <f>Table134567891011121314151617343[[#This Row],[USA]]-B100</f>
        <v/>
      </c>
      <c r="D101" s="58">
        <f>(Table134567891011121314151617343[[#This Row],[USA]]/100 +1)^4-1</f>
        <v/>
      </c>
    </row>
    <row r="102">
      <c r="A102" s="45" t="n">
        <v>26481</v>
      </c>
      <c r="B102" s="46">
        <f>VLOOKUP(A102,'Data qoq'!$B:$AT,MATCH($B$1,'Data qoq'!$B$1:$AT$1,0),FALSE)</f>
        <v/>
      </c>
      <c r="C102" s="46">
        <f>Table134567891011121314151617343[[#This Row],[USA]]-B101</f>
        <v/>
      </c>
      <c r="D102" s="58">
        <f>(Table134567891011121314151617343[[#This Row],[USA]]/100 +1)^4-1</f>
        <v/>
      </c>
    </row>
    <row r="103">
      <c r="A103" s="45" t="n">
        <v>26573</v>
      </c>
      <c r="B103" s="46">
        <f>VLOOKUP(A103,'Data qoq'!$B:$AT,MATCH($B$1,'Data qoq'!$B$1:$AT$1,0),FALSE)</f>
        <v/>
      </c>
      <c r="C103" s="46">
        <f>Table134567891011121314151617343[[#This Row],[USA]]-B102</f>
        <v/>
      </c>
      <c r="D103" s="58">
        <f>(Table134567891011121314151617343[[#This Row],[USA]]/100 +1)^4-1</f>
        <v/>
      </c>
    </row>
    <row r="104">
      <c r="A104" s="45" t="n">
        <v>26665</v>
      </c>
      <c r="B104" s="46">
        <f>VLOOKUP(A104,'Data qoq'!$B:$AT,MATCH($B$1,'Data qoq'!$B$1:$AT$1,0),FALSE)</f>
        <v/>
      </c>
      <c r="C104" s="46">
        <f>Table134567891011121314151617343[[#This Row],[USA]]-B103</f>
        <v/>
      </c>
      <c r="D104" s="58">
        <f>(Table134567891011121314151617343[[#This Row],[USA]]/100 +1)^4-1</f>
        <v/>
      </c>
    </row>
    <row r="105">
      <c r="A105" s="45" t="n">
        <v>26755</v>
      </c>
      <c r="B105" s="46">
        <f>VLOOKUP(A105,'Data qoq'!$B:$AT,MATCH($B$1,'Data qoq'!$B$1:$AT$1,0),FALSE)</f>
        <v/>
      </c>
      <c r="C105" s="46">
        <f>Table134567891011121314151617343[[#This Row],[USA]]-B104</f>
        <v/>
      </c>
      <c r="D105" s="58">
        <f>(Table134567891011121314151617343[[#This Row],[USA]]/100 +1)^4-1</f>
        <v/>
      </c>
    </row>
    <row r="106">
      <c r="A106" s="45" t="n">
        <v>26846</v>
      </c>
      <c r="B106" s="46">
        <f>VLOOKUP(A106,'Data qoq'!$B:$AT,MATCH($B$1,'Data qoq'!$B$1:$AT$1,0),FALSE)</f>
        <v/>
      </c>
      <c r="C106" s="46">
        <f>Table134567891011121314151617343[[#This Row],[USA]]-B105</f>
        <v/>
      </c>
      <c r="D106" s="58">
        <f>(Table134567891011121314151617343[[#This Row],[USA]]/100 +1)^4-1</f>
        <v/>
      </c>
    </row>
    <row r="107">
      <c r="A107" s="45" t="n">
        <v>26938</v>
      </c>
      <c r="B107" s="46">
        <f>VLOOKUP(A107,'Data qoq'!$B:$AT,MATCH($B$1,'Data qoq'!$B$1:$AT$1,0),FALSE)</f>
        <v/>
      </c>
      <c r="C107" s="46">
        <f>Table134567891011121314151617343[[#This Row],[USA]]-B106</f>
        <v/>
      </c>
      <c r="D107" s="58">
        <f>(Table134567891011121314151617343[[#This Row],[USA]]/100 +1)^4-1</f>
        <v/>
      </c>
    </row>
    <row r="108">
      <c r="A108" s="45" t="n">
        <v>27030</v>
      </c>
      <c r="B108" s="46">
        <f>VLOOKUP(A108,'Data qoq'!$B:$AT,MATCH($B$1,'Data qoq'!$B$1:$AT$1,0),FALSE)</f>
        <v/>
      </c>
      <c r="C108" s="46">
        <f>Table134567891011121314151617343[[#This Row],[USA]]-B107</f>
        <v/>
      </c>
      <c r="D108" s="58">
        <f>(Table134567891011121314151617343[[#This Row],[USA]]/100 +1)^4-1</f>
        <v/>
      </c>
    </row>
    <row r="109">
      <c r="A109" s="45" t="n">
        <v>27120</v>
      </c>
      <c r="B109" s="46">
        <f>VLOOKUP(A109,'Data qoq'!$B:$AT,MATCH($B$1,'Data qoq'!$B$1:$AT$1,0),FALSE)</f>
        <v/>
      </c>
      <c r="C109" s="46">
        <f>Table134567891011121314151617343[[#This Row],[USA]]-B108</f>
        <v/>
      </c>
      <c r="D109" s="58">
        <f>(Table134567891011121314151617343[[#This Row],[USA]]/100 +1)^4-1</f>
        <v/>
      </c>
    </row>
    <row r="110">
      <c r="A110" s="45" t="n">
        <v>27211</v>
      </c>
      <c r="B110" s="46">
        <f>VLOOKUP(A110,'Data qoq'!$B:$AT,MATCH($B$1,'Data qoq'!$B$1:$AT$1,0),FALSE)</f>
        <v/>
      </c>
      <c r="C110" s="46">
        <f>Table134567891011121314151617343[[#This Row],[USA]]-B109</f>
        <v/>
      </c>
      <c r="D110" s="58">
        <f>(Table134567891011121314151617343[[#This Row],[USA]]/100 +1)^4-1</f>
        <v/>
      </c>
    </row>
    <row r="111">
      <c r="A111" s="45" t="n">
        <v>27303</v>
      </c>
      <c r="B111" s="46">
        <f>VLOOKUP(A111,'Data qoq'!$B:$AT,MATCH($B$1,'Data qoq'!$B$1:$AT$1,0),FALSE)</f>
        <v/>
      </c>
      <c r="C111" s="46">
        <f>Table134567891011121314151617343[[#This Row],[USA]]-B110</f>
        <v/>
      </c>
      <c r="D111" s="58">
        <f>(Table134567891011121314151617343[[#This Row],[USA]]/100 +1)^4-1</f>
        <v/>
      </c>
    </row>
    <row r="112">
      <c r="A112" s="45" t="n">
        <v>27395</v>
      </c>
      <c r="B112" s="46">
        <f>VLOOKUP(A112,'Data qoq'!$B:$AT,MATCH($B$1,'Data qoq'!$B$1:$AT$1,0),FALSE)</f>
        <v/>
      </c>
      <c r="C112" s="46">
        <f>Table134567891011121314151617343[[#This Row],[USA]]-B111</f>
        <v/>
      </c>
      <c r="D112" s="58">
        <f>(Table134567891011121314151617343[[#This Row],[USA]]/100 +1)^4-1</f>
        <v/>
      </c>
    </row>
    <row r="113">
      <c r="A113" s="45" t="n">
        <v>27485</v>
      </c>
      <c r="B113" s="46">
        <f>VLOOKUP(A113,'Data qoq'!$B:$AT,MATCH($B$1,'Data qoq'!$B$1:$AT$1,0),FALSE)</f>
        <v/>
      </c>
      <c r="C113" s="46">
        <f>Table134567891011121314151617343[[#This Row],[USA]]-B112</f>
        <v/>
      </c>
      <c r="D113" s="58">
        <f>(Table134567891011121314151617343[[#This Row],[USA]]/100 +1)^4-1</f>
        <v/>
      </c>
    </row>
    <row r="114">
      <c r="A114" s="45" t="n">
        <v>27576</v>
      </c>
      <c r="B114" s="46">
        <f>VLOOKUP(A114,'Data qoq'!$B:$AT,MATCH($B$1,'Data qoq'!$B$1:$AT$1,0),FALSE)</f>
        <v/>
      </c>
      <c r="C114" s="46">
        <f>Table134567891011121314151617343[[#This Row],[USA]]-B113</f>
        <v/>
      </c>
      <c r="D114" s="58">
        <f>(Table134567891011121314151617343[[#This Row],[USA]]/100 +1)^4-1</f>
        <v/>
      </c>
    </row>
    <row r="115">
      <c r="A115" s="45" t="n">
        <v>27668</v>
      </c>
      <c r="B115" s="46">
        <f>VLOOKUP(A115,'Data qoq'!$B:$AT,MATCH($B$1,'Data qoq'!$B$1:$AT$1,0),FALSE)</f>
        <v/>
      </c>
      <c r="C115" s="46">
        <f>Table134567891011121314151617343[[#This Row],[USA]]-B114</f>
        <v/>
      </c>
      <c r="D115" s="58">
        <f>(Table134567891011121314151617343[[#This Row],[USA]]/100 +1)^4-1</f>
        <v/>
      </c>
    </row>
    <row r="116">
      <c r="A116" s="45" t="n">
        <v>27760</v>
      </c>
      <c r="B116" s="46">
        <f>VLOOKUP(A116,'Data qoq'!$B:$AT,MATCH($B$1,'Data qoq'!$B$1:$AT$1,0),FALSE)</f>
        <v/>
      </c>
      <c r="C116" s="46">
        <f>Table134567891011121314151617343[[#This Row],[USA]]-B115</f>
        <v/>
      </c>
      <c r="D116" s="58">
        <f>(Table134567891011121314151617343[[#This Row],[USA]]/100 +1)^4-1</f>
        <v/>
      </c>
    </row>
    <row r="117">
      <c r="A117" s="45" t="n">
        <v>27851</v>
      </c>
      <c r="B117" s="46">
        <f>VLOOKUP(A117,'Data qoq'!$B:$AT,MATCH($B$1,'Data qoq'!$B$1:$AT$1,0),FALSE)</f>
        <v/>
      </c>
      <c r="C117" s="46">
        <f>Table134567891011121314151617343[[#This Row],[USA]]-B116</f>
        <v/>
      </c>
      <c r="D117" s="58">
        <f>(Table134567891011121314151617343[[#This Row],[USA]]/100 +1)^4-1</f>
        <v/>
      </c>
    </row>
    <row r="118">
      <c r="A118" s="45" t="n">
        <v>27942</v>
      </c>
      <c r="B118" s="46">
        <f>VLOOKUP(A118,'Data qoq'!$B:$AT,MATCH($B$1,'Data qoq'!$B$1:$AT$1,0),FALSE)</f>
        <v/>
      </c>
      <c r="C118" s="46">
        <f>Table134567891011121314151617343[[#This Row],[USA]]-B117</f>
        <v/>
      </c>
      <c r="D118" s="58">
        <f>(Table134567891011121314151617343[[#This Row],[USA]]/100 +1)^4-1</f>
        <v/>
      </c>
    </row>
    <row r="119">
      <c r="A119" s="45" t="n">
        <v>28034</v>
      </c>
      <c r="B119" s="46">
        <f>VLOOKUP(A119,'Data qoq'!$B:$AT,MATCH($B$1,'Data qoq'!$B$1:$AT$1,0),FALSE)</f>
        <v/>
      </c>
      <c r="C119" s="46">
        <f>Table134567891011121314151617343[[#This Row],[USA]]-B118</f>
        <v/>
      </c>
      <c r="D119" s="58">
        <f>(Table134567891011121314151617343[[#This Row],[USA]]/100 +1)^4-1</f>
        <v/>
      </c>
    </row>
    <row r="120">
      <c r="A120" s="45" t="n">
        <v>28126</v>
      </c>
      <c r="B120" s="46">
        <f>VLOOKUP(A120,'Data qoq'!$B:$AT,MATCH($B$1,'Data qoq'!$B$1:$AT$1,0),FALSE)</f>
        <v/>
      </c>
      <c r="C120" s="46">
        <f>Table134567891011121314151617343[[#This Row],[USA]]-B119</f>
        <v/>
      </c>
      <c r="D120" s="58">
        <f>(Table134567891011121314151617343[[#This Row],[USA]]/100 +1)^4-1</f>
        <v/>
      </c>
    </row>
    <row r="121">
      <c r="A121" s="45" t="n">
        <v>28216</v>
      </c>
      <c r="B121" s="46">
        <f>VLOOKUP(A121,'Data qoq'!$B:$AT,MATCH($B$1,'Data qoq'!$B$1:$AT$1,0),FALSE)</f>
        <v/>
      </c>
      <c r="C121" s="46">
        <f>Table134567891011121314151617343[[#This Row],[USA]]-B120</f>
        <v/>
      </c>
      <c r="D121" s="58">
        <f>(Table134567891011121314151617343[[#This Row],[USA]]/100 +1)^4-1</f>
        <v/>
      </c>
    </row>
    <row r="122">
      <c r="A122" s="45" t="n">
        <v>28307</v>
      </c>
      <c r="B122" s="46">
        <f>VLOOKUP(A122,'Data qoq'!$B:$AT,MATCH($B$1,'Data qoq'!$B$1:$AT$1,0),FALSE)</f>
        <v/>
      </c>
      <c r="C122" s="46">
        <f>Table134567891011121314151617343[[#This Row],[USA]]-B121</f>
        <v/>
      </c>
      <c r="D122" s="58">
        <f>(Table134567891011121314151617343[[#This Row],[USA]]/100 +1)^4-1</f>
        <v/>
      </c>
    </row>
    <row r="123">
      <c r="A123" s="45" t="n">
        <v>28399</v>
      </c>
      <c r="B123" s="46">
        <f>VLOOKUP(A123,'Data qoq'!$B:$AT,MATCH($B$1,'Data qoq'!$B$1:$AT$1,0),FALSE)</f>
        <v/>
      </c>
      <c r="C123" s="46">
        <f>Table134567891011121314151617343[[#This Row],[USA]]-B122</f>
        <v/>
      </c>
      <c r="D123" s="58">
        <f>(Table134567891011121314151617343[[#This Row],[USA]]/100 +1)^4-1</f>
        <v/>
      </c>
    </row>
    <row r="124">
      <c r="A124" s="45" t="n">
        <v>28491</v>
      </c>
      <c r="B124" s="46">
        <f>VLOOKUP(A124,'Data qoq'!$B:$AT,MATCH($B$1,'Data qoq'!$B$1:$AT$1,0),FALSE)</f>
        <v/>
      </c>
      <c r="C124" s="46">
        <f>Table134567891011121314151617343[[#This Row],[USA]]-B123</f>
        <v/>
      </c>
      <c r="D124" s="58">
        <f>(Table134567891011121314151617343[[#This Row],[USA]]/100 +1)^4-1</f>
        <v/>
      </c>
    </row>
    <row r="125">
      <c r="A125" s="45" t="n">
        <v>28581</v>
      </c>
      <c r="B125" s="46">
        <f>VLOOKUP(A125,'Data qoq'!$B:$AT,MATCH($B$1,'Data qoq'!$B$1:$AT$1,0),FALSE)</f>
        <v/>
      </c>
      <c r="C125" s="46">
        <f>Table134567891011121314151617343[[#This Row],[USA]]-B124</f>
        <v/>
      </c>
      <c r="D125" s="58">
        <f>(Table134567891011121314151617343[[#This Row],[USA]]/100 +1)^4-1</f>
        <v/>
      </c>
    </row>
    <row r="126">
      <c r="A126" s="45" t="n">
        <v>28672</v>
      </c>
      <c r="B126" s="46">
        <f>VLOOKUP(A126,'Data qoq'!$B:$AT,MATCH($B$1,'Data qoq'!$B$1:$AT$1,0),FALSE)</f>
        <v/>
      </c>
      <c r="C126" s="46">
        <f>Table134567891011121314151617343[[#This Row],[USA]]-B125</f>
        <v/>
      </c>
      <c r="D126" s="58">
        <f>(Table134567891011121314151617343[[#This Row],[USA]]/100 +1)^4-1</f>
        <v/>
      </c>
    </row>
    <row r="127">
      <c r="A127" s="45" t="n">
        <v>28764</v>
      </c>
      <c r="B127" s="46">
        <f>VLOOKUP(A127,'Data qoq'!$B:$AT,MATCH($B$1,'Data qoq'!$B$1:$AT$1,0),FALSE)</f>
        <v/>
      </c>
      <c r="C127" s="46">
        <f>Table134567891011121314151617343[[#This Row],[USA]]-B126</f>
        <v/>
      </c>
      <c r="D127" s="58">
        <f>(Table134567891011121314151617343[[#This Row],[USA]]/100 +1)^4-1</f>
        <v/>
      </c>
    </row>
    <row r="128">
      <c r="A128" s="45" t="n">
        <v>28856</v>
      </c>
      <c r="B128" s="46">
        <f>VLOOKUP(A128,'Data qoq'!$B:$AT,MATCH($B$1,'Data qoq'!$B$1:$AT$1,0),FALSE)</f>
        <v/>
      </c>
      <c r="C128" s="46">
        <f>Table134567891011121314151617343[[#This Row],[USA]]-B127</f>
        <v/>
      </c>
      <c r="D128" s="58">
        <f>(Table134567891011121314151617343[[#This Row],[USA]]/100 +1)^4-1</f>
        <v/>
      </c>
    </row>
    <row r="129">
      <c r="A129" s="45" t="n">
        <v>28946</v>
      </c>
      <c r="B129" s="46">
        <f>VLOOKUP(A129,'Data qoq'!$B:$AT,MATCH($B$1,'Data qoq'!$B$1:$AT$1,0),FALSE)</f>
        <v/>
      </c>
      <c r="C129" s="46">
        <f>Table134567891011121314151617343[[#This Row],[USA]]-B128</f>
        <v/>
      </c>
      <c r="D129" s="58">
        <f>(Table134567891011121314151617343[[#This Row],[USA]]/100 +1)^4-1</f>
        <v/>
      </c>
    </row>
    <row r="130">
      <c r="A130" s="45" t="n">
        <v>29037</v>
      </c>
      <c r="B130" s="46">
        <f>VLOOKUP(A130,'Data qoq'!$B:$AT,MATCH($B$1,'Data qoq'!$B$1:$AT$1,0),FALSE)</f>
        <v/>
      </c>
      <c r="C130" s="46">
        <f>Table134567891011121314151617343[[#This Row],[USA]]-B129</f>
        <v/>
      </c>
      <c r="D130" s="58">
        <f>(Table134567891011121314151617343[[#This Row],[USA]]/100 +1)^4-1</f>
        <v/>
      </c>
    </row>
    <row r="131">
      <c r="A131" s="45" t="n">
        <v>29129</v>
      </c>
      <c r="B131" s="46">
        <f>VLOOKUP(A131,'Data qoq'!$B:$AT,MATCH($B$1,'Data qoq'!$B$1:$AT$1,0),FALSE)</f>
        <v/>
      </c>
      <c r="C131" s="46">
        <f>Table134567891011121314151617343[[#This Row],[USA]]-B130</f>
        <v/>
      </c>
      <c r="D131" s="58">
        <f>(Table134567891011121314151617343[[#This Row],[USA]]/100 +1)^4-1</f>
        <v/>
      </c>
    </row>
    <row r="132">
      <c r="A132" s="45" t="n">
        <v>29221</v>
      </c>
      <c r="B132" s="46">
        <f>VLOOKUP(A132,'Data qoq'!$B:$AT,MATCH($B$1,'Data qoq'!$B$1:$AT$1,0),FALSE)</f>
        <v/>
      </c>
      <c r="C132" s="46">
        <f>Table134567891011121314151617343[[#This Row],[USA]]-B131</f>
        <v/>
      </c>
      <c r="D132" s="58">
        <f>(Table134567891011121314151617343[[#This Row],[USA]]/100 +1)^4-1</f>
        <v/>
      </c>
    </row>
    <row r="133">
      <c r="A133" s="45" t="n">
        <v>29312</v>
      </c>
      <c r="B133" s="46">
        <f>VLOOKUP(A133,'Data qoq'!$B:$AT,MATCH($B$1,'Data qoq'!$B$1:$AT$1,0),FALSE)</f>
        <v/>
      </c>
      <c r="C133" s="46">
        <f>Table134567891011121314151617343[[#This Row],[USA]]-B132</f>
        <v/>
      </c>
      <c r="D133" s="58">
        <f>(Table134567891011121314151617343[[#This Row],[USA]]/100 +1)^4-1</f>
        <v/>
      </c>
    </row>
    <row r="134">
      <c r="A134" s="45" t="n">
        <v>29403</v>
      </c>
      <c r="B134" s="46">
        <f>VLOOKUP(A134,'Data qoq'!$B:$AT,MATCH($B$1,'Data qoq'!$B$1:$AT$1,0),FALSE)</f>
        <v/>
      </c>
      <c r="C134" s="46">
        <f>Table134567891011121314151617343[[#This Row],[USA]]-B133</f>
        <v/>
      </c>
      <c r="D134" s="58">
        <f>(Table134567891011121314151617343[[#This Row],[USA]]/100 +1)^4-1</f>
        <v/>
      </c>
    </row>
    <row r="135">
      <c r="A135" s="45" t="n">
        <v>29495</v>
      </c>
      <c r="B135" s="46">
        <f>VLOOKUP(A135,'Data qoq'!$B:$AT,MATCH($B$1,'Data qoq'!$B$1:$AT$1,0),FALSE)</f>
        <v/>
      </c>
      <c r="C135" s="46">
        <f>Table134567891011121314151617343[[#This Row],[USA]]-B134</f>
        <v/>
      </c>
      <c r="D135" s="58">
        <f>(Table134567891011121314151617343[[#This Row],[USA]]/100 +1)^4-1</f>
        <v/>
      </c>
    </row>
    <row r="136">
      <c r="A136" s="45" t="n">
        <v>29587</v>
      </c>
      <c r="B136" s="46">
        <f>VLOOKUP(A136,'Data qoq'!$B:$AT,MATCH($B$1,'Data qoq'!$B$1:$AT$1,0),FALSE)</f>
        <v/>
      </c>
      <c r="C136" s="46">
        <f>Table134567891011121314151617343[[#This Row],[USA]]-B135</f>
        <v/>
      </c>
      <c r="D136" s="58">
        <f>(Table134567891011121314151617343[[#This Row],[USA]]/100 +1)^4-1</f>
        <v/>
      </c>
    </row>
    <row r="137">
      <c r="A137" s="45" t="n">
        <v>29677</v>
      </c>
      <c r="B137" s="46">
        <f>VLOOKUP(A137,'Data qoq'!$B:$AT,MATCH($B$1,'Data qoq'!$B$1:$AT$1,0),FALSE)</f>
        <v/>
      </c>
      <c r="C137" s="46">
        <f>Table134567891011121314151617343[[#This Row],[USA]]-B136</f>
        <v/>
      </c>
      <c r="D137" s="58">
        <f>(Table134567891011121314151617343[[#This Row],[USA]]/100 +1)^4-1</f>
        <v/>
      </c>
    </row>
    <row r="138">
      <c r="A138" s="45" t="n">
        <v>29768</v>
      </c>
      <c r="B138" s="46">
        <f>VLOOKUP(A138,'Data qoq'!$B:$AT,MATCH($B$1,'Data qoq'!$B$1:$AT$1,0),FALSE)</f>
        <v/>
      </c>
      <c r="C138" s="46">
        <f>Table134567891011121314151617343[[#This Row],[USA]]-B137</f>
        <v/>
      </c>
      <c r="D138" s="58">
        <f>(Table134567891011121314151617343[[#This Row],[USA]]/100 +1)^4-1</f>
        <v/>
      </c>
    </row>
    <row r="139">
      <c r="A139" s="45" t="n">
        <v>29860</v>
      </c>
      <c r="B139" s="46">
        <f>VLOOKUP(A139,'Data qoq'!$B:$AT,MATCH($B$1,'Data qoq'!$B$1:$AT$1,0),FALSE)</f>
        <v/>
      </c>
      <c r="C139" s="46">
        <f>Table134567891011121314151617343[[#This Row],[USA]]-B138</f>
        <v/>
      </c>
      <c r="D139" s="58">
        <f>(Table134567891011121314151617343[[#This Row],[USA]]/100 +1)^4-1</f>
        <v/>
      </c>
    </row>
    <row r="140">
      <c r="A140" s="45" t="n">
        <v>29952</v>
      </c>
      <c r="B140" s="46">
        <f>VLOOKUP(A140,'Data qoq'!$B:$AT,MATCH($B$1,'Data qoq'!$B$1:$AT$1,0),FALSE)</f>
        <v/>
      </c>
      <c r="C140" s="46">
        <f>Table134567891011121314151617343[[#This Row],[USA]]-B139</f>
        <v/>
      </c>
      <c r="D140" s="58">
        <f>(Table134567891011121314151617343[[#This Row],[USA]]/100 +1)^4-1</f>
        <v/>
      </c>
    </row>
    <row r="141">
      <c r="A141" s="45" t="n">
        <v>30042</v>
      </c>
      <c r="B141" s="46">
        <f>VLOOKUP(A141,'Data qoq'!$B:$AT,MATCH($B$1,'Data qoq'!$B$1:$AT$1,0),FALSE)</f>
        <v/>
      </c>
      <c r="C141" s="46">
        <f>Table134567891011121314151617343[[#This Row],[USA]]-B140</f>
        <v/>
      </c>
      <c r="D141" s="58">
        <f>(Table134567891011121314151617343[[#This Row],[USA]]/100 +1)^4-1</f>
        <v/>
      </c>
    </row>
    <row r="142">
      <c r="A142" s="45" t="n">
        <v>30133</v>
      </c>
      <c r="B142" s="46">
        <f>VLOOKUP(A142,'Data qoq'!$B:$AT,MATCH($B$1,'Data qoq'!$B$1:$AT$1,0),FALSE)</f>
        <v/>
      </c>
      <c r="C142" s="46">
        <f>Table134567891011121314151617343[[#This Row],[USA]]-B141</f>
        <v/>
      </c>
      <c r="D142" s="58">
        <f>(Table134567891011121314151617343[[#This Row],[USA]]/100 +1)^4-1</f>
        <v/>
      </c>
    </row>
    <row r="143">
      <c r="A143" s="45" t="n">
        <v>30225</v>
      </c>
      <c r="B143" s="46">
        <f>VLOOKUP(A143,'Data qoq'!$B:$AT,MATCH($B$1,'Data qoq'!$B$1:$AT$1,0),FALSE)</f>
        <v/>
      </c>
      <c r="C143" s="46">
        <f>Table134567891011121314151617343[[#This Row],[USA]]-B142</f>
        <v/>
      </c>
      <c r="D143" s="58">
        <f>(Table134567891011121314151617343[[#This Row],[USA]]/100 +1)^4-1</f>
        <v/>
      </c>
    </row>
    <row r="144">
      <c r="A144" s="45" t="n">
        <v>30317</v>
      </c>
      <c r="B144" s="46">
        <f>VLOOKUP(A144,'Data qoq'!$B:$AT,MATCH($B$1,'Data qoq'!$B$1:$AT$1,0),FALSE)</f>
        <v/>
      </c>
      <c r="C144" s="46">
        <f>Table134567891011121314151617343[[#This Row],[USA]]-B143</f>
        <v/>
      </c>
      <c r="D144" s="58">
        <f>(Table134567891011121314151617343[[#This Row],[USA]]/100 +1)^4-1</f>
        <v/>
      </c>
    </row>
    <row r="145">
      <c r="A145" s="45" t="n">
        <v>30407</v>
      </c>
      <c r="B145" s="46">
        <f>VLOOKUP(A145,'Data qoq'!$B:$AT,MATCH($B$1,'Data qoq'!$B$1:$AT$1,0),FALSE)</f>
        <v/>
      </c>
      <c r="C145" s="46">
        <f>Table134567891011121314151617343[[#This Row],[USA]]-B144</f>
        <v/>
      </c>
      <c r="D145" s="58">
        <f>(Table134567891011121314151617343[[#This Row],[USA]]/100 +1)^4-1</f>
        <v/>
      </c>
    </row>
    <row r="146">
      <c r="A146" s="45" t="n">
        <v>30498</v>
      </c>
      <c r="B146" s="46">
        <f>VLOOKUP(A146,'Data qoq'!$B:$AT,MATCH($B$1,'Data qoq'!$B$1:$AT$1,0),FALSE)</f>
        <v/>
      </c>
      <c r="C146" s="46">
        <f>Table134567891011121314151617343[[#This Row],[USA]]-B145</f>
        <v/>
      </c>
      <c r="D146" s="58">
        <f>(Table134567891011121314151617343[[#This Row],[USA]]/100 +1)^4-1</f>
        <v/>
      </c>
    </row>
    <row r="147">
      <c r="A147" s="45" t="n">
        <v>30590</v>
      </c>
      <c r="B147" s="46">
        <f>VLOOKUP(A147,'Data qoq'!$B:$AT,MATCH($B$1,'Data qoq'!$B$1:$AT$1,0),FALSE)</f>
        <v/>
      </c>
      <c r="C147" s="46">
        <f>Table134567891011121314151617343[[#This Row],[USA]]-B146</f>
        <v/>
      </c>
      <c r="D147" s="58">
        <f>(Table134567891011121314151617343[[#This Row],[USA]]/100 +1)^4-1</f>
        <v/>
      </c>
    </row>
    <row r="148">
      <c r="A148" s="45" t="n">
        <v>30682</v>
      </c>
      <c r="B148" s="46">
        <f>VLOOKUP(A148,'Data qoq'!$B:$AT,MATCH($B$1,'Data qoq'!$B$1:$AT$1,0),FALSE)</f>
        <v/>
      </c>
      <c r="C148" s="46">
        <f>Table134567891011121314151617343[[#This Row],[USA]]-B147</f>
        <v/>
      </c>
      <c r="D148" s="58">
        <f>(Table134567891011121314151617343[[#This Row],[USA]]/100 +1)^4-1</f>
        <v/>
      </c>
    </row>
    <row r="149">
      <c r="A149" s="45" t="n">
        <v>30773</v>
      </c>
      <c r="B149" s="46">
        <f>VLOOKUP(A149,'Data qoq'!$B:$AT,MATCH($B$1,'Data qoq'!$B$1:$AT$1,0),FALSE)</f>
        <v/>
      </c>
      <c r="C149" s="46">
        <f>Table134567891011121314151617343[[#This Row],[USA]]-B148</f>
        <v/>
      </c>
      <c r="D149" s="58">
        <f>(Table134567891011121314151617343[[#This Row],[USA]]/100 +1)^4-1</f>
        <v/>
      </c>
    </row>
    <row r="150">
      <c r="A150" s="45" t="n">
        <v>30864</v>
      </c>
      <c r="B150" s="46">
        <f>VLOOKUP(A150,'Data qoq'!$B:$AT,MATCH($B$1,'Data qoq'!$B$1:$AT$1,0),FALSE)</f>
        <v/>
      </c>
      <c r="C150" s="46">
        <f>Table134567891011121314151617343[[#This Row],[USA]]-B149</f>
        <v/>
      </c>
      <c r="D150" s="58">
        <f>(Table134567891011121314151617343[[#This Row],[USA]]/100 +1)^4-1</f>
        <v/>
      </c>
    </row>
    <row r="151">
      <c r="A151" s="45" t="n">
        <v>30956</v>
      </c>
      <c r="B151" s="46">
        <f>VLOOKUP(A151,'Data qoq'!$B:$AT,MATCH($B$1,'Data qoq'!$B$1:$AT$1,0),FALSE)</f>
        <v/>
      </c>
      <c r="C151" s="46">
        <f>Table134567891011121314151617343[[#This Row],[USA]]-B150</f>
        <v/>
      </c>
      <c r="D151" s="58">
        <f>(Table134567891011121314151617343[[#This Row],[USA]]/100 +1)^4-1</f>
        <v/>
      </c>
    </row>
    <row r="152">
      <c r="A152" s="45" t="n">
        <v>31048</v>
      </c>
      <c r="B152" s="46">
        <f>VLOOKUP(A152,'Data qoq'!$B:$AT,MATCH($B$1,'Data qoq'!$B$1:$AT$1,0),FALSE)</f>
        <v/>
      </c>
      <c r="C152" s="46">
        <f>Table134567891011121314151617343[[#This Row],[USA]]-B151</f>
        <v/>
      </c>
      <c r="D152" s="58">
        <f>(Table134567891011121314151617343[[#This Row],[USA]]/100 +1)^4-1</f>
        <v/>
      </c>
    </row>
    <row r="153">
      <c r="A153" s="45" t="n">
        <v>31138</v>
      </c>
      <c r="B153" s="46">
        <f>VLOOKUP(A153,'Data qoq'!$B:$AT,MATCH($B$1,'Data qoq'!$B$1:$AT$1,0),FALSE)</f>
        <v/>
      </c>
      <c r="C153" s="46">
        <f>Table134567891011121314151617343[[#This Row],[USA]]-B152</f>
        <v/>
      </c>
      <c r="D153" s="58">
        <f>(Table134567891011121314151617343[[#This Row],[USA]]/100 +1)^4-1</f>
        <v/>
      </c>
    </row>
    <row r="154">
      <c r="A154" s="45" t="n">
        <v>31229</v>
      </c>
      <c r="B154" s="46">
        <f>VLOOKUP(A154,'Data qoq'!$B:$AT,MATCH($B$1,'Data qoq'!$B$1:$AT$1,0),FALSE)</f>
        <v/>
      </c>
      <c r="C154" s="46">
        <f>Table134567891011121314151617343[[#This Row],[USA]]-B153</f>
        <v/>
      </c>
      <c r="D154" s="58">
        <f>(Table134567891011121314151617343[[#This Row],[USA]]/100 +1)^4-1</f>
        <v/>
      </c>
    </row>
    <row r="155">
      <c r="A155" s="45" t="n">
        <v>31321</v>
      </c>
      <c r="B155" s="46">
        <f>VLOOKUP(A155,'Data qoq'!$B:$AT,MATCH($B$1,'Data qoq'!$B$1:$AT$1,0),FALSE)</f>
        <v/>
      </c>
      <c r="C155" s="46">
        <f>Table134567891011121314151617343[[#This Row],[USA]]-B154</f>
        <v/>
      </c>
      <c r="D155" s="58">
        <f>(Table134567891011121314151617343[[#This Row],[USA]]/100 +1)^4-1</f>
        <v/>
      </c>
    </row>
    <row r="156">
      <c r="A156" s="45" t="n">
        <v>31413</v>
      </c>
      <c r="B156" s="46">
        <f>VLOOKUP(A156,'Data qoq'!$B:$AT,MATCH($B$1,'Data qoq'!$B$1:$AT$1,0),FALSE)</f>
        <v/>
      </c>
      <c r="C156" s="46">
        <f>Table134567891011121314151617343[[#This Row],[USA]]-B155</f>
        <v/>
      </c>
      <c r="D156" s="58">
        <f>(Table134567891011121314151617343[[#This Row],[USA]]/100 +1)^4-1</f>
        <v/>
      </c>
    </row>
    <row r="157">
      <c r="A157" s="45" t="n">
        <v>31503</v>
      </c>
      <c r="B157" s="46">
        <f>VLOOKUP(A157,'Data qoq'!$B:$AT,MATCH($B$1,'Data qoq'!$B$1:$AT$1,0),FALSE)</f>
        <v/>
      </c>
      <c r="C157" s="46">
        <f>Table134567891011121314151617343[[#This Row],[USA]]-B156</f>
        <v/>
      </c>
      <c r="D157" s="58">
        <f>(Table134567891011121314151617343[[#This Row],[USA]]/100 +1)^4-1</f>
        <v/>
      </c>
    </row>
    <row r="158">
      <c r="A158" s="45" t="n">
        <v>31594</v>
      </c>
      <c r="B158" s="46">
        <f>VLOOKUP(A158,'Data qoq'!$B:$AT,MATCH($B$1,'Data qoq'!$B$1:$AT$1,0),FALSE)</f>
        <v/>
      </c>
      <c r="C158" s="46">
        <f>Table134567891011121314151617343[[#This Row],[USA]]-B157</f>
        <v/>
      </c>
      <c r="D158" s="58">
        <f>(Table134567891011121314151617343[[#This Row],[USA]]/100 +1)^4-1</f>
        <v/>
      </c>
    </row>
    <row r="159">
      <c r="A159" s="45" t="n">
        <v>31686</v>
      </c>
      <c r="B159" s="46">
        <f>VLOOKUP(A159,'Data qoq'!$B:$AT,MATCH($B$1,'Data qoq'!$B$1:$AT$1,0),FALSE)</f>
        <v/>
      </c>
      <c r="C159" s="46">
        <f>Table134567891011121314151617343[[#This Row],[USA]]-B158</f>
        <v/>
      </c>
      <c r="D159" s="58">
        <f>(Table134567891011121314151617343[[#This Row],[USA]]/100 +1)^4-1</f>
        <v/>
      </c>
    </row>
    <row r="160">
      <c r="A160" s="45" t="n">
        <v>31778</v>
      </c>
      <c r="B160" s="46">
        <f>VLOOKUP(A160,'Data qoq'!$B:$AT,MATCH($B$1,'Data qoq'!$B$1:$AT$1,0),FALSE)</f>
        <v/>
      </c>
      <c r="C160" s="46">
        <f>Table134567891011121314151617343[[#This Row],[USA]]-B159</f>
        <v/>
      </c>
      <c r="D160" s="58">
        <f>(Table134567891011121314151617343[[#This Row],[USA]]/100 +1)^4-1</f>
        <v/>
      </c>
    </row>
    <row r="161">
      <c r="A161" s="45" t="n">
        <v>31868</v>
      </c>
      <c r="B161" s="46">
        <f>VLOOKUP(A161,'Data qoq'!$B:$AT,MATCH($B$1,'Data qoq'!$B$1:$AT$1,0),FALSE)</f>
        <v/>
      </c>
      <c r="C161" s="46">
        <f>Table134567891011121314151617343[[#This Row],[USA]]-B160</f>
        <v/>
      </c>
      <c r="D161" s="58">
        <f>(Table134567891011121314151617343[[#This Row],[USA]]/100 +1)^4-1</f>
        <v/>
      </c>
    </row>
    <row r="162">
      <c r="A162" s="45" t="n">
        <v>31959</v>
      </c>
      <c r="B162" s="46">
        <f>VLOOKUP(A162,'Data qoq'!$B:$AT,MATCH($B$1,'Data qoq'!$B$1:$AT$1,0),FALSE)</f>
        <v/>
      </c>
      <c r="C162" s="46">
        <f>Table134567891011121314151617343[[#This Row],[USA]]-B161</f>
        <v/>
      </c>
      <c r="D162" s="58">
        <f>(Table134567891011121314151617343[[#This Row],[USA]]/100 +1)^4-1</f>
        <v/>
      </c>
    </row>
    <row r="163">
      <c r="A163" s="45" t="n">
        <v>32051</v>
      </c>
      <c r="B163" s="46">
        <f>VLOOKUP(A163,'Data qoq'!$B:$AT,MATCH($B$1,'Data qoq'!$B$1:$AT$1,0),FALSE)</f>
        <v/>
      </c>
      <c r="C163" s="46">
        <f>Table134567891011121314151617343[[#This Row],[USA]]-B162</f>
        <v/>
      </c>
      <c r="D163" s="58">
        <f>(Table134567891011121314151617343[[#This Row],[USA]]/100 +1)^4-1</f>
        <v/>
      </c>
    </row>
    <row r="164">
      <c r="A164" s="45" t="n">
        <v>32143</v>
      </c>
      <c r="B164" s="46">
        <f>VLOOKUP(A164,'Data qoq'!$B:$AT,MATCH($B$1,'Data qoq'!$B$1:$AT$1,0),FALSE)</f>
        <v/>
      </c>
      <c r="C164" s="46">
        <f>Table134567891011121314151617343[[#This Row],[USA]]-B163</f>
        <v/>
      </c>
      <c r="D164" s="58">
        <f>(Table134567891011121314151617343[[#This Row],[USA]]/100 +1)^4-1</f>
        <v/>
      </c>
    </row>
    <row r="165">
      <c r="A165" s="45" t="n">
        <v>32234</v>
      </c>
      <c r="B165" s="46">
        <f>VLOOKUP(A165,'Data qoq'!$B:$AT,MATCH($B$1,'Data qoq'!$B$1:$AT$1,0),FALSE)</f>
        <v/>
      </c>
      <c r="C165" s="46">
        <f>Table134567891011121314151617343[[#This Row],[USA]]-B164</f>
        <v/>
      </c>
      <c r="D165" s="58">
        <f>(Table134567891011121314151617343[[#This Row],[USA]]/100 +1)^4-1</f>
        <v/>
      </c>
    </row>
    <row r="166">
      <c r="A166" s="45" t="n">
        <v>32325</v>
      </c>
      <c r="B166" s="46">
        <f>VLOOKUP(A166,'Data qoq'!$B:$AT,MATCH($B$1,'Data qoq'!$B$1:$AT$1,0),FALSE)</f>
        <v/>
      </c>
      <c r="C166" s="46">
        <f>Table134567891011121314151617343[[#This Row],[USA]]-B165</f>
        <v/>
      </c>
      <c r="D166" s="58">
        <f>(Table134567891011121314151617343[[#This Row],[USA]]/100 +1)^4-1</f>
        <v/>
      </c>
    </row>
    <row r="167">
      <c r="A167" s="45" t="n">
        <v>32417</v>
      </c>
      <c r="B167" s="46">
        <f>VLOOKUP(A167,'Data qoq'!$B:$AT,MATCH($B$1,'Data qoq'!$B$1:$AT$1,0),FALSE)</f>
        <v/>
      </c>
      <c r="C167" s="46">
        <f>Table134567891011121314151617343[[#This Row],[USA]]-B166</f>
        <v/>
      </c>
      <c r="D167" s="58">
        <f>(Table134567891011121314151617343[[#This Row],[USA]]/100 +1)^4-1</f>
        <v/>
      </c>
    </row>
    <row r="168">
      <c r="A168" s="45" t="n">
        <v>32509</v>
      </c>
      <c r="B168" s="46">
        <f>VLOOKUP(A168,'Data qoq'!$B:$AT,MATCH($B$1,'Data qoq'!$B$1:$AT$1,0),FALSE)</f>
        <v/>
      </c>
      <c r="C168" s="46">
        <f>Table134567891011121314151617343[[#This Row],[USA]]-B167</f>
        <v/>
      </c>
      <c r="D168" s="58">
        <f>(Table134567891011121314151617343[[#This Row],[USA]]/100 +1)^4-1</f>
        <v/>
      </c>
    </row>
    <row r="169">
      <c r="A169" s="45" t="n">
        <v>32599</v>
      </c>
      <c r="B169" s="46">
        <f>VLOOKUP(A169,'Data qoq'!$B:$AT,MATCH($B$1,'Data qoq'!$B$1:$AT$1,0),FALSE)</f>
        <v/>
      </c>
      <c r="C169" s="46">
        <f>Table134567891011121314151617343[[#This Row],[USA]]-B168</f>
        <v/>
      </c>
      <c r="D169" s="58">
        <f>(Table134567891011121314151617343[[#This Row],[USA]]/100 +1)^4-1</f>
        <v/>
      </c>
    </row>
    <row r="170">
      <c r="A170" s="45" t="n">
        <v>32690</v>
      </c>
      <c r="B170" s="46">
        <f>VLOOKUP(A170,'Data qoq'!$B:$AT,MATCH($B$1,'Data qoq'!$B$1:$AT$1,0),FALSE)</f>
        <v/>
      </c>
      <c r="C170" s="46">
        <f>Table134567891011121314151617343[[#This Row],[USA]]-B169</f>
        <v/>
      </c>
      <c r="D170" s="58">
        <f>(Table134567891011121314151617343[[#This Row],[USA]]/100 +1)^4-1</f>
        <v/>
      </c>
    </row>
    <row r="171">
      <c r="A171" s="45" t="n">
        <v>32782</v>
      </c>
      <c r="B171" s="46">
        <f>VLOOKUP(A171,'Data qoq'!$B:$AT,MATCH($B$1,'Data qoq'!$B$1:$AT$1,0),FALSE)</f>
        <v/>
      </c>
      <c r="C171" s="46">
        <f>Table134567891011121314151617343[[#This Row],[USA]]-B170</f>
        <v/>
      </c>
      <c r="D171" s="58">
        <f>(Table134567891011121314151617343[[#This Row],[USA]]/100 +1)^4-1</f>
        <v/>
      </c>
    </row>
    <row r="172">
      <c r="A172" s="45" t="n">
        <v>32874</v>
      </c>
      <c r="B172" s="46">
        <f>VLOOKUP(A172,'Data qoq'!$B:$AT,MATCH($B$1,'Data qoq'!$B$1:$AT$1,0),FALSE)</f>
        <v/>
      </c>
      <c r="C172" s="46">
        <f>Table134567891011121314151617343[[#This Row],[USA]]-B171</f>
        <v/>
      </c>
      <c r="D172" s="58">
        <f>(Table134567891011121314151617343[[#This Row],[USA]]/100 +1)^4-1</f>
        <v/>
      </c>
    </row>
    <row r="173">
      <c r="A173" s="45" t="n">
        <v>32964</v>
      </c>
      <c r="B173" s="46">
        <f>VLOOKUP(A173,'Data qoq'!$B:$AT,MATCH($B$1,'Data qoq'!$B$1:$AT$1,0),FALSE)</f>
        <v/>
      </c>
      <c r="C173" s="46">
        <f>Table134567891011121314151617343[[#This Row],[USA]]-B172</f>
        <v/>
      </c>
      <c r="D173" s="58">
        <f>(Table134567891011121314151617343[[#This Row],[USA]]/100 +1)^4-1</f>
        <v/>
      </c>
    </row>
    <row r="174">
      <c r="A174" s="45" t="n">
        <v>33055</v>
      </c>
      <c r="B174" s="46">
        <f>VLOOKUP(A174,'Data qoq'!$B:$AT,MATCH($B$1,'Data qoq'!$B$1:$AT$1,0),FALSE)</f>
        <v/>
      </c>
      <c r="C174" s="46">
        <f>Table134567891011121314151617343[[#This Row],[USA]]-B173</f>
        <v/>
      </c>
      <c r="D174" s="58">
        <f>(Table134567891011121314151617343[[#This Row],[USA]]/100 +1)^4-1</f>
        <v/>
      </c>
    </row>
    <row r="175">
      <c r="A175" s="45" t="n">
        <v>33147</v>
      </c>
      <c r="B175" s="46">
        <f>VLOOKUP(A175,'Data qoq'!$B:$AT,MATCH($B$1,'Data qoq'!$B$1:$AT$1,0),FALSE)</f>
        <v/>
      </c>
      <c r="C175" s="46">
        <f>Table134567891011121314151617343[[#This Row],[USA]]-B174</f>
        <v/>
      </c>
      <c r="D175" s="58">
        <f>(Table134567891011121314151617343[[#This Row],[USA]]/100 +1)^4-1</f>
        <v/>
      </c>
    </row>
    <row r="176">
      <c r="A176" s="45" t="n">
        <v>33239</v>
      </c>
      <c r="B176" s="46">
        <f>VLOOKUP(A176,'Data qoq'!$B:$AT,MATCH($B$1,'Data qoq'!$B$1:$AT$1,0),FALSE)</f>
        <v/>
      </c>
      <c r="C176" s="46">
        <f>Table134567891011121314151617343[[#This Row],[USA]]-B175</f>
        <v/>
      </c>
      <c r="D176" s="58">
        <f>(Table134567891011121314151617343[[#This Row],[USA]]/100 +1)^4-1</f>
        <v/>
      </c>
    </row>
    <row r="177">
      <c r="A177" s="45" t="n">
        <v>33329</v>
      </c>
      <c r="B177" s="46">
        <f>VLOOKUP(A177,'Data qoq'!$B:$AT,MATCH($B$1,'Data qoq'!$B$1:$AT$1,0),FALSE)</f>
        <v/>
      </c>
      <c r="C177" s="46">
        <f>Table134567891011121314151617343[[#This Row],[USA]]-B176</f>
        <v/>
      </c>
      <c r="D177" s="58">
        <f>(Table134567891011121314151617343[[#This Row],[USA]]/100 +1)^4-1</f>
        <v/>
      </c>
    </row>
    <row r="178">
      <c r="A178" s="45" t="n">
        <v>33420</v>
      </c>
      <c r="B178" s="46">
        <f>VLOOKUP(A178,'Data qoq'!$B:$AT,MATCH($B$1,'Data qoq'!$B$1:$AT$1,0),FALSE)</f>
        <v/>
      </c>
      <c r="C178" s="46">
        <f>Table134567891011121314151617343[[#This Row],[USA]]-B177</f>
        <v/>
      </c>
      <c r="D178" s="58">
        <f>(Table134567891011121314151617343[[#This Row],[USA]]/100 +1)^4-1</f>
        <v/>
      </c>
    </row>
    <row r="179">
      <c r="A179" s="45" t="n">
        <v>33512</v>
      </c>
      <c r="B179" s="46">
        <f>VLOOKUP(A179,'Data qoq'!$B:$AT,MATCH($B$1,'Data qoq'!$B$1:$AT$1,0),FALSE)</f>
        <v/>
      </c>
      <c r="C179" s="46">
        <f>Table134567891011121314151617343[[#This Row],[USA]]-B178</f>
        <v/>
      </c>
      <c r="D179" s="58">
        <f>(Table134567891011121314151617343[[#This Row],[USA]]/100 +1)^4-1</f>
        <v/>
      </c>
    </row>
    <row r="180">
      <c r="A180" s="45" t="n">
        <v>33604</v>
      </c>
      <c r="B180" s="46">
        <f>VLOOKUP(A180,'Data qoq'!$B:$AT,MATCH($B$1,'Data qoq'!$B$1:$AT$1,0),FALSE)</f>
        <v/>
      </c>
      <c r="C180" s="46">
        <f>Table134567891011121314151617343[[#This Row],[USA]]-B179</f>
        <v/>
      </c>
      <c r="D180" s="58">
        <f>(Table134567891011121314151617343[[#This Row],[USA]]/100 +1)^4-1</f>
        <v/>
      </c>
    </row>
    <row r="181">
      <c r="A181" s="45" t="n">
        <v>33695</v>
      </c>
      <c r="B181" s="46">
        <f>VLOOKUP(A181,'Data qoq'!$B:$AT,MATCH($B$1,'Data qoq'!$B$1:$AT$1,0),FALSE)</f>
        <v/>
      </c>
      <c r="C181" s="46">
        <f>Table134567891011121314151617343[[#This Row],[USA]]-B180</f>
        <v/>
      </c>
      <c r="D181" s="58">
        <f>(Table134567891011121314151617343[[#This Row],[USA]]/100 +1)^4-1</f>
        <v/>
      </c>
    </row>
    <row r="182">
      <c r="A182" s="45" t="n">
        <v>33786</v>
      </c>
      <c r="B182" s="46">
        <f>VLOOKUP(A182,'Data qoq'!$B:$AT,MATCH($B$1,'Data qoq'!$B$1:$AT$1,0),FALSE)</f>
        <v/>
      </c>
      <c r="C182" s="46">
        <f>Table134567891011121314151617343[[#This Row],[USA]]-B181</f>
        <v/>
      </c>
      <c r="D182" s="58">
        <f>(Table134567891011121314151617343[[#This Row],[USA]]/100 +1)^4-1</f>
        <v/>
      </c>
    </row>
    <row r="183">
      <c r="A183" s="45" t="n">
        <v>33878</v>
      </c>
      <c r="B183" s="46">
        <f>VLOOKUP(A183,'Data qoq'!$B:$AT,MATCH($B$1,'Data qoq'!$B$1:$AT$1,0),FALSE)</f>
        <v/>
      </c>
      <c r="C183" s="46">
        <f>Table134567891011121314151617343[[#This Row],[USA]]-B182</f>
        <v/>
      </c>
      <c r="D183" s="58">
        <f>(Table134567891011121314151617343[[#This Row],[USA]]/100 +1)^4-1</f>
        <v/>
      </c>
    </row>
    <row r="184">
      <c r="A184" s="45" t="n">
        <v>33970</v>
      </c>
      <c r="B184" s="46">
        <f>VLOOKUP(A184,'Data qoq'!$B:$AT,MATCH($B$1,'Data qoq'!$B$1:$AT$1,0),FALSE)</f>
        <v/>
      </c>
      <c r="C184" s="46">
        <f>Table134567891011121314151617343[[#This Row],[USA]]-B183</f>
        <v/>
      </c>
      <c r="D184" s="58">
        <f>(Table134567891011121314151617343[[#This Row],[USA]]/100 +1)^4-1</f>
        <v/>
      </c>
    </row>
    <row r="185">
      <c r="A185" s="45" t="n">
        <v>34060</v>
      </c>
      <c r="B185" s="46">
        <f>VLOOKUP(A185,'Data qoq'!$B:$AT,MATCH($B$1,'Data qoq'!$B$1:$AT$1,0),FALSE)</f>
        <v/>
      </c>
      <c r="C185" s="46">
        <f>Table134567891011121314151617343[[#This Row],[USA]]-B184</f>
        <v/>
      </c>
      <c r="D185" s="58">
        <f>(Table134567891011121314151617343[[#This Row],[USA]]/100 +1)^4-1</f>
        <v/>
      </c>
    </row>
    <row r="186">
      <c r="A186" s="45" t="n">
        <v>34151</v>
      </c>
      <c r="B186" s="46">
        <f>VLOOKUP(A186,'Data qoq'!$B:$AT,MATCH($B$1,'Data qoq'!$B$1:$AT$1,0),FALSE)</f>
        <v/>
      </c>
      <c r="C186" s="46">
        <f>Table134567891011121314151617343[[#This Row],[USA]]-B185</f>
        <v/>
      </c>
      <c r="D186" s="58">
        <f>(Table134567891011121314151617343[[#This Row],[USA]]/100 +1)^4-1</f>
        <v/>
      </c>
    </row>
    <row r="187">
      <c r="A187" s="45" t="n">
        <v>34243</v>
      </c>
      <c r="B187" s="46">
        <f>VLOOKUP(A187,'Data qoq'!$B:$AT,MATCH($B$1,'Data qoq'!$B$1:$AT$1,0),FALSE)</f>
        <v/>
      </c>
      <c r="C187" s="46">
        <f>Table134567891011121314151617343[[#This Row],[USA]]-B186</f>
        <v/>
      </c>
      <c r="D187" s="58">
        <f>(Table134567891011121314151617343[[#This Row],[USA]]/100 +1)^4-1</f>
        <v/>
      </c>
    </row>
    <row r="188">
      <c r="A188" s="45" t="n">
        <v>34335</v>
      </c>
      <c r="B188" s="46">
        <f>VLOOKUP(A188,'Data qoq'!$B:$AT,MATCH($B$1,'Data qoq'!$B$1:$AT$1,0),FALSE)</f>
        <v/>
      </c>
      <c r="C188" s="46">
        <f>Table134567891011121314151617343[[#This Row],[USA]]-B187</f>
        <v/>
      </c>
      <c r="D188" s="58">
        <f>(Table134567891011121314151617343[[#This Row],[USA]]/100 +1)^4-1</f>
        <v/>
      </c>
    </row>
    <row r="189">
      <c r="A189" s="45" t="n">
        <v>34425</v>
      </c>
      <c r="B189" s="46">
        <f>VLOOKUP(A189,'Data qoq'!$B:$AT,MATCH($B$1,'Data qoq'!$B$1:$AT$1,0),FALSE)</f>
        <v/>
      </c>
      <c r="C189" s="46">
        <f>Table134567891011121314151617343[[#This Row],[USA]]-B188</f>
        <v/>
      </c>
      <c r="D189" s="58">
        <f>(Table134567891011121314151617343[[#This Row],[USA]]/100 +1)^4-1</f>
        <v/>
      </c>
    </row>
    <row r="190">
      <c r="A190" s="45" t="n">
        <v>34516</v>
      </c>
      <c r="B190" s="46">
        <f>VLOOKUP(A190,'Data qoq'!$B:$AT,MATCH($B$1,'Data qoq'!$B$1:$AT$1,0),FALSE)</f>
        <v/>
      </c>
      <c r="C190" s="46">
        <f>Table134567891011121314151617343[[#This Row],[USA]]-B189</f>
        <v/>
      </c>
      <c r="D190" s="58">
        <f>(Table134567891011121314151617343[[#This Row],[USA]]/100 +1)^4-1</f>
        <v/>
      </c>
    </row>
    <row r="191">
      <c r="A191" s="45" t="n">
        <v>34608</v>
      </c>
      <c r="B191" s="46">
        <f>VLOOKUP(A191,'Data qoq'!$B:$AT,MATCH($B$1,'Data qoq'!$B$1:$AT$1,0),FALSE)</f>
        <v/>
      </c>
      <c r="C191" s="46">
        <f>Table134567891011121314151617343[[#This Row],[USA]]-B190</f>
        <v/>
      </c>
      <c r="D191" s="58">
        <f>(Table134567891011121314151617343[[#This Row],[USA]]/100 +1)^4-1</f>
        <v/>
      </c>
    </row>
    <row r="192">
      <c r="A192" s="45" t="n">
        <v>34700</v>
      </c>
      <c r="B192" s="46">
        <f>VLOOKUP(A192,'Data qoq'!$B:$AT,MATCH($B$1,'Data qoq'!$B$1:$AT$1,0),FALSE)</f>
        <v/>
      </c>
      <c r="C192" s="46">
        <f>Table134567891011121314151617343[[#This Row],[USA]]-B191</f>
        <v/>
      </c>
      <c r="D192" s="58">
        <f>(Table134567891011121314151617343[[#This Row],[USA]]/100 +1)^4-1</f>
        <v/>
      </c>
    </row>
    <row r="193">
      <c r="A193" s="45" t="n">
        <v>34790</v>
      </c>
      <c r="B193" s="46">
        <f>VLOOKUP(A193,'Data qoq'!$B:$AT,MATCH($B$1,'Data qoq'!$B$1:$AT$1,0),FALSE)</f>
        <v/>
      </c>
      <c r="C193" s="46">
        <f>Table134567891011121314151617343[[#This Row],[USA]]-B192</f>
        <v/>
      </c>
      <c r="D193" s="58">
        <f>(Table134567891011121314151617343[[#This Row],[USA]]/100 +1)^4-1</f>
        <v/>
      </c>
    </row>
    <row r="194">
      <c r="A194" s="45" t="n">
        <v>34881</v>
      </c>
      <c r="B194" s="46">
        <f>VLOOKUP(A194,'Data qoq'!$B:$AT,MATCH($B$1,'Data qoq'!$B$1:$AT$1,0),FALSE)</f>
        <v/>
      </c>
      <c r="C194" s="46">
        <f>Table134567891011121314151617343[[#This Row],[USA]]-B193</f>
        <v/>
      </c>
      <c r="D194" s="58">
        <f>(Table134567891011121314151617343[[#This Row],[USA]]/100 +1)^4-1</f>
        <v/>
      </c>
    </row>
    <row r="195">
      <c r="A195" s="45" t="n">
        <v>34973</v>
      </c>
      <c r="B195" s="46">
        <f>VLOOKUP(A195,'Data qoq'!$B:$AT,MATCH($B$1,'Data qoq'!$B$1:$AT$1,0),FALSE)</f>
        <v/>
      </c>
      <c r="C195" s="46">
        <f>Table134567891011121314151617343[[#This Row],[USA]]-B194</f>
        <v/>
      </c>
      <c r="D195" s="58">
        <f>(Table134567891011121314151617343[[#This Row],[USA]]/100 +1)^4-1</f>
        <v/>
      </c>
    </row>
    <row r="196">
      <c r="A196" s="45" t="n">
        <v>35065</v>
      </c>
      <c r="B196" s="46">
        <f>VLOOKUP(A196,'Data qoq'!$B:$AT,MATCH($B$1,'Data qoq'!$B$1:$AT$1,0),FALSE)</f>
        <v/>
      </c>
      <c r="C196" s="46">
        <f>Table134567891011121314151617343[[#This Row],[USA]]-B195</f>
        <v/>
      </c>
      <c r="D196" s="58">
        <f>(Table134567891011121314151617343[[#This Row],[USA]]/100 +1)^4-1</f>
        <v/>
      </c>
    </row>
    <row r="197">
      <c r="A197" s="45" t="n">
        <v>35156</v>
      </c>
      <c r="B197" s="46">
        <f>VLOOKUP(A197,'Data qoq'!$B:$AT,MATCH($B$1,'Data qoq'!$B$1:$AT$1,0),FALSE)</f>
        <v/>
      </c>
      <c r="C197" s="46">
        <f>Table134567891011121314151617343[[#This Row],[USA]]-B196</f>
        <v/>
      </c>
      <c r="D197" s="58">
        <f>(Table134567891011121314151617343[[#This Row],[USA]]/100 +1)^4-1</f>
        <v/>
      </c>
    </row>
    <row r="198">
      <c r="A198" s="45" t="n">
        <v>35247</v>
      </c>
      <c r="B198" s="46">
        <f>VLOOKUP(A198,'Data qoq'!$B:$AT,MATCH($B$1,'Data qoq'!$B$1:$AT$1,0),FALSE)</f>
        <v/>
      </c>
      <c r="C198" s="46">
        <f>Table134567891011121314151617343[[#This Row],[USA]]-B197</f>
        <v/>
      </c>
      <c r="D198" s="58">
        <f>(Table134567891011121314151617343[[#This Row],[USA]]/100 +1)^4-1</f>
        <v/>
      </c>
    </row>
    <row r="199">
      <c r="A199" s="45" t="n">
        <v>35339</v>
      </c>
      <c r="B199" s="46">
        <f>VLOOKUP(A199,'Data qoq'!$B:$AT,MATCH($B$1,'Data qoq'!$B$1:$AT$1,0),FALSE)</f>
        <v/>
      </c>
      <c r="C199" s="46">
        <f>Table134567891011121314151617343[[#This Row],[USA]]-B198</f>
        <v/>
      </c>
      <c r="D199" s="58">
        <f>(Table134567891011121314151617343[[#This Row],[USA]]/100 +1)^4-1</f>
        <v/>
      </c>
    </row>
    <row r="200">
      <c r="A200" s="45" t="n">
        <v>35431</v>
      </c>
      <c r="B200" s="46">
        <f>VLOOKUP(A200,'Data qoq'!$B:$AT,MATCH($B$1,'Data qoq'!$B$1:$AT$1,0),FALSE)</f>
        <v/>
      </c>
      <c r="C200" s="46">
        <f>Table134567891011121314151617343[[#This Row],[USA]]-B199</f>
        <v/>
      </c>
      <c r="D200" s="58">
        <f>(Table134567891011121314151617343[[#This Row],[USA]]/100 +1)^4-1</f>
        <v/>
      </c>
    </row>
    <row r="201">
      <c r="A201" s="45" t="n">
        <v>35521</v>
      </c>
      <c r="B201" s="46">
        <f>VLOOKUP(A201,'Data qoq'!$B:$AT,MATCH($B$1,'Data qoq'!$B$1:$AT$1,0),FALSE)</f>
        <v/>
      </c>
      <c r="C201" s="46">
        <f>Table134567891011121314151617343[[#This Row],[USA]]-B200</f>
        <v/>
      </c>
      <c r="D201" s="58">
        <f>(Table134567891011121314151617343[[#This Row],[USA]]/100 +1)^4-1</f>
        <v/>
      </c>
    </row>
    <row r="202">
      <c r="A202" s="45" t="n">
        <v>35612</v>
      </c>
      <c r="B202" s="46">
        <f>VLOOKUP(A202,'Data qoq'!$B:$AT,MATCH($B$1,'Data qoq'!$B$1:$AT$1,0),FALSE)</f>
        <v/>
      </c>
      <c r="C202" s="46">
        <f>Table134567891011121314151617343[[#This Row],[USA]]-B201</f>
        <v/>
      </c>
      <c r="D202" s="58">
        <f>(Table134567891011121314151617343[[#This Row],[USA]]/100 +1)^4-1</f>
        <v/>
      </c>
    </row>
    <row r="203">
      <c r="A203" s="45" t="n">
        <v>35704</v>
      </c>
      <c r="B203" s="46">
        <f>VLOOKUP(A203,'Data qoq'!$B:$AT,MATCH($B$1,'Data qoq'!$B$1:$AT$1,0),FALSE)</f>
        <v/>
      </c>
      <c r="C203" s="46">
        <f>Table134567891011121314151617343[[#This Row],[USA]]-B202</f>
        <v/>
      </c>
      <c r="D203" s="58">
        <f>(Table134567891011121314151617343[[#This Row],[USA]]/100 +1)^4-1</f>
        <v/>
      </c>
    </row>
    <row r="204">
      <c r="A204" s="45" t="n">
        <v>35796</v>
      </c>
      <c r="B204" s="46">
        <f>VLOOKUP(A204,'Data qoq'!$B:$AT,MATCH($B$1,'Data qoq'!$B$1:$AT$1,0),FALSE)</f>
        <v/>
      </c>
      <c r="C204" s="46">
        <f>Table134567891011121314151617343[[#This Row],[USA]]-B203</f>
        <v/>
      </c>
      <c r="D204" s="58">
        <f>(Table134567891011121314151617343[[#This Row],[USA]]/100 +1)^4-1</f>
        <v/>
      </c>
    </row>
    <row r="205">
      <c r="A205" s="45" t="n">
        <v>35886</v>
      </c>
      <c r="B205" s="46">
        <f>VLOOKUP(A205,'Data qoq'!$B:$AT,MATCH($B$1,'Data qoq'!$B$1:$AT$1,0),FALSE)</f>
        <v/>
      </c>
      <c r="C205" s="46">
        <f>Table134567891011121314151617343[[#This Row],[USA]]-B204</f>
        <v/>
      </c>
      <c r="D205" s="58">
        <f>(Table134567891011121314151617343[[#This Row],[USA]]/100 +1)^4-1</f>
        <v/>
      </c>
    </row>
    <row r="206">
      <c r="A206" s="45" t="n">
        <v>35977</v>
      </c>
      <c r="B206" s="46">
        <f>VLOOKUP(A206,'Data qoq'!$B:$AT,MATCH($B$1,'Data qoq'!$B$1:$AT$1,0),FALSE)</f>
        <v/>
      </c>
      <c r="C206" s="46">
        <f>Table134567891011121314151617343[[#This Row],[USA]]-B205</f>
        <v/>
      </c>
      <c r="D206" s="58">
        <f>(Table134567891011121314151617343[[#This Row],[USA]]/100 +1)^4-1</f>
        <v/>
      </c>
    </row>
    <row r="207">
      <c r="A207" s="45" t="n">
        <v>36069</v>
      </c>
      <c r="B207" s="46">
        <f>VLOOKUP(A207,'Data qoq'!$B:$AT,MATCH($B$1,'Data qoq'!$B$1:$AT$1,0),FALSE)</f>
        <v/>
      </c>
      <c r="C207" s="46">
        <f>Table134567891011121314151617343[[#This Row],[USA]]-B206</f>
        <v/>
      </c>
      <c r="D207" s="58">
        <f>(Table134567891011121314151617343[[#This Row],[USA]]/100 +1)^4-1</f>
        <v/>
      </c>
    </row>
    <row r="208">
      <c r="A208" s="45" t="n">
        <v>36161</v>
      </c>
      <c r="B208" s="46">
        <f>VLOOKUP(A208,'Data qoq'!$B:$AT,MATCH($B$1,'Data qoq'!$B$1:$AT$1,0),FALSE)</f>
        <v/>
      </c>
      <c r="C208" s="46">
        <f>Table134567891011121314151617343[[#This Row],[USA]]-B207</f>
        <v/>
      </c>
      <c r="D208" s="58">
        <f>(Table134567891011121314151617343[[#This Row],[USA]]/100 +1)^4-1</f>
        <v/>
      </c>
    </row>
    <row r="209">
      <c r="A209" s="45" t="n">
        <v>36251</v>
      </c>
      <c r="B209" s="46">
        <f>VLOOKUP(A209,'Data qoq'!$B:$AT,MATCH($B$1,'Data qoq'!$B$1:$AT$1,0),FALSE)</f>
        <v/>
      </c>
      <c r="C209" s="46">
        <f>Table134567891011121314151617343[[#This Row],[USA]]-B208</f>
        <v/>
      </c>
      <c r="D209" s="58">
        <f>(Table134567891011121314151617343[[#This Row],[USA]]/100 +1)^4-1</f>
        <v/>
      </c>
    </row>
    <row r="210">
      <c r="A210" s="45" t="n">
        <v>36342</v>
      </c>
      <c r="B210" s="46">
        <f>VLOOKUP(A210,'Data qoq'!$B:$AT,MATCH($B$1,'Data qoq'!$B$1:$AT$1,0),FALSE)</f>
        <v/>
      </c>
      <c r="C210" s="46">
        <f>Table134567891011121314151617343[[#This Row],[USA]]-B209</f>
        <v/>
      </c>
      <c r="D210" s="58">
        <f>(Table134567891011121314151617343[[#This Row],[USA]]/100 +1)^4-1</f>
        <v/>
      </c>
    </row>
    <row r="211">
      <c r="A211" s="45" t="n">
        <v>36434</v>
      </c>
      <c r="B211" s="46">
        <f>VLOOKUP(A211,'Data qoq'!$B:$AT,MATCH($B$1,'Data qoq'!$B$1:$AT$1,0),FALSE)</f>
        <v/>
      </c>
      <c r="C211" s="46">
        <f>Table134567891011121314151617343[[#This Row],[USA]]-B210</f>
        <v/>
      </c>
      <c r="D211" s="58">
        <f>(Table134567891011121314151617343[[#This Row],[USA]]/100 +1)^4-1</f>
        <v/>
      </c>
    </row>
    <row r="212">
      <c r="A212" s="45" t="n">
        <v>36526</v>
      </c>
      <c r="B212" s="46">
        <f>VLOOKUP(A212,'Data qoq'!$B:$AT,MATCH($B$1,'Data qoq'!$B$1:$AT$1,0),FALSE)</f>
        <v/>
      </c>
      <c r="C212" s="46">
        <f>Table134567891011121314151617343[[#This Row],[USA]]-B211</f>
        <v/>
      </c>
      <c r="D212" s="58">
        <f>(Table134567891011121314151617343[[#This Row],[USA]]/100 +1)^4-1</f>
        <v/>
      </c>
    </row>
    <row r="213">
      <c r="A213" s="45" t="n">
        <v>36617</v>
      </c>
      <c r="B213" s="46">
        <f>VLOOKUP(A213,'Data qoq'!$B:$AT,MATCH($B$1,'Data qoq'!$B$1:$AT$1,0),FALSE)</f>
        <v/>
      </c>
      <c r="C213" s="46">
        <f>Table134567891011121314151617343[[#This Row],[USA]]-B212</f>
        <v/>
      </c>
      <c r="D213" s="58">
        <f>(Table134567891011121314151617343[[#This Row],[USA]]/100 +1)^4-1</f>
        <v/>
      </c>
    </row>
    <row r="214">
      <c r="A214" s="45" t="n">
        <v>36708</v>
      </c>
      <c r="B214" s="46">
        <f>VLOOKUP(A214,'Data qoq'!$B:$AT,MATCH($B$1,'Data qoq'!$B$1:$AT$1,0),FALSE)</f>
        <v/>
      </c>
      <c r="C214" s="46">
        <f>Table134567891011121314151617343[[#This Row],[USA]]-B213</f>
        <v/>
      </c>
      <c r="D214" s="58">
        <f>(Table134567891011121314151617343[[#This Row],[USA]]/100 +1)^4-1</f>
        <v/>
      </c>
    </row>
    <row r="215">
      <c r="A215" s="45" t="n">
        <v>36800</v>
      </c>
      <c r="B215" s="46">
        <f>VLOOKUP(A215,'Data qoq'!$B:$AT,MATCH($B$1,'Data qoq'!$B$1:$AT$1,0),FALSE)</f>
        <v/>
      </c>
      <c r="C215" s="46">
        <f>Table134567891011121314151617343[[#This Row],[USA]]-B214</f>
        <v/>
      </c>
      <c r="D215" s="58">
        <f>(Table134567891011121314151617343[[#This Row],[USA]]/100 +1)^4-1</f>
        <v/>
      </c>
    </row>
    <row r="216">
      <c r="A216" s="45" t="n">
        <v>36892</v>
      </c>
      <c r="B216" s="46">
        <f>VLOOKUP(A216,'Data qoq'!$B:$AT,MATCH($B$1,'Data qoq'!$B$1:$AT$1,0),FALSE)</f>
        <v/>
      </c>
      <c r="C216" s="46">
        <f>Table134567891011121314151617343[[#This Row],[USA]]-B215</f>
        <v/>
      </c>
      <c r="D216" s="58">
        <f>(Table134567891011121314151617343[[#This Row],[USA]]/100 +1)^4-1</f>
        <v/>
      </c>
    </row>
    <row r="217">
      <c r="A217" s="45" t="n">
        <v>36982</v>
      </c>
      <c r="B217" s="46">
        <f>VLOOKUP(A217,'Data qoq'!$B:$AT,MATCH($B$1,'Data qoq'!$B$1:$AT$1,0),FALSE)</f>
        <v/>
      </c>
      <c r="C217" s="46">
        <f>Table134567891011121314151617343[[#This Row],[USA]]-B216</f>
        <v/>
      </c>
      <c r="D217" s="58">
        <f>(Table134567891011121314151617343[[#This Row],[USA]]/100 +1)^4-1</f>
        <v/>
      </c>
    </row>
    <row r="218">
      <c r="A218" s="45" t="n">
        <v>37073</v>
      </c>
      <c r="B218" s="46">
        <f>VLOOKUP(A218,'Data qoq'!$B:$AT,MATCH($B$1,'Data qoq'!$B$1:$AT$1,0),FALSE)</f>
        <v/>
      </c>
      <c r="C218" s="46">
        <f>Table134567891011121314151617343[[#This Row],[USA]]-B217</f>
        <v/>
      </c>
      <c r="D218" s="58">
        <f>(Table134567891011121314151617343[[#This Row],[USA]]/100 +1)^4-1</f>
        <v/>
      </c>
    </row>
    <row r="219">
      <c r="A219" s="45" t="n">
        <v>37165</v>
      </c>
      <c r="B219" s="46">
        <f>VLOOKUP(A219,'Data qoq'!$B:$AT,MATCH($B$1,'Data qoq'!$B$1:$AT$1,0),FALSE)</f>
        <v/>
      </c>
      <c r="C219" s="46">
        <f>Table134567891011121314151617343[[#This Row],[USA]]-B218</f>
        <v/>
      </c>
      <c r="D219" s="58">
        <f>(Table134567891011121314151617343[[#This Row],[USA]]/100 +1)^4-1</f>
        <v/>
      </c>
    </row>
    <row r="220">
      <c r="A220" s="45" t="n">
        <v>37257</v>
      </c>
      <c r="B220" s="46">
        <f>VLOOKUP(A220,'Data qoq'!$B:$AT,MATCH($B$1,'Data qoq'!$B$1:$AT$1,0),FALSE)</f>
        <v/>
      </c>
      <c r="C220" s="46">
        <f>Table134567891011121314151617343[[#This Row],[USA]]-B219</f>
        <v/>
      </c>
      <c r="D220" s="58">
        <f>(Table134567891011121314151617343[[#This Row],[USA]]/100 +1)^4-1</f>
        <v/>
      </c>
    </row>
    <row r="221">
      <c r="A221" s="45" t="n">
        <v>37347</v>
      </c>
      <c r="B221" s="46">
        <f>VLOOKUP(A221,'Data qoq'!$B:$AT,MATCH($B$1,'Data qoq'!$B$1:$AT$1,0),FALSE)</f>
        <v/>
      </c>
      <c r="C221" s="46">
        <f>Table134567891011121314151617343[[#This Row],[USA]]-B220</f>
        <v/>
      </c>
      <c r="D221" s="58">
        <f>(Table134567891011121314151617343[[#This Row],[USA]]/100 +1)^4-1</f>
        <v/>
      </c>
    </row>
    <row r="222">
      <c r="A222" s="45" t="n">
        <v>37438</v>
      </c>
      <c r="B222" s="46">
        <f>VLOOKUP(A222,'Data qoq'!$B:$AT,MATCH($B$1,'Data qoq'!$B$1:$AT$1,0),FALSE)</f>
        <v/>
      </c>
      <c r="C222" s="46">
        <f>Table134567891011121314151617343[[#This Row],[USA]]-B221</f>
        <v/>
      </c>
      <c r="D222" s="58">
        <f>(Table134567891011121314151617343[[#This Row],[USA]]/100 +1)^4-1</f>
        <v/>
      </c>
    </row>
    <row r="223">
      <c r="A223" s="45" t="n">
        <v>37530</v>
      </c>
      <c r="B223" s="46">
        <f>VLOOKUP(A223,'Data qoq'!$B:$AT,MATCH($B$1,'Data qoq'!$B$1:$AT$1,0),FALSE)</f>
        <v/>
      </c>
      <c r="C223" s="46">
        <f>Table134567891011121314151617343[[#This Row],[USA]]-B222</f>
        <v/>
      </c>
      <c r="D223" s="58">
        <f>(Table134567891011121314151617343[[#This Row],[USA]]/100 +1)^4-1</f>
        <v/>
      </c>
    </row>
    <row r="224">
      <c r="A224" s="45" t="n">
        <v>37622</v>
      </c>
      <c r="B224" s="46">
        <f>VLOOKUP(A224,'Data qoq'!$B:$AT,MATCH($B$1,'Data qoq'!$B$1:$AT$1,0),FALSE)</f>
        <v/>
      </c>
      <c r="C224" s="46">
        <f>Table134567891011121314151617343[[#This Row],[USA]]-B223</f>
        <v/>
      </c>
      <c r="D224" s="58">
        <f>(Table134567891011121314151617343[[#This Row],[USA]]/100 +1)^4-1</f>
        <v/>
      </c>
    </row>
    <row r="225">
      <c r="A225" s="45" t="n">
        <v>37712</v>
      </c>
      <c r="B225" s="46">
        <f>VLOOKUP(A225,'Data qoq'!$B:$AT,MATCH($B$1,'Data qoq'!$B$1:$AT$1,0),FALSE)</f>
        <v/>
      </c>
      <c r="C225" s="46">
        <f>Table134567891011121314151617343[[#This Row],[USA]]-B224</f>
        <v/>
      </c>
      <c r="D225" s="58">
        <f>(Table134567891011121314151617343[[#This Row],[USA]]/100 +1)^4-1</f>
        <v/>
      </c>
    </row>
    <row r="226">
      <c r="A226" s="45" t="n">
        <v>37803</v>
      </c>
      <c r="B226" s="46">
        <f>VLOOKUP(A226,'Data qoq'!$B:$AT,MATCH($B$1,'Data qoq'!$B$1:$AT$1,0),FALSE)</f>
        <v/>
      </c>
      <c r="C226" s="46">
        <f>Table134567891011121314151617343[[#This Row],[USA]]-B225</f>
        <v/>
      </c>
      <c r="D226" s="58">
        <f>(Table134567891011121314151617343[[#This Row],[USA]]/100 +1)^4-1</f>
        <v/>
      </c>
    </row>
    <row r="227">
      <c r="A227" s="45" t="n">
        <v>37895</v>
      </c>
      <c r="B227" s="46">
        <f>VLOOKUP(A227,'Data qoq'!$B:$AT,MATCH($B$1,'Data qoq'!$B$1:$AT$1,0),FALSE)</f>
        <v/>
      </c>
      <c r="C227" s="46">
        <f>Table134567891011121314151617343[[#This Row],[USA]]-B226</f>
        <v/>
      </c>
      <c r="D227" s="58">
        <f>(Table134567891011121314151617343[[#This Row],[USA]]/100 +1)^4-1</f>
        <v/>
      </c>
    </row>
    <row r="228">
      <c r="A228" s="45" t="n">
        <v>37987</v>
      </c>
      <c r="B228" s="46">
        <f>VLOOKUP(A228,'Data qoq'!$B:$AT,MATCH($B$1,'Data qoq'!$B$1:$AT$1,0),FALSE)</f>
        <v/>
      </c>
      <c r="C228" s="46">
        <f>Table134567891011121314151617343[[#This Row],[USA]]-B227</f>
        <v/>
      </c>
      <c r="D228" s="58">
        <f>(Table134567891011121314151617343[[#This Row],[USA]]/100 +1)^4-1</f>
        <v/>
      </c>
    </row>
    <row r="229">
      <c r="A229" s="45" t="n">
        <v>38078</v>
      </c>
      <c r="B229" s="46">
        <f>VLOOKUP(A229,'Data qoq'!$B:$AT,MATCH($B$1,'Data qoq'!$B$1:$AT$1,0),FALSE)</f>
        <v/>
      </c>
      <c r="C229" s="46">
        <f>Table134567891011121314151617343[[#This Row],[USA]]-B228</f>
        <v/>
      </c>
      <c r="D229" s="58">
        <f>(Table134567891011121314151617343[[#This Row],[USA]]/100 +1)^4-1</f>
        <v/>
      </c>
    </row>
    <row r="230">
      <c r="A230" s="45" t="n">
        <v>38169</v>
      </c>
      <c r="B230" s="46">
        <f>VLOOKUP(A230,'Data qoq'!$B:$AT,MATCH($B$1,'Data qoq'!$B$1:$AT$1,0),FALSE)</f>
        <v/>
      </c>
      <c r="C230" s="46">
        <f>Table134567891011121314151617343[[#This Row],[USA]]-B229</f>
        <v/>
      </c>
      <c r="D230" s="58">
        <f>(Table134567891011121314151617343[[#This Row],[USA]]/100 +1)^4-1</f>
        <v/>
      </c>
    </row>
    <row r="231">
      <c r="A231" s="45" t="n">
        <v>38261</v>
      </c>
      <c r="B231" s="46">
        <f>VLOOKUP(A231,'Data qoq'!$B:$AT,MATCH($B$1,'Data qoq'!$B$1:$AT$1,0),FALSE)</f>
        <v/>
      </c>
      <c r="C231" s="46">
        <f>Table134567891011121314151617343[[#This Row],[USA]]-B230</f>
        <v/>
      </c>
      <c r="D231" s="58">
        <f>(Table134567891011121314151617343[[#This Row],[USA]]/100 +1)^4-1</f>
        <v/>
      </c>
    </row>
    <row r="232">
      <c r="A232" s="45" t="n">
        <v>38353</v>
      </c>
      <c r="B232" s="46">
        <f>VLOOKUP(A232,'Data qoq'!$B:$AT,MATCH($B$1,'Data qoq'!$B$1:$AT$1,0),FALSE)</f>
        <v/>
      </c>
      <c r="C232" s="46">
        <f>Table134567891011121314151617343[[#This Row],[USA]]-B231</f>
        <v/>
      </c>
      <c r="D232" s="58">
        <f>(Table134567891011121314151617343[[#This Row],[USA]]/100 +1)^4-1</f>
        <v/>
      </c>
    </row>
    <row r="233">
      <c r="A233" s="45" t="n">
        <v>38443</v>
      </c>
      <c r="B233" s="46">
        <f>VLOOKUP(A233,'Data qoq'!$B:$AT,MATCH($B$1,'Data qoq'!$B$1:$AT$1,0),FALSE)</f>
        <v/>
      </c>
      <c r="C233" s="46">
        <f>Table134567891011121314151617343[[#This Row],[USA]]-B232</f>
        <v/>
      </c>
      <c r="D233" s="58">
        <f>(Table134567891011121314151617343[[#This Row],[USA]]/100 +1)^4-1</f>
        <v/>
      </c>
    </row>
    <row r="234">
      <c r="A234" s="45" t="n">
        <v>38534</v>
      </c>
      <c r="B234" s="46">
        <f>VLOOKUP(A234,'Data qoq'!$B:$AT,MATCH($B$1,'Data qoq'!$B$1:$AT$1,0),FALSE)</f>
        <v/>
      </c>
      <c r="C234" s="46">
        <f>Table134567891011121314151617343[[#This Row],[USA]]-B233</f>
        <v/>
      </c>
      <c r="D234" s="58">
        <f>(Table134567891011121314151617343[[#This Row],[USA]]/100 +1)^4-1</f>
        <v/>
      </c>
    </row>
    <row r="235">
      <c r="A235" s="45" t="n">
        <v>38626</v>
      </c>
      <c r="B235" s="46">
        <f>VLOOKUP(A235,'Data qoq'!$B:$AT,MATCH($B$1,'Data qoq'!$B$1:$AT$1,0),FALSE)</f>
        <v/>
      </c>
      <c r="C235" s="46">
        <f>Table134567891011121314151617343[[#This Row],[USA]]-B234</f>
        <v/>
      </c>
      <c r="D235" s="58">
        <f>(Table134567891011121314151617343[[#This Row],[USA]]/100 +1)^4-1</f>
        <v/>
      </c>
    </row>
    <row r="236">
      <c r="A236" s="45" t="n">
        <v>38718</v>
      </c>
      <c r="B236" s="46">
        <f>VLOOKUP(A236,'Data qoq'!$B:$AT,MATCH($B$1,'Data qoq'!$B$1:$AT$1,0),FALSE)</f>
        <v/>
      </c>
      <c r="C236" s="46">
        <f>Table134567891011121314151617343[[#This Row],[USA]]-B235</f>
        <v/>
      </c>
      <c r="D236" s="58">
        <f>(Table134567891011121314151617343[[#This Row],[USA]]/100 +1)^4-1</f>
        <v/>
      </c>
    </row>
    <row r="237">
      <c r="A237" s="45" t="n">
        <v>38808</v>
      </c>
      <c r="B237" s="46">
        <f>VLOOKUP(A237,'Data qoq'!$B:$AT,MATCH($B$1,'Data qoq'!$B$1:$AT$1,0),FALSE)</f>
        <v/>
      </c>
      <c r="C237" s="46">
        <f>Table134567891011121314151617343[[#This Row],[USA]]-B236</f>
        <v/>
      </c>
      <c r="D237" s="58">
        <f>(Table134567891011121314151617343[[#This Row],[USA]]/100 +1)^4-1</f>
        <v/>
      </c>
    </row>
    <row r="238">
      <c r="A238" s="45" t="n">
        <v>38899</v>
      </c>
      <c r="B238" s="46">
        <f>VLOOKUP(A238,'Data qoq'!$B:$AT,MATCH($B$1,'Data qoq'!$B$1:$AT$1,0),FALSE)</f>
        <v/>
      </c>
      <c r="C238" s="46">
        <f>Table134567891011121314151617343[[#This Row],[USA]]-B237</f>
        <v/>
      </c>
      <c r="D238" s="58">
        <f>(Table134567891011121314151617343[[#This Row],[USA]]/100 +1)^4-1</f>
        <v/>
      </c>
    </row>
    <row r="239">
      <c r="A239" s="45" t="n">
        <v>38991</v>
      </c>
      <c r="B239" s="46">
        <f>VLOOKUP(A239,'Data qoq'!$B:$AT,MATCH($B$1,'Data qoq'!$B$1:$AT$1,0),FALSE)</f>
        <v/>
      </c>
      <c r="C239" s="46">
        <f>Table134567891011121314151617343[[#This Row],[USA]]-B238</f>
        <v/>
      </c>
      <c r="D239" s="58">
        <f>(Table134567891011121314151617343[[#This Row],[USA]]/100 +1)^4-1</f>
        <v/>
      </c>
    </row>
    <row r="240">
      <c r="A240" s="45" t="n">
        <v>39083</v>
      </c>
      <c r="B240" s="46">
        <f>VLOOKUP(A240,'Data qoq'!$B:$AT,MATCH($B$1,'Data qoq'!$B$1:$AT$1,0),FALSE)</f>
        <v/>
      </c>
      <c r="C240" s="46">
        <f>Table134567891011121314151617343[[#This Row],[USA]]-B239</f>
        <v/>
      </c>
      <c r="D240" s="58">
        <f>(Table134567891011121314151617343[[#This Row],[USA]]/100 +1)^4-1</f>
        <v/>
      </c>
    </row>
    <row r="241">
      <c r="A241" s="45" t="n">
        <v>39173</v>
      </c>
      <c r="B241" s="46">
        <f>VLOOKUP(A241,'Data qoq'!$B:$AT,MATCH($B$1,'Data qoq'!$B$1:$AT$1,0),FALSE)</f>
        <v/>
      </c>
      <c r="C241" s="46">
        <f>Table134567891011121314151617343[[#This Row],[USA]]-B240</f>
        <v/>
      </c>
      <c r="D241" s="58">
        <f>(Table134567891011121314151617343[[#This Row],[USA]]/100 +1)^4-1</f>
        <v/>
      </c>
    </row>
    <row r="242">
      <c r="A242" s="45" t="n">
        <v>39264</v>
      </c>
      <c r="B242" s="46">
        <f>VLOOKUP(A242,'Data qoq'!$B:$AT,MATCH($B$1,'Data qoq'!$B$1:$AT$1,0),FALSE)</f>
        <v/>
      </c>
      <c r="C242" s="46">
        <f>Table134567891011121314151617343[[#This Row],[USA]]-B241</f>
        <v/>
      </c>
      <c r="D242" s="58">
        <f>(Table134567891011121314151617343[[#This Row],[USA]]/100 +1)^4-1</f>
        <v/>
      </c>
    </row>
    <row r="243">
      <c r="A243" s="45" t="n">
        <v>39356</v>
      </c>
      <c r="B243" s="46">
        <f>VLOOKUP(A243,'Data qoq'!$B:$AT,MATCH($B$1,'Data qoq'!$B$1:$AT$1,0),FALSE)</f>
        <v/>
      </c>
      <c r="C243" s="46">
        <f>Table134567891011121314151617343[[#This Row],[USA]]-B242</f>
        <v/>
      </c>
      <c r="D243" s="58">
        <f>(Table134567891011121314151617343[[#This Row],[USA]]/100 +1)^4-1</f>
        <v/>
      </c>
    </row>
    <row r="244">
      <c r="A244" s="45" t="n">
        <v>39448</v>
      </c>
      <c r="B244" s="46">
        <f>VLOOKUP(A244,'Data qoq'!$B:$AT,MATCH($B$1,'Data qoq'!$B$1:$AT$1,0),FALSE)</f>
        <v/>
      </c>
      <c r="C244" s="46">
        <f>Table134567891011121314151617343[[#This Row],[USA]]-B243</f>
        <v/>
      </c>
      <c r="D244" s="58">
        <f>(Table134567891011121314151617343[[#This Row],[USA]]/100 +1)^4-1</f>
        <v/>
      </c>
    </row>
    <row r="245">
      <c r="A245" s="45" t="n">
        <v>39539</v>
      </c>
      <c r="B245" s="46">
        <f>VLOOKUP(A245,'Data qoq'!$B:$AT,MATCH($B$1,'Data qoq'!$B$1:$AT$1,0),FALSE)</f>
        <v/>
      </c>
      <c r="C245" s="46">
        <f>Table134567891011121314151617343[[#This Row],[USA]]-B244</f>
        <v/>
      </c>
      <c r="D245" s="58">
        <f>(Table134567891011121314151617343[[#This Row],[USA]]/100 +1)^4-1</f>
        <v/>
      </c>
    </row>
    <row r="246">
      <c r="A246" s="45" t="n">
        <v>39630</v>
      </c>
      <c r="B246" s="46">
        <f>VLOOKUP(A246,'Data qoq'!$B:$AT,MATCH($B$1,'Data qoq'!$B$1:$AT$1,0),FALSE)</f>
        <v/>
      </c>
      <c r="C246" s="46">
        <f>Table134567891011121314151617343[[#This Row],[USA]]-B245</f>
        <v/>
      </c>
      <c r="D246" s="58">
        <f>(Table134567891011121314151617343[[#This Row],[USA]]/100 +1)^4-1</f>
        <v/>
      </c>
    </row>
    <row r="247">
      <c r="A247" s="45" t="n">
        <v>39722</v>
      </c>
      <c r="B247" s="46">
        <f>VLOOKUP(A247,'Data qoq'!$B:$AT,MATCH($B$1,'Data qoq'!$B$1:$AT$1,0),FALSE)</f>
        <v/>
      </c>
      <c r="C247" s="46">
        <f>Table134567891011121314151617343[[#This Row],[USA]]-B246</f>
        <v/>
      </c>
      <c r="D247" s="58">
        <f>(Table134567891011121314151617343[[#This Row],[USA]]/100 +1)^4-1</f>
        <v/>
      </c>
    </row>
    <row r="248">
      <c r="A248" s="45" t="n">
        <v>39814</v>
      </c>
      <c r="B248" s="46">
        <f>VLOOKUP(A248,'Data qoq'!$B:$AT,MATCH($B$1,'Data qoq'!$B$1:$AT$1,0),FALSE)</f>
        <v/>
      </c>
      <c r="C248" s="46">
        <f>Table134567891011121314151617343[[#This Row],[USA]]-B247</f>
        <v/>
      </c>
      <c r="D248" s="58">
        <f>(Table134567891011121314151617343[[#This Row],[USA]]/100 +1)^4-1</f>
        <v/>
      </c>
    </row>
    <row r="249">
      <c r="A249" s="45" t="n">
        <v>39904</v>
      </c>
      <c r="B249" s="46">
        <f>VLOOKUP(A249,'Data qoq'!$B:$AT,MATCH($B$1,'Data qoq'!$B$1:$AT$1,0),FALSE)</f>
        <v/>
      </c>
      <c r="C249" s="46">
        <f>Table134567891011121314151617343[[#This Row],[USA]]-B248</f>
        <v/>
      </c>
      <c r="D249" s="58">
        <f>(Table134567891011121314151617343[[#This Row],[USA]]/100 +1)^4-1</f>
        <v/>
      </c>
    </row>
    <row r="250">
      <c r="A250" s="45" t="n">
        <v>39995</v>
      </c>
      <c r="B250" s="46">
        <f>VLOOKUP(A250,'Data qoq'!$B:$AT,MATCH($B$1,'Data qoq'!$B$1:$AT$1,0),FALSE)</f>
        <v/>
      </c>
      <c r="C250" s="46">
        <f>Table134567891011121314151617343[[#This Row],[USA]]-B249</f>
        <v/>
      </c>
      <c r="D250" s="58">
        <f>(Table134567891011121314151617343[[#This Row],[USA]]/100 +1)^4-1</f>
        <v/>
      </c>
    </row>
    <row r="251">
      <c r="A251" s="45" t="n">
        <v>40087</v>
      </c>
      <c r="B251" s="46">
        <f>VLOOKUP(A251,'Data qoq'!$B:$AT,MATCH($B$1,'Data qoq'!$B$1:$AT$1,0),FALSE)</f>
        <v/>
      </c>
      <c r="C251" s="46">
        <f>Table134567891011121314151617343[[#This Row],[USA]]-B250</f>
        <v/>
      </c>
      <c r="D251" s="58">
        <f>(Table134567891011121314151617343[[#This Row],[USA]]/100 +1)^4-1</f>
        <v/>
      </c>
    </row>
    <row r="252">
      <c r="A252" s="45" t="n">
        <v>40179</v>
      </c>
      <c r="B252" s="46">
        <f>VLOOKUP(A252,'Data qoq'!$B:$AT,MATCH($B$1,'Data qoq'!$B$1:$AT$1,0),FALSE)</f>
        <v/>
      </c>
      <c r="C252" s="46">
        <f>Table134567891011121314151617343[[#This Row],[USA]]-B251</f>
        <v/>
      </c>
      <c r="D252" s="58">
        <f>(Table134567891011121314151617343[[#This Row],[USA]]/100 +1)^4-1</f>
        <v/>
      </c>
    </row>
    <row r="253">
      <c r="A253" s="45" t="n">
        <v>40269</v>
      </c>
      <c r="B253" s="46">
        <f>VLOOKUP(A253,'Data qoq'!$B:$AT,MATCH($B$1,'Data qoq'!$B$1:$AT$1,0),FALSE)</f>
        <v/>
      </c>
      <c r="C253" s="46">
        <f>Table134567891011121314151617343[[#This Row],[USA]]-B252</f>
        <v/>
      </c>
      <c r="D253" s="58">
        <f>(Table134567891011121314151617343[[#This Row],[USA]]/100 +1)^4-1</f>
        <v/>
      </c>
    </row>
    <row r="254">
      <c r="A254" s="45" t="n">
        <v>40360</v>
      </c>
      <c r="B254" s="46">
        <f>VLOOKUP(A254,'Data qoq'!$B:$AT,MATCH($B$1,'Data qoq'!$B$1:$AT$1,0),FALSE)</f>
        <v/>
      </c>
      <c r="C254" s="46">
        <f>Table134567891011121314151617343[[#This Row],[USA]]-B253</f>
        <v/>
      </c>
      <c r="D254" s="58">
        <f>(Table134567891011121314151617343[[#This Row],[USA]]/100 +1)^4-1</f>
        <v/>
      </c>
    </row>
    <row r="255">
      <c r="A255" s="45" t="n">
        <v>40452</v>
      </c>
      <c r="B255" s="46">
        <f>VLOOKUP(A255,'Data qoq'!$B:$AT,MATCH($B$1,'Data qoq'!$B$1:$AT$1,0),FALSE)</f>
        <v/>
      </c>
      <c r="C255" s="46">
        <f>Table134567891011121314151617343[[#This Row],[USA]]-B254</f>
        <v/>
      </c>
      <c r="D255" s="58">
        <f>(Table134567891011121314151617343[[#This Row],[USA]]/100 +1)^4-1</f>
        <v/>
      </c>
    </row>
    <row r="256">
      <c r="A256" s="45" t="n">
        <v>40544</v>
      </c>
      <c r="B256" s="46">
        <f>VLOOKUP(A256,'Data qoq'!$B:$AT,MATCH($B$1,'Data qoq'!$B$1:$AT$1,0),FALSE)</f>
        <v/>
      </c>
      <c r="C256" s="46">
        <f>Table134567891011121314151617343[[#This Row],[USA]]-B255</f>
        <v/>
      </c>
      <c r="D256" s="58">
        <f>(Table134567891011121314151617343[[#This Row],[USA]]/100 +1)^4-1</f>
        <v/>
      </c>
    </row>
    <row r="257">
      <c r="A257" s="45" t="n">
        <v>40634</v>
      </c>
      <c r="B257" s="46">
        <f>VLOOKUP(A257,'Data qoq'!$B:$AT,MATCH($B$1,'Data qoq'!$B$1:$AT$1,0),FALSE)</f>
        <v/>
      </c>
      <c r="C257" s="46">
        <f>Table134567891011121314151617343[[#This Row],[USA]]-B256</f>
        <v/>
      </c>
      <c r="D257" s="58">
        <f>(Table134567891011121314151617343[[#This Row],[USA]]/100 +1)^4-1</f>
        <v/>
      </c>
    </row>
    <row r="258">
      <c r="A258" s="45" t="n">
        <v>40725</v>
      </c>
      <c r="B258" s="46">
        <f>VLOOKUP(A258,'Data qoq'!$B:$AT,MATCH($B$1,'Data qoq'!$B$1:$AT$1,0),FALSE)</f>
        <v/>
      </c>
      <c r="C258" s="46">
        <f>Table134567891011121314151617343[[#This Row],[USA]]-B257</f>
        <v/>
      </c>
      <c r="D258" s="58">
        <f>(Table134567891011121314151617343[[#This Row],[USA]]/100 +1)^4-1</f>
        <v/>
      </c>
    </row>
    <row r="259">
      <c r="A259" s="45" t="n">
        <v>40817</v>
      </c>
      <c r="B259" s="46">
        <f>VLOOKUP(A259,'Data qoq'!$B:$AT,MATCH($B$1,'Data qoq'!$B$1:$AT$1,0),FALSE)</f>
        <v/>
      </c>
      <c r="C259" s="46">
        <f>Table134567891011121314151617343[[#This Row],[USA]]-B258</f>
        <v/>
      </c>
      <c r="D259" s="58">
        <f>(Table134567891011121314151617343[[#This Row],[USA]]/100 +1)^4-1</f>
        <v/>
      </c>
    </row>
    <row r="260">
      <c r="A260" s="45" t="n">
        <v>40909</v>
      </c>
      <c r="B260" s="46">
        <f>VLOOKUP(A260,'Data qoq'!$B:$AT,MATCH($B$1,'Data qoq'!$B$1:$AT$1,0),FALSE)</f>
        <v/>
      </c>
      <c r="C260" s="46">
        <f>Table134567891011121314151617343[[#This Row],[USA]]-B259</f>
        <v/>
      </c>
      <c r="D260" s="58">
        <f>(Table134567891011121314151617343[[#This Row],[USA]]/100 +1)^4-1</f>
        <v/>
      </c>
    </row>
    <row r="261">
      <c r="A261" s="45" t="n">
        <v>41000</v>
      </c>
      <c r="B261" s="46">
        <f>VLOOKUP(A261,'Data qoq'!$B:$AT,MATCH($B$1,'Data qoq'!$B$1:$AT$1,0),FALSE)</f>
        <v/>
      </c>
      <c r="C261" s="46">
        <f>Table134567891011121314151617343[[#This Row],[USA]]-B260</f>
        <v/>
      </c>
      <c r="D261" s="58">
        <f>(Table134567891011121314151617343[[#This Row],[USA]]/100 +1)^4-1</f>
        <v/>
      </c>
    </row>
    <row r="262">
      <c r="A262" s="45" t="n">
        <v>41091</v>
      </c>
      <c r="B262" s="46">
        <f>VLOOKUP(A262,'Data qoq'!$B:$AT,MATCH($B$1,'Data qoq'!$B$1:$AT$1,0),FALSE)</f>
        <v/>
      </c>
      <c r="C262" s="46">
        <f>Table134567891011121314151617343[[#This Row],[USA]]-B261</f>
        <v/>
      </c>
      <c r="D262" s="58">
        <f>(Table134567891011121314151617343[[#This Row],[USA]]/100 +1)^4-1</f>
        <v/>
      </c>
    </row>
    <row r="263">
      <c r="A263" s="45" t="n">
        <v>41183</v>
      </c>
      <c r="B263" s="46">
        <f>VLOOKUP(A263,'Data qoq'!$B:$AT,MATCH($B$1,'Data qoq'!$B$1:$AT$1,0),FALSE)</f>
        <v/>
      </c>
      <c r="C263" s="46">
        <f>Table134567891011121314151617343[[#This Row],[USA]]-B262</f>
        <v/>
      </c>
      <c r="D263" s="58">
        <f>(Table134567891011121314151617343[[#This Row],[USA]]/100 +1)^4-1</f>
        <v/>
      </c>
    </row>
    <row r="264">
      <c r="A264" s="45" t="n">
        <v>41275</v>
      </c>
      <c r="B264" s="46">
        <f>VLOOKUP(A264,'Data qoq'!$B:$AT,MATCH($B$1,'Data qoq'!$B$1:$AT$1,0),FALSE)</f>
        <v/>
      </c>
      <c r="C264" s="46">
        <f>Table134567891011121314151617343[[#This Row],[USA]]-B263</f>
        <v/>
      </c>
      <c r="D264" s="58">
        <f>(Table134567891011121314151617343[[#This Row],[USA]]/100 +1)^4-1</f>
        <v/>
      </c>
    </row>
    <row r="265">
      <c r="A265" s="45" t="n">
        <v>41365</v>
      </c>
      <c r="B265" s="46">
        <f>VLOOKUP(A265,'Data qoq'!$B:$AT,MATCH($B$1,'Data qoq'!$B$1:$AT$1,0),FALSE)</f>
        <v/>
      </c>
      <c r="C265" s="46">
        <f>Table134567891011121314151617343[[#This Row],[USA]]-B264</f>
        <v/>
      </c>
      <c r="D265" s="58">
        <f>(Table134567891011121314151617343[[#This Row],[USA]]/100 +1)^4-1</f>
        <v/>
      </c>
    </row>
    <row r="266">
      <c r="A266" s="45" t="n">
        <v>41456</v>
      </c>
      <c r="B266" s="46">
        <f>VLOOKUP(A266,'Data qoq'!$B:$AT,MATCH($B$1,'Data qoq'!$B$1:$AT$1,0),FALSE)</f>
        <v/>
      </c>
      <c r="C266" s="46">
        <f>Table134567891011121314151617343[[#This Row],[USA]]-B265</f>
        <v/>
      </c>
      <c r="D266" s="58">
        <f>(Table134567891011121314151617343[[#This Row],[USA]]/100 +1)^4-1</f>
        <v/>
      </c>
    </row>
    <row r="267">
      <c r="A267" s="45" t="n">
        <v>41548</v>
      </c>
      <c r="B267" s="46">
        <f>VLOOKUP(A267,'Data qoq'!$B:$AT,MATCH($B$1,'Data qoq'!$B$1:$AT$1,0),FALSE)</f>
        <v/>
      </c>
      <c r="C267" s="46">
        <f>Table134567891011121314151617343[[#This Row],[USA]]-B266</f>
        <v/>
      </c>
      <c r="D267" s="58">
        <f>(Table134567891011121314151617343[[#This Row],[USA]]/100 +1)^4-1</f>
        <v/>
      </c>
    </row>
    <row r="268">
      <c r="A268" s="45" t="n">
        <v>41640</v>
      </c>
      <c r="B268" s="46">
        <f>VLOOKUP(A268,'Data qoq'!$B:$AT,MATCH($B$1,'Data qoq'!$B$1:$AT$1,0),FALSE)</f>
        <v/>
      </c>
      <c r="C268" s="46">
        <f>Table134567891011121314151617343[[#This Row],[USA]]-B267</f>
        <v/>
      </c>
      <c r="D268" s="58">
        <f>(Table134567891011121314151617343[[#This Row],[USA]]/100 +1)^4-1</f>
        <v/>
      </c>
    </row>
    <row r="269">
      <c r="A269" s="45" t="n">
        <v>41730</v>
      </c>
      <c r="B269" s="46">
        <f>VLOOKUP(A269,'Data qoq'!$B:$AT,MATCH($B$1,'Data qoq'!$B$1:$AT$1,0),FALSE)</f>
        <v/>
      </c>
      <c r="C269" s="46">
        <f>Table134567891011121314151617343[[#This Row],[USA]]-B268</f>
        <v/>
      </c>
      <c r="D269" s="58">
        <f>(Table134567891011121314151617343[[#This Row],[USA]]/100 +1)^4-1</f>
        <v/>
      </c>
    </row>
    <row r="270">
      <c r="A270" s="45" t="n">
        <v>41821</v>
      </c>
      <c r="B270" s="46">
        <f>VLOOKUP(A270,'Data qoq'!$B:$AT,MATCH($B$1,'Data qoq'!$B$1:$AT$1,0),FALSE)</f>
        <v/>
      </c>
      <c r="C270" s="46">
        <f>Table134567891011121314151617343[[#This Row],[USA]]-B269</f>
        <v/>
      </c>
      <c r="D270" s="58">
        <f>(Table134567891011121314151617343[[#This Row],[USA]]/100 +1)^4-1</f>
        <v/>
      </c>
    </row>
    <row r="271">
      <c r="A271" s="45" t="n">
        <v>41913</v>
      </c>
      <c r="B271" s="46">
        <f>VLOOKUP(A271,'Data qoq'!$B:$AT,MATCH($B$1,'Data qoq'!$B$1:$AT$1,0),FALSE)</f>
        <v/>
      </c>
      <c r="C271" s="46">
        <f>Table134567891011121314151617343[[#This Row],[USA]]-B270</f>
        <v/>
      </c>
      <c r="D271" s="58">
        <f>(Table134567891011121314151617343[[#This Row],[USA]]/100 +1)^4-1</f>
        <v/>
      </c>
    </row>
    <row r="272">
      <c r="A272" s="45" t="n">
        <v>42005</v>
      </c>
      <c r="B272" s="46">
        <f>VLOOKUP(A272,'Data qoq'!$B:$AT,MATCH($B$1,'Data qoq'!$B$1:$AT$1,0),FALSE)</f>
        <v/>
      </c>
      <c r="C272" s="46">
        <f>Table134567891011121314151617343[[#This Row],[USA]]-B271</f>
        <v/>
      </c>
      <c r="D272" s="58">
        <f>(Table134567891011121314151617343[[#This Row],[USA]]/100 +1)^4-1</f>
        <v/>
      </c>
    </row>
    <row r="273">
      <c r="A273" s="45" t="n">
        <v>42095</v>
      </c>
      <c r="B273" s="46">
        <f>VLOOKUP(A273,'Data qoq'!$B:$AT,MATCH($B$1,'Data qoq'!$B$1:$AT$1,0),FALSE)</f>
        <v/>
      </c>
      <c r="C273" s="46">
        <f>Table134567891011121314151617343[[#This Row],[USA]]-B272</f>
        <v/>
      </c>
      <c r="D273" s="58">
        <f>(Table134567891011121314151617343[[#This Row],[USA]]/100 +1)^4-1</f>
        <v/>
      </c>
    </row>
    <row r="274">
      <c r="A274" s="45" t="n">
        <v>42186</v>
      </c>
      <c r="B274" s="46">
        <f>VLOOKUP(A274,'Data qoq'!$B:$AT,MATCH($B$1,'Data qoq'!$B$1:$AT$1,0),FALSE)</f>
        <v/>
      </c>
      <c r="C274" s="46">
        <f>Table134567891011121314151617343[[#This Row],[USA]]-B273</f>
        <v/>
      </c>
      <c r="D274" s="58">
        <f>(Table134567891011121314151617343[[#This Row],[USA]]/100 +1)^4-1</f>
        <v/>
      </c>
    </row>
    <row r="275">
      <c r="A275" s="45" t="n">
        <v>42278</v>
      </c>
      <c r="B275" s="46">
        <f>VLOOKUP(A275,'Data qoq'!$B:$AT,MATCH($B$1,'Data qoq'!$B$1:$AT$1,0),FALSE)</f>
        <v/>
      </c>
      <c r="C275" s="46">
        <f>Table134567891011121314151617343[[#This Row],[USA]]-B274</f>
        <v/>
      </c>
      <c r="D275" s="58">
        <f>(Table134567891011121314151617343[[#This Row],[USA]]/100 +1)^4-1</f>
        <v/>
      </c>
    </row>
    <row r="276">
      <c r="A276" s="45" t="n">
        <v>42370</v>
      </c>
      <c r="B276" s="46">
        <f>VLOOKUP(A276,'Data qoq'!$B:$AT,MATCH($B$1,'Data qoq'!$B$1:$AT$1,0),FALSE)</f>
        <v/>
      </c>
      <c r="C276" s="46">
        <f>Table134567891011121314151617343[[#This Row],[USA]]-B275</f>
        <v/>
      </c>
      <c r="D276" s="58">
        <f>(Table134567891011121314151617343[[#This Row],[USA]]/100 +1)^4-1</f>
        <v/>
      </c>
    </row>
    <row r="277">
      <c r="A277" s="45" t="n">
        <v>42461</v>
      </c>
      <c r="B277" s="46">
        <f>VLOOKUP(A277,'Data qoq'!$B:$AT,MATCH($B$1,'Data qoq'!$B$1:$AT$1,0),FALSE)</f>
        <v/>
      </c>
      <c r="C277" s="46">
        <f>Table134567891011121314151617343[[#This Row],[USA]]-B276</f>
        <v/>
      </c>
      <c r="D277" s="58">
        <f>(Table134567891011121314151617343[[#This Row],[USA]]/100 +1)^4-1</f>
        <v/>
      </c>
    </row>
    <row r="278">
      <c r="A278" s="45" t="n">
        <v>42552</v>
      </c>
      <c r="B278" s="46">
        <f>VLOOKUP(A278,'Data qoq'!$B:$AT,MATCH($B$1,'Data qoq'!$B$1:$AT$1,0),FALSE)</f>
        <v/>
      </c>
      <c r="C278" s="46">
        <f>Table134567891011121314151617343[[#This Row],[USA]]-B277</f>
        <v/>
      </c>
      <c r="D278" s="58">
        <f>(Table134567891011121314151617343[[#This Row],[USA]]/100 +1)^4-1</f>
        <v/>
      </c>
    </row>
    <row r="279">
      <c r="A279" s="45" t="n">
        <v>42644</v>
      </c>
      <c r="B279" s="46">
        <f>VLOOKUP(A279,'Data qoq'!$B:$AT,MATCH($B$1,'Data qoq'!$B$1:$AT$1,0),FALSE)</f>
        <v/>
      </c>
      <c r="C279" s="46">
        <f>Table134567891011121314151617343[[#This Row],[USA]]-B278</f>
        <v/>
      </c>
      <c r="D279" s="58">
        <f>(Table134567891011121314151617343[[#This Row],[USA]]/100 +1)^4-1</f>
        <v/>
      </c>
    </row>
    <row r="280">
      <c r="A280" s="45" t="n">
        <v>42736</v>
      </c>
      <c r="B280" s="46">
        <f>VLOOKUP(A280,'Data qoq'!$B:$AT,MATCH($B$1,'Data qoq'!$B$1:$AT$1,0),FALSE)</f>
        <v/>
      </c>
      <c r="C280" s="46">
        <f>Table134567891011121314151617343[[#This Row],[USA]]-B279</f>
        <v/>
      </c>
      <c r="D280" s="58">
        <f>(Table134567891011121314151617343[[#This Row],[USA]]/100 +1)^4-1</f>
        <v/>
      </c>
    </row>
    <row r="281">
      <c r="A281" s="45" t="n">
        <v>42826</v>
      </c>
      <c r="B281" s="46">
        <f>VLOOKUP(A281,'Data qoq'!$B:$AT,MATCH($B$1,'Data qoq'!$B$1:$AT$1,0),FALSE)</f>
        <v/>
      </c>
      <c r="C281" s="46">
        <f>Table134567891011121314151617343[[#This Row],[USA]]-B280</f>
        <v/>
      </c>
      <c r="D281" s="58">
        <f>(Table134567891011121314151617343[[#This Row],[USA]]/100 +1)^4-1</f>
        <v/>
      </c>
    </row>
    <row r="282">
      <c r="A282" s="45" t="n">
        <v>42917</v>
      </c>
      <c r="B282" s="46">
        <f>VLOOKUP(A282,'Data qoq'!$B:$AT,MATCH($B$1,'Data qoq'!$B$1:$AT$1,0),FALSE)</f>
        <v/>
      </c>
      <c r="C282" s="46">
        <f>Table134567891011121314151617343[[#This Row],[USA]]-B281</f>
        <v/>
      </c>
      <c r="D282" s="58">
        <f>(Table134567891011121314151617343[[#This Row],[USA]]/100 +1)^4-1</f>
        <v/>
      </c>
    </row>
    <row r="283">
      <c r="A283" s="45" t="n">
        <v>43009</v>
      </c>
      <c r="B283" s="46">
        <f>VLOOKUP(A283,'Data qoq'!$B:$AT,MATCH($B$1,'Data qoq'!$B$1:$AT$1,0),FALSE)</f>
        <v/>
      </c>
      <c r="C283" s="46">
        <f>Table134567891011121314151617343[[#This Row],[USA]]-B282</f>
        <v/>
      </c>
      <c r="D283" s="58">
        <f>(Table134567891011121314151617343[[#This Row],[USA]]/100 +1)^4-1</f>
        <v/>
      </c>
    </row>
    <row r="284">
      <c r="A284" s="45" t="n">
        <v>43101</v>
      </c>
      <c r="B284" s="46">
        <f>VLOOKUP(A284,'Data qoq'!$B:$AT,MATCH($B$1,'Data qoq'!$B$1:$AT$1,0),FALSE)</f>
        <v/>
      </c>
      <c r="C284" s="46">
        <f>Table134567891011121314151617343[[#This Row],[USA]]-B283</f>
        <v/>
      </c>
      <c r="D284" s="58">
        <f>(Table134567891011121314151617343[[#This Row],[USA]]/100 +1)^4-1</f>
        <v/>
      </c>
    </row>
    <row r="285">
      <c r="A285" s="45" t="n">
        <v>43191</v>
      </c>
      <c r="B285" s="46">
        <f>VLOOKUP(A285,'Data qoq'!$B:$AT,MATCH($B$1,'Data qoq'!$B$1:$AT$1,0),FALSE)</f>
        <v/>
      </c>
      <c r="C285" s="46">
        <f>Table134567891011121314151617343[[#This Row],[USA]]-B284</f>
        <v/>
      </c>
      <c r="D285" s="58">
        <f>(Table134567891011121314151617343[[#This Row],[USA]]/100 +1)^4-1</f>
        <v/>
      </c>
    </row>
    <row r="286">
      <c r="A286" s="45" t="n">
        <v>43282</v>
      </c>
      <c r="B286" s="46">
        <f>VLOOKUP(A286,'Data qoq'!$B:$AT,MATCH($B$1,'Data qoq'!$B$1:$AT$1,0),FALSE)</f>
        <v/>
      </c>
      <c r="C286" s="46">
        <f>Table134567891011121314151617343[[#This Row],[USA]]-B285</f>
        <v/>
      </c>
      <c r="D286" s="58">
        <f>(Table134567891011121314151617343[[#This Row],[USA]]/100 +1)^4-1</f>
        <v/>
      </c>
    </row>
    <row r="287">
      <c r="A287" s="45" t="n">
        <v>43374</v>
      </c>
      <c r="B287" s="46">
        <f>VLOOKUP(A287,'Data qoq'!$B:$AT,MATCH($B$1,'Data qoq'!$B$1:$AT$1,0),FALSE)</f>
        <v/>
      </c>
      <c r="C287" s="46">
        <f>Table134567891011121314151617343[[#This Row],[USA]]-B286</f>
        <v/>
      </c>
      <c r="D287" s="58">
        <f>(Table134567891011121314151617343[[#This Row],[USA]]/100 +1)^4-1</f>
        <v/>
      </c>
    </row>
    <row r="288">
      <c r="A288" s="45" t="n">
        <v>43466</v>
      </c>
      <c r="B288" s="46">
        <f>VLOOKUP(A288,'Data qoq'!$B:$AT,MATCH($B$1,'Data qoq'!$B$1:$AT$1,0),FALSE)</f>
        <v/>
      </c>
      <c r="C288" s="46">
        <f>Table134567891011121314151617343[[#This Row],[USA]]-B287</f>
        <v/>
      </c>
      <c r="D288" s="58">
        <f>(Table134567891011121314151617343[[#This Row],[USA]]/100 +1)^4-1</f>
        <v/>
      </c>
    </row>
    <row r="289">
      <c r="A289" s="45" t="n">
        <v>43556</v>
      </c>
      <c r="B289" s="46">
        <f>VLOOKUP(A289,'Data qoq'!$B:$AT,MATCH($B$1,'Data qoq'!$B$1:$AT$1,0),FALSE)</f>
        <v/>
      </c>
      <c r="C289" s="46">
        <f>Table134567891011121314151617343[[#This Row],[USA]]-B288</f>
        <v/>
      </c>
      <c r="D289" s="58">
        <f>(Table134567891011121314151617343[[#This Row],[USA]]/100 +1)^4-1</f>
        <v/>
      </c>
    </row>
    <row r="290">
      <c r="A290" s="45" t="n">
        <v>43647</v>
      </c>
      <c r="B290" s="46">
        <f>VLOOKUP(A290,'Data qoq'!$B:$AT,MATCH($B$1,'Data qoq'!$B$1:$AT$1,0),FALSE)</f>
        <v/>
      </c>
      <c r="C290" s="46">
        <f>Table134567891011121314151617343[[#This Row],[USA]]-B289</f>
        <v/>
      </c>
      <c r="D290" s="58">
        <f>(Table134567891011121314151617343[[#This Row],[USA]]/100 +1)^4-1</f>
        <v/>
      </c>
    </row>
    <row r="291" customFormat="1" s="91">
      <c r="A291" s="45" t="n">
        <v>43739</v>
      </c>
      <c r="B291" s="46">
        <f>VLOOKUP(A291,'Data qoq'!$B:$AT,MATCH($B$1,'Data qoq'!$B$1:$AT$1,0),FALSE)</f>
        <v/>
      </c>
      <c r="C291" s="46">
        <f>Table134567891011121314151617343[[#This Row],[USA]]-B290</f>
        <v/>
      </c>
      <c r="D291" s="58">
        <f>(Table134567891011121314151617343[[#This Row],[USA]]/100 +1)^4-1</f>
        <v/>
      </c>
    </row>
    <row r="292" customFormat="1" s="91">
      <c r="A292" s="45" t="n">
        <v>43831</v>
      </c>
      <c r="B292" s="46">
        <f>VLOOKUP(A292,'Data qoq'!$B:$AT,MATCH($B$1,'Data qoq'!$B$1:$AT$1,0),FALSE)</f>
        <v/>
      </c>
      <c r="C292" s="46">
        <f>Table134567891011121314151617343[[#This Row],[USA]]-B291</f>
        <v/>
      </c>
      <c r="D292" s="58">
        <f>(Table134567891011121314151617343[[#This Row],[USA]]/100 +1)^4-1</f>
        <v/>
      </c>
    </row>
    <row r="293" customFormat="1" s="91">
      <c r="A293" s="45" t="n">
        <v>43922</v>
      </c>
      <c r="B293" s="46">
        <f>VLOOKUP(A293,'Data qoq'!$B:$AT,MATCH($B$1,'Data qoq'!$B$1:$AT$1,0),FALSE)</f>
        <v/>
      </c>
      <c r="C293" s="46">
        <f>Table134567891011121314151617343[[#This Row],[USA]]-B292</f>
        <v/>
      </c>
      <c r="D293" s="58">
        <f>(Table134567891011121314151617343[[#This Row],[USA]]/100 +1)^4-1</f>
        <v/>
      </c>
    </row>
    <row r="294" customFormat="1" s="91">
      <c r="A294" s="45" t="n">
        <v>44013</v>
      </c>
      <c r="B294" s="46">
        <f>VLOOKUP(A294,'Data qoq'!$B:$AT,MATCH($B$1,'Data qoq'!$B$1:$AT$1,0),FALSE)</f>
        <v/>
      </c>
      <c r="C294" s="46">
        <f>Table134567891011121314151617343[[#This Row],[USA]]-B293</f>
        <v/>
      </c>
      <c r="D294" s="58">
        <f>(Table134567891011121314151617343[[#This Row],[USA]]/100 +1)^4-1</f>
        <v/>
      </c>
    </row>
    <row r="295" customFormat="1" s="91">
      <c r="A295" s="45" t="n">
        <v>44105</v>
      </c>
      <c r="B295" s="46">
        <f>VLOOKUP(A295,'Data qoq'!$B:$AT,MATCH($B$1,'Data qoq'!$B$1:$AT$1,0),FALSE)</f>
        <v/>
      </c>
      <c r="C295" s="46">
        <f>Table134567891011121314151617343[[#This Row],[USA]]-B294</f>
        <v/>
      </c>
      <c r="D295" s="58">
        <f>(Table134567891011121314151617343[[#This Row],[USA]]/100 +1)^4-1</f>
        <v/>
      </c>
    </row>
    <row r="296" customFormat="1" s="91">
      <c r="A296" s="45" t="n">
        <v>44197</v>
      </c>
      <c r="B296" s="46">
        <f>VLOOKUP(A296,'Data qoq'!$B:$AT,MATCH($B$1,'Data qoq'!$B$1:$AT$1,0),FALSE)</f>
        <v/>
      </c>
      <c r="C296" s="46">
        <f>Table134567891011121314151617343[[#This Row],[USA]]-B295</f>
        <v/>
      </c>
      <c r="D296" s="58">
        <f>(Table134567891011121314151617343[[#This Row],[USA]]/100 +1)^4-1</f>
        <v/>
      </c>
    </row>
    <row r="297" customFormat="1" s="91">
      <c r="A297" s="45" t="n">
        <v>44287</v>
      </c>
      <c r="B297" s="46">
        <f>VLOOKUP(A297,'Data qoq'!$B:$AT,MATCH($B$1,'Data qoq'!$B$1:$AT$1,0),FALSE)</f>
        <v/>
      </c>
      <c r="C297" s="46">
        <f>Table134567891011121314151617343[[#This Row],[USA]]-B296</f>
        <v/>
      </c>
      <c r="D297" s="58">
        <f>(Table134567891011121314151617343[[#This Row],[USA]]/100 +1)^4-1</f>
        <v/>
      </c>
    </row>
    <row r="298" customFormat="1" s="91">
      <c r="A298" s="45" t="n">
        <v>44378</v>
      </c>
      <c r="B298" s="46">
        <f>VLOOKUP(A298,'Data qoq'!$B:$AT,MATCH($B$1,'Data qoq'!$B$1:$AT$1,0),FALSE)</f>
        <v/>
      </c>
      <c r="C298" s="46">
        <f>Table134567891011121314151617343[[#This Row],[USA]]-B297</f>
        <v/>
      </c>
      <c r="D298" s="58">
        <f>(Table134567891011121314151617343[[#This Row],[USA]]/100 +1)^4-1</f>
        <v/>
      </c>
    </row>
    <row r="299" customFormat="1" s="91">
      <c r="A299" s="52" t="n"/>
      <c r="B299" s="53" t="n"/>
      <c r="C299" s="44" t="n"/>
      <c r="D299" s="59" t="n"/>
    </row>
    <row r="300" customFormat="1" s="91">
      <c r="A300" s="52" t="n"/>
      <c r="B300" s="53" t="n"/>
      <c r="C300" s="44" t="n"/>
      <c r="D300" s="59" t="n"/>
    </row>
    <row r="301" customFormat="1" s="91">
      <c r="A301" s="52" t="n"/>
      <c r="B301" s="53" t="n"/>
      <c r="C301" s="44" t="n"/>
      <c r="D301" s="59" t="n"/>
    </row>
    <row r="302" customFormat="1" s="91">
      <c r="A302" s="52" t="n"/>
      <c r="B302" s="53" t="n"/>
      <c r="C302" s="44" t="n"/>
      <c r="D302" s="59" t="n"/>
    </row>
    <row r="303" customFormat="1" s="91">
      <c r="A303" s="52" t="n"/>
      <c r="B303" s="53" t="n"/>
      <c r="C303" s="44" t="n"/>
      <c r="D303" s="59" t="n"/>
    </row>
    <row r="304" customFormat="1" s="91">
      <c r="A304" s="52" t="n"/>
      <c r="B304" s="53" t="n"/>
      <c r="C304" s="44" t="n"/>
      <c r="D304" s="59" t="n"/>
    </row>
    <row r="305" customFormat="1" s="91">
      <c r="A305" s="52" t="n"/>
      <c r="B305" s="53" t="n"/>
      <c r="C305" s="44" t="n"/>
      <c r="D305" s="59" t="n"/>
    </row>
    <row r="306" customFormat="1" s="91">
      <c r="A306" s="52" t="n"/>
      <c r="B306" s="53" t="n"/>
      <c r="C306" s="44" t="n"/>
      <c r="D306" s="59" t="n"/>
    </row>
    <row r="307" customFormat="1" s="91">
      <c r="A307" s="52" t="n"/>
      <c r="B307" s="53" t="n"/>
      <c r="C307" s="44" t="n"/>
      <c r="D307" s="59" t="n"/>
    </row>
    <row r="308" customFormat="1" s="91">
      <c r="A308" s="52" t="n"/>
      <c r="B308" s="53" t="n"/>
      <c r="C308" s="44" t="n"/>
      <c r="D308" s="59" t="n"/>
    </row>
    <row r="309" customFormat="1" s="91">
      <c r="A309" s="52" t="n"/>
      <c r="B309" s="53" t="n"/>
      <c r="C309" s="44" t="n"/>
      <c r="D309" s="59" t="n"/>
    </row>
    <row r="310" customFormat="1" s="91">
      <c r="A310" s="52" t="n"/>
      <c r="B310" s="53" t="n"/>
      <c r="C310" s="44" t="n"/>
      <c r="D310" s="59" t="n"/>
    </row>
    <row r="311" customFormat="1" s="91">
      <c r="A311" s="52" t="n"/>
      <c r="B311" s="53" t="n"/>
      <c r="C311" s="44" t="n"/>
      <c r="D311" s="59" t="n"/>
    </row>
    <row r="312" customFormat="1" s="91">
      <c r="A312" s="52" t="n"/>
      <c r="B312" s="53" t="n"/>
      <c r="C312" s="44" t="n"/>
      <c r="D312" s="59" t="n"/>
    </row>
    <row r="313" customFormat="1" s="91">
      <c r="A313" s="52" t="n"/>
      <c r="B313" s="53" t="n"/>
      <c r="C313" s="44" t="n"/>
      <c r="D313" s="59" t="n"/>
    </row>
    <row r="314" customFormat="1" s="91">
      <c r="A314" s="52" t="n"/>
      <c r="B314" s="53" t="n"/>
      <c r="C314" s="44" t="n"/>
      <c r="D314" s="59" t="n"/>
    </row>
    <row r="315" customFormat="1" s="91">
      <c r="A315" s="52" t="n"/>
      <c r="B315" s="53" t="n"/>
      <c r="C315" s="44" t="n"/>
      <c r="D315" s="59" t="n"/>
    </row>
    <row r="316" customFormat="1" s="91">
      <c r="A316" s="52" t="n"/>
      <c r="B316" s="53" t="n"/>
      <c r="C316" s="44" t="n"/>
      <c r="D316" s="59" t="n"/>
    </row>
    <row r="317" customFormat="1" s="91">
      <c r="A317" s="52" t="n"/>
      <c r="B317" s="53" t="n"/>
      <c r="C317" s="44" t="n"/>
      <c r="D317" s="59" t="n"/>
    </row>
    <row r="318" customFormat="1" s="91">
      <c r="A318" s="52" t="n"/>
      <c r="B318" s="53" t="n"/>
      <c r="C318" s="44" t="n"/>
      <c r="D318" s="59" t="n"/>
    </row>
    <row r="319" customFormat="1" s="91">
      <c r="A319" s="52" t="n"/>
      <c r="B319" s="53" t="n"/>
      <c r="C319" s="44" t="n"/>
      <c r="D319" s="59" t="n"/>
    </row>
    <row r="320" customFormat="1" s="91">
      <c r="A320" s="52" t="n"/>
      <c r="B320" s="53" t="n"/>
      <c r="C320" s="44" t="n"/>
      <c r="D320" s="59" t="n"/>
    </row>
    <row r="321" customFormat="1" s="91">
      <c r="A321" s="52" t="n"/>
      <c r="B321" s="53" t="n"/>
      <c r="C321" s="44" t="n"/>
      <c r="D321" s="59" t="n"/>
    </row>
    <row r="322" customFormat="1" s="91">
      <c r="A322" s="52" t="n"/>
      <c r="B322" s="53" t="n"/>
      <c r="C322" s="44" t="n"/>
      <c r="D322" s="59" t="n"/>
    </row>
    <row r="323" customFormat="1" s="91">
      <c r="A323" s="52" t="n"/>
      <c r="B323" s="53" t="n"/>
      <c r="C323" s="44" t="n"/>
      <c r="D323" s="59" t="n"/>
    </row>
    <row r="324" customFormat="1" s="91">
      <c r="A324" s="52" t="n"/>
      <c r="B324" s="53" t="n"/>
      <c r="C324" s="44" t="n"/>
      <c r="D324" s="59" t="n"/>
    </row>
    <row r="325" customFormat="1" s="91">
      <c r="A325" s="52" t="n"/>
      <c r="B325" s="53" t="n"/>
      <c r="C325" s="44" t="n"/>
      <c r="D325" s="59" t="n"/>
    </row>
    <row r="326" customFormat="1" s="91">
      <c r="A326" s="52" t="n"/>
      <c r="B326" s="53" t="n"/>
      <c r="C326" s="44" t="n"/>
      <c r="D326" s="59" t="n"/>
    </row>
    <row r="327" customFormat="1" s="91">
      <c r="A327" s="52" t="n"/>
      <c r="B327" s="53" t="n"/>
      <c r="C327" s="44" t="n"/>
      <c r="D327" s="59" t="n"/>
    </row>
    <row r="328" customFormat="1" s="91">
      <c r="A328" s="52" t="n"/>
      <c r="B328" s="53" t="n"/>
      <c r="C328" s="44" t="n"/>
      <c r="D328" s="59" t="n"/>
    </row>
    <row r="329" customFormat="1" s="91">
      <c r="A329" s="52" t="n"/>
      <c r="B329" s="53" t="n"/>
      <c r="C329" s="44" t="n"/>
      <c r="D329" s="59" t="n"/>
    </row>
    <row r="330" customFormat="1" s="91">
      <c r="A330" s="52" t="n"/>
      <c r="B330" s="53" t="n"/>
      <c r="C330" s="44" t="n"/>
      <c r="D330" s="59" t="n"/>
    </row>
    <row r="331" customFormat="1" s="91">
      <c r="A331" s="52" t="n"/>
      <c r="B331" s="53" t="n"/>
      <c r="C331" s="44" t="n"/>
      <c r="D331" s="59" t="n"/>
    </row>
    <row r="332" customFormat="1" s="91">
      <c r="A332" s="52" t="n"/>
      <c r="B332" s="53" t="n"/>
      <c r="C332" s="44" t="n"/>
      <c r="D332" s="59" t="n"/>
    </row>
    <row r="333" customFormat="1" s="91">
      <c r="A333" s="52" t="n"/>
      <c r="B333" s="53" t="n"/>
      <c r="C333" s="44" t="n"/>
      <c r="D333" s="59" t="n"/>
    </row>
    <row r="334" customFormat="1" s="91">
      <c r="A334" s="52" t="n"/>
      <c r="B334" s="53" t="n"/>
      <c r="C334" s="44" t="n"/>
      <c r="D334" s="59" t="n"/>
    </row>
    <row r="335" customFormat="1" s="91">
      <c r="A335" s="52" t="n"/>
      <c r="B335" s="53" t="n"/>
      <c r="C335" s="44" t="n"/>
      <c r="D335" s="59" t="n"/>
    </row>
    <row r="336" customFormat="1" s="91">
      <c r="A336" s="52" t="n"/>
      <c r="B336" s="53" t="n"/>
      <c r="C336" s="44" t="n"/>
      <c r="D336" s="59" t="n"/>
    </row>
    <row r="337" customFormat="1" s="91">
      <c r="A337" s="52" t="n"/>
      <c r="B337" s="53" t="n"/>
      <c r="C337" s="44" t="n"/>
      <c r="D337" s="59" t="n"/>
    </row>
    <row r="338" customFormat="1" s="91">
      <c r="A338" s="52" t="n"/>
      <c r="B338" s="53" t="n"/>
      <c r="C338" s="44" t="n"/>
      <c r="D338" s="59" t="n"/>
    </row>
    <row r="339" customFormat="1" s="91">
      <c r="A339" s="52" t="n"/>
      <c r="B339" s="53" t="n"/>
      <c r="C339" s="44" t="n"/>
      <c r="D339" s="59" t="n"/>
    </row>
    <row r="340" customFormat="1" s="91">
      <c r="A340" s="52" t="n"/>
      <c r="B340" s="53" t="n"/>
      <c r="C340" s="44" t="n"/>
      <c r="D340" s="59" t="n"/>
    </row>
    <row r="341" customFormat="1" s="91">
      <c r="A341" s="52" t="n"/>
      <c r="B341" s="53" t="n"/>
      <c r="C341" s="44" t="n"/>
      <c r="D341" s="59" t="n"/>
    </row>
    <row r="342" customFormat="1" s="91">
      <c r="A342" s="52" t="n"/>
      <c r="B342" s="53" t="n"/>
      <c r="C342" s="44" t="n"/>
      <c r="D342" s="59" t="n"/>
    </row>
    <row r="343" customFormat="1" s="91">
      <c r="A343" s="52" t="n"/>
      <c r="B343" s="53" t="n"/>
      <c r="C343" s="44" t="n"/>
      <c r="D343" s="59" t="n"/>
    </row>
    <row r="344" customFormat="1" s="91">
      <c r="A344" s="52" t="n"/>
      <c r="B344" s="53" t="n"/>
      <c r="C344" s="44" t="n"/>
      <c r="D344" s="59" t="n"/>
    </row>
    <row r="345" customFormat="1" s="91">
      <c r="A345" s="52" t="n"/>
      <c r="B345" s="53" t="n"/>
      <c r="C345" s="44" t="n"/>
      <c r="D345" s="59" t="n"/>
    </row>
    <row r="346" customFormat="1" s="91">
      <c r="A346" s="52" t="n"/>
      <c r="B346" s="53" t="n"/>
      <c r="C346" s="44" t="n"/>
      <c r="D346" s="59" t="n"/>
    </row>
    <row r="347" customFormat="1" s="91">
      <c r="A347" s="52" t="n"/>
      <c r="B347" s="53" t="n"/>
      <c r="C347" s="44" t="n"/>
      <c r="D347" s="59" t="n"/>
    </row>
    <row r="348" customFormat="1" s="91">
      <c r="A348" s="52" t="n"/>
      <c r="B348" s="53" t="n"/>
      <c r="C348" s="44" t="n"/>
      <c r="D348" s="59" t="n"/>
    </row>
    <row r="349" customFormat="1" s="91">
      <c r="A349" s="52" t="n"/>
      <c r="B349" s="53" t="n"/>
      <c r="C349" s="44" t="n"/>
      <c r="D349" s="59" t="n"/>
    </row>
    <row r="350" customFormat="1" s="91">
      <c r="A350" s="52" t="n"/>
      <c r="B350" s="53" t="n"/>
      <c r="C350" s="44" t="n"/>
      <c r="D350" s="59" t="n"/>
    </row>
    <row r="351" customFormat="1" s="91">
      <c r="A351" s="52" t="n"/>
      <c r="B351" s="53" t="n"/>
      <c r="C351" s="44" t="n"/>
      <c r="D351" s="59" t="n"/>
    </row>
    <row r="352" customFormat="1" s="91">
      <c r="A352" s="52" t="n"/>
      <c r="B352" s="53" t="n"/>
      <c r="C352" s="44" t="n"/>
      <c r="D352" s="59" t="n"/>
    </row>
    <row r="353" customFormat="1" s="91">
      <c r="A353" s="52" t="n"/>
      <c r="B353" s="53" t="n"/>
      <c r="C353" s="44" t="n"/>
      <c r="D353" s="59" t="n"/>
    </row>
    <row r="354" customFormat="1" s="91">
      <c r="A354" s="52" t="n"/>
      <c r="B354" s="53" t="n"/>
      <c r="C354" s="44" t="n"/>
      <c r="D354" s="59" t="n"/>
    </row>
    <row r="355" customFormat="1" s="91">
      <c r="A355" s="52" t="n"/>
      <c r="B355" s="53" t="n"/>
      <c r="C355" s="44" t="n"/>
      <c r="D355" s="59" t="n"/>
    </row>
    <row r="356" customFormat="1" s="91">
      <c r="A356" s="52" t="n"/>
      <c r="B356" s="53" t="n"/>
      <c r="C356" s="44" t="n"/>
      <c r="D356" s="59" t="n"/>
    </row>
    <row r="357" customFormat="1" s="91">
      <c r="A357" s="52" t="n"/>
      <c r="B357" s="53" t="n"/>
      <c r="C357" s="44" t="n"/>
      <c r="D357" s="59" t="n"/>
    </row>
    <row r="358" customFormat="1" s="91">
      <c r="A358" s="52" t="n"/>
      <c r="B358" s="53" t="n"/>
      <c r="C358" s="44" t="n"/>
      <c r="D358" s="59" t="n"/>
    </row>
    <row r="359" customFormat="1" s="91">
      <c r="A359" s="52" t="n"/>
      <c r="B359" s="53" t="n"/>
      <c r="C359" s="44" t="n"/>
      <c r="D359" s="59" t="n"/>
    </row>
    <row r="360" customFormat="1" s="91">
      <c r="A360" s="52" t="n"/>
      <c r="B360" s="53" t="n"/>
      <c r="C360" s="44" t="n"/>
      <c r="D360" s="59" t="n"/>
    </row>
    <row r="361" customFormat="1" s="91">
      <c r="A361" s="52" t="n"/>
      <c r="B361" s="53" t="n"/>
      <c r="C361" s="44" t="n"/>
      <c r="D361" s="59" t="n"/>
    </row>
    <row r="362" customFormat="1" s="91">
      <c r="A362" s="52" t="n"/>
      <c r="B362" s="53" t="n"/>
      <c r="C362" s="44" t="n"/>
      <c r="D362" s="59" t="n"/>
    </row>
    <row r="363" customFormat="1" s="91">
      <c r="A363" s="52" t="n"/>
      <c r="B363" s="53" t="n"/>
      <c r="C363" s="44" t="n"/>
      <c r="D363" s="59" t="n"/>
    </row>
    <row r="364" customFormat="1" s="91">
      <c r="A364" s="52" t="n"/>
      <c r="B364" s="53" t="n"/>
      <c r="C364" s="44" t="n"/>
      <c r="D364" s="59" t="n"/>
    </row>
    <row r="365" customFormat="1" s="91">
      <c r="A365" s="52" t="n"/>
      <c r="B365" s="53" t="n"/>
      <c r="C365" s="44" t="n"/>
      <c r="D365" s="59" t="n"/>
    </row>
    <row r="366" customFormat="1" s="91">
      <c r="A366" s="52" t="n"/>
      <c r="B366" s="53" t="n"/>
      <c r="C366" s="44" t="n"/>
      <c r="D366" s="59" t="n"/>
    </row>
    <row r="367" customFormat="1" s="91">
      <c r="A367" s="52" t="n"/>
      <c r="B367" s="53" t="n"/>
      <c r="C367" s="44" t="n"/>
      <c r="D367" s="59" t="n"/>
    </row>
    <row r="368" customFormat="1" s="91">
      <c r="A368" s="52" t="n"/>
      <c r="B368" s="53" t="n"/>
      <c r="C368" s="44" t="n"/>
      <c r="D368" s="59" t="n"/>
    </row>
    <row r="369" customFormat="1" s="91">
      <c r="A369" s="52" t="n"/>
      <c r="B369" s="53" t="n"/>
      <c r="C369" s="44" t="n"/>
      <c r="D369" s="59" t="n"/>
    </row>
    <row r="370" customFormat="1" s="91">
      <c r="A370" s="52" t="n"/>
      <c r="B370" s="53" t="n"/>
      <c r="C370" s="44" t="n"/>
      <c r="D370" s="59" t="n"/>
    </row>
    <row r="371" customFormat="1" s="91">
      <c r="A371" s="52" t="n"/>
      <c r="B371" s="53" t="n"/>
      <c r="C371" s="44" t="n"/>
      <c r="D371" s="59" t="n"/>
    </row>
    <row r="372" customFormat="1" s="91">
      <c r="A372" s="52" t="n"/>
      <c r="B372" s="53" t="n"/>
      <c r="C372" s="44" t="n"/>
      <c r="D372" s="59" t="n"/>
    </row>
    <row r="373" customFormat="1" s="91">
      <c r="A373" s="52" t="n"/>
      <c r="B373" s="53" t="n"/>
      <c r="C373" s="44" t="n"/>
      <c r="D373" s="59" t="n"/>
    </row>
    <row r="374" customFormat="1" s="91">
      <c r="A374" s="52" t="n"/>
      <c r="B374" s="53" t="n"/>
      <c r="C374" s="44" t="n"/>
      <c r="D374" s="59" t="n"/>
    </row>
    <row r="375" customFormat="1" s="91">
      <c r="A375" s="52" t="n"/>
      <c r="B375" s="53" t="n"/>
      <c r="C375" s="44" t="n"/>
      <c r="D375" s="59" t="n"/>
    </row>
    <row r="376" customFormat="1" s="91">
      <c r="A376" s="52" t="n"/>
      <c r="B376" s="53" t="n"/>
      <c r="C376" s="44" t="n"/>
      <c r="D376" s="59" t="n"/>
    </row>
    <row r="377" customFormat="1" s="91">
      <c r="A377" s="52" t="n"/>
      <c r="B377" s="53" t="n"/>
      <c r="C377" s="44" t="n"/>
      <c r="D377" s="59" t="n"/>
    </row>
    <row r="378" customFormat="1" s="91">
      <c r="A378" s="52" t="n"/>
      <c r="B378" s="53" t="n"/>
      <c r="C378" s="44" t="n"/>
      <c r="D378" s="59" t="n"/>
    </row>
    <row r="379" customFormat="1" s="91">
      <c r="A379" s="52" t="n"/>
      <c r="B379" s="53" t="n"/>
      <c r="C379" s="44" t="n"/>
      <c r="D379" s="59" t="n"/>
    </row>
    <row r="380" customFormat="1" s="91">
      <c r="A380" s="52" t="n"/>
      <c r="B380" s="53" t="n"/>
      <c r="C380" s="44" t="n"/>
      <c r="D380" s="59" t="n"/>
    </row>
    <row r="381" customFormat="1" s="91">
      <c r="A381" s="52" t="n"/>
      <c r="B381" s="53" t="n"/>
      <c r="C381" s="44" t="n"/>
      <c r="D381" s="59" t="n"/>
    </row>
    <row r="382" customFormat="1" s="91">
      <c r="A382" s="52" t="n"/>
      <c r="B382" s="53" t="n"/>
      <c r="C382" s="44" t="n"/>
      <c r="D382" s="59" t="n"/>
    </row>
    <row r="383" customFormat="1" s="91">
      <c r="A383" s="52" t="n"/>
      <c r="B383" s="53" t="n"/>
      <c r="C383" s="44" t="n"/>
      <c r="D383" s="59" t="n"/>
    </row>
    <row r="384" customFormat="1" s="91">
      <c r="A384" s="52" t="n"/>
      <c r="B384" s="53" t="n"/>
      <c r="C384" s="44" t="n"/>
      <c r="D384" s="59" t="n"/>
    </row>
    <row r="385" customFormat="1" s="91">
      <c r="A385" s="52" t="n"/>
      <c r="B385" s="53" t="n"/>
      <c r="C385" s="44" t="n"/>
      <c r="D385" s="59" t="n"/>
    </row>
    <row r="386" customFormat="1" s="91">
      <c r="A386" s="52" t="n"/>
      <c r="B386" s="53" t="n"/>
      <c r="C386" s="44" t="n"/>
      <c r="D386" s="59" t="n"/>
    </row>
    <row r="387" customFormat="1" s="91">
      <c r="A387" s="52" t="n"/>
      <c r="B387" s="53" t="n"/>
      <c r="C387" s="44" t="n"/>
      <c r="D387" s="59" t="n"/>
    </row>
    <row r="388" customFormat="1" s="91">
      <c r="A388" s="52" t="n"/>
      <c r="B388" s="53" t="n"/>
      <c r="C388" s="44" t="n"/>
      <c r="D388" s="59" t="n"/>
    </row>
    <row r="389" customFormat="1" s="91">
      <c r="A389" s="52" t="n"/>
      <c r="B389" s="53" t="n"/>
      <c r="C389" s="44" t="n"/>
      <c r="D389" s="59" t="n"/>
    </row>
    <row r="390" customFormat="1" s="91">
      <c r="A390" s="52" t="n"/>
      <c r="B390" s="53" t="n"/>
      <c r="C390" s="44" t="n"/>
      <c r="D390" s="59" t="n"/>
    </row>
    <row r="391" customFormat="1" s="91">
      <c r="A391" s="52" t="n"/>
      <c r="B391" s="53" t="n"/>
      <c r="C391" s="44" t="n"/>
      <c r="D391" s="59" t="n"/>
    </row>
    <row r="392" customFormat="1" s="91">
      <c r="A392" s="52" t="n"/>
      <c r="B392" s="53" t="n"/>
      <c r="C392" s="44" t="n"/>
      <c r="D392" s="59" t="n"/>
    </row>
    <row r="393" customFormat="1" s="91">
      <c r="A393" s="52" t="n"/>
      <c r="B393" s="53" t="n"/>
      <c r="C393" s="44" t="n"/>
      <c r="D393" s="59" t="n"/>
    </row>
    <row r="394" customFormat="1" s="91">
      <c r="A394" s="52" t="n"/>
      <c r="B394" s="53" t="n"/>
      <c r="C394" s="44" t="n"/>
      <c r="D394" s="59" t="n"/>
    </row>
    <row r="395" customFormat="1" s="91">
      <c r="A395" s="52" t="n"/>
      <c r="B395" s="53" t="n"/>
      <c r="C395" s="44" t="n"/>
      <c r="D395" s="59" t="n"/>
    </row>
    <row r="396" customFormat="1" s="91">
      <c r="A396" s="52" t="n"/>
      <c r="B396" s="53" t="n"/>
      <c r="C396" s="44" t="n"/>
      <c r="D396" s="59" t="n"/>
    </row>
    <row r="397" customFormat="1" s="91">
      <c r="A397" s="52" t="n"/>
      <c r="B397" s="53" t="n"/>
      <c r="C397" s="44" t="n"/>
      <c r="D397" s="59" t="n"/>
    </row>
    <row r="398" customFormat="1" s="91">
      <c r="A398" s="52" t="n"/>
      <c r="B398" s="53" t="n"/>
      <c r="C398" s="44" t="n"/>
      <c r="D398" s="59" t="n"/>
    </row>
    <row r="399" customFormat="1" s="91">
      <c r="A399" s="52" t="n"/>
      <c r="B399" s="53" t="n"/>
      <c r="C399" s="44" t="n"/>
      <c r="D399" s="59" t="n"/>
    </row>
    <row r="400" customFormat="1" s="91">
      <c r="A400" s="52" t="n"/>
      <c r="B400" s="53" t="n"/>
      <c r="C400" s="44" t="n"/>
      <c r="D400" s="59" t="n"/>
    </row>
    <row r="401" customFormat="1" s="91">
      <c r="A401" s="52" t="n"/>
      <c r="B401" s="53" t="n"/>
      <c r="C401" s="44" t="n"/>
      <c r="D401" s="59" t="n"/>
    </row>
    <row r="402" customFormat="1" s="91">
      <c r="A402" s="52" t="n"/>
      <c r="B402" s="53" t="n"/>
      <c r="C402" s="44" t="n"/>
      <c r="D402" s="59" t="n"/>
    </row>
    <row r="403" customFormat="1" s="91">
      <c r="A403" s="52" t="n"/>
      <c r="B403" s="53" t="n"/>
      <c r="C403" s="44" t="n"/>
      <c r="D403" s="59" t="n"/>
    </row>
    <row r="404" customFormat="1" s="91">
      <c r="A404" s="52" t="n"/>
      <c r="B404" s="53" t="n"/>
      <c r="C404" s="44" t="n"/>
      <c r="D404" s="59" t="n"/>
    </row>
    <row r="405" customFormat="1" s="91">
      <c r="A405" s="52" t="n"/>
      <c r="B405" s="53" t="n"/>
      <c r="C405" s="44" t="n"/>
      <c r="D405" s="59" t="n"/>
    </row>
    <row r="406" customFormat="1" s="91">
      <c r="A406" s="52" t="n"/>
      <c r="B406" s="53" t="n"/>
      <c r="C406" s="44" t="n"/>
      <c r="D406" s="59" t="n"/>
    </row>
    <row r="407" customFormat="1" s="91">
      <c r="A407" s="52" t="n"/>
      <c r="B407" s="53" t="n"/>
      <c r="C407" s="44" t="n"/>
      <c r="D407" s="59" t="n"/>
    </row>
    <row r="408" customFormat="1" s="91">
      <c r="A408" s="52" t="n"/>
      <c r="B408" s="53" t="n"/>
      <c r="C408" s="44" t="n"/>
      <c r="D408" s="59" t="n"/>
    </row>
    <row r="409" customFormat="1" s="91">
      <c r="A409" s="52" t="n"/>
      <c r="B409" s="53" t="n"/>
      <c r="C409" s="44" t="n"/>
      <c r="D409" s="59" t="n"/>
    </row>
    <row r="410" customFormat="1" s="91">
      <c r="A410" s="52" t="n"/>
      <c r="B410" s="53" t="n"/>
      <c r="C410" s="44" t="n"/>
      <c r="D410" s="59" t="n"/>
    </row>
    <row r="411" customFormat="1" s="91">
      <c r="A411" s="52" t="n"/>
      <c r="B411" s="53" t="n"/>
      <c r="C411" s="44" t="n"/>
      <c r="D411" s="59" t="n"/>
    </row>
    <row r="412" customFormat="1" s="91">
      <c r="A412" s="52" t="n"/>
      <c r="B412" s="53" t="n"/>
      <c r="C412" s="44" t="n"/>
      <c r="D412" s="59" t="n"/>
    </row>
    <row r="413" customFormat="1" s="91">
      <c r="A413" s="52" t="n"/>
      <c r="B413" s="53" t="n"/>
      <c r="C413" s="44" t="n"/>
      <c r="D413" s="59" t="n"/>
    </row>
    <row r="414" customFormat="1" s="91">
      <c r="A414" s="52" t="n"/>
      <c r="B414" s="53" t="n"/>
      <c r="C414" s="44" t="n"/>
      <c r="D414" s="59" t="n"/>
    </row>
    <row r="415" customFormat="1" s="91">
      <c r="A415" s="52" t="n"/>
      <c r="B415" s="53" t="n"/>
      <c r="C415" s="44" t="n"/>
      <c r="D415" s="59" t="n"/>
    </row>
    <row r="416" customFormat="1" s="91">
      <c r="A416" s="52" t="n"/>
      <c r="B416" s="53" t="n"/>
      <c r="C416" s="44" t="n"/>
      <c r="D416" s="59" t="n"/>
    </row>
    <row r="417" customFormat="1" s="91">
      <c r="A417" s="52" t="n"/>
      <c r="B417" s="53" t="n"/>
      <c r="C417" s="44" t="n"/>
      <c r="D417" s="59" t="n"/>
    </row>
    <row r="418" customFormat="1" s="91">
      <c r="A418" s="52" t="n"/>
      <c r="B418" s="53" t="n"/>
      <c r="C418" s="44" t="n"/>
      <c r="D418" s="59" t="n"/>
    </row>
    <row r="419" customFormat="1" s="91">
      <c r="A419" s="52" t="n"/>
      <c r="B419" s="53" t="n"/>
      <c r="C419" s="44" t="n"/>
      <c r="D419" s="59" t="n"/>
    </row>
    <row r="420" customFormat="1" s="91">
      <c r="A420" s="52" t="n"/>
      <c r="B420" s="53" t="n"/>
      <c r="C420" s="44" t="n"/>
      <c r="D420" s="59" t="n"/>
    </row>
    <row r="421" customFormat="1" s="91">
      <c r="A421" s="52" t="n"/>
      <c r="B421" s="53" t="n"/>
      <c r="C421" s="44" t="n"/>
      <c r="D421" s="59" t="n"/>
    </row>
    <row r="422" customFormat="1" s="91">
      <c r="A422" s="52" t="n"/>
      <c r="B422" s="53" t="n"/>
      <c r="C422" s="44" t="n"/>
      <c r="D422" s="59" t="n"/>
    </row>
    <row r="423" customFormat="1" s="91">
      <c r="A423" s="52" t="n"/>
      <c r="B423" s="53" t="n"/>
      <c r="C423" s="44" t="n"/>
      <c r="D423" s="59" t="n"/>
    </row>
    <row r="424" customFormat="1" s="91">
      <c r="A424" s="52" t="n"/>
      <c r="B424" s="53" t="n"/>
      <c r="C424" s="44" t="n"/>
      <c r="D424" s="59" t="n"/>
    </row>
    <row r="425" customFormat="1" s="91">
      <c r="A425" s="52" t="n"/>
      <c r="B425" s="53" t="n"/>
      <c r="C425" s="44" t="n"/>
      <c r="D425" s="59" t="n"/>
    </row>
    <row r="426" customFormat="1" s="91">
      <c r="A426" s="52" t="n"/>
      <c r="B426" s="53" t="n"/>
      <c r="C426" s="44" t="n"/>
      <c r="D426" s="59" t="n"/>
    </row>
    <row r="427" customFormat="1" s="91">
      <c r="A427" s="52" t="n"/>
      <c r="B427" s="53" t="n"/>
      <c r="C427" s="44" t="n"/>
      <c r="D427" s="59" t="n"/>
    </row>
    <row r="428" customFormat="1" s="91">
      <c r="A428" s="52" t="n"/>
      <c r="B428" s="53" t="n"/>
      <c r="C428" s="44" t="n"/>
      <c r="D428" s="59" t="n"/>
    </row>
    <row r="429" customFormat="1" s="91">
      <c r="A429" s="52" t="n"/>
      <c r="B429" s="53" t="n"/>
      <c r="C429" s="44" t="n"/>
      <c r="D429" s="59" t="n"/>
    </row>
    <row r="430" customFormat="1" s="91">
      <c r="A430" s="52" t="n"/>
      <c r="B430" s="53" t="n"/>
      <c r="C430" s="44" t="n"/>
      <c r="D430" s="59" t="n"/>
    </row>
    <row r="431" customFormat="1" s="91">
      <c r="A431" s="52" t="n"/>
      <c r="B431" s="53" t="n"/>
      <c r="C431" s="44" t="n"/>
      <c r="D431" s="59" t="n"/>
    </row>
    <row r="432">
      <c r="A432" s="41" t="n"/>
    </row>
    <row r="433">
      <c r="A433" s="41" t="n"/>
    </row>
    <row r="434">
      <c r="A434" s="41" t="n"/>
    </row>
    <row r="435">
      <c r="A435" s="41"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2021-12-18T03:53:00Z</dcterms:modified>
  <cp:lastModifiedBy>Mark Mukherjee</cp:lastModifiedBy>
</cp:coreProperties>
</file>